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E29741EB59E0A0/Documents/"/>
    </mc:Choice>
  </mc:AlternateContent>
  <xr:revisionPtr revIDLastSave="1090" documentId="8_{6F65792F-1F1D-41A5-8202-CDE7B6E96C11}" xr6:coauthVersionLast="47" xr6:coauthVersionMax="47" xr10:uidLastSave="{12F9AE8C-C44C-4A03-AEB9-DDCFA02A0594}"/>
  <bookViews>
    <workbookView xWindow="-110" yWindow="-110" windowWidth="23260" windowHeight="14860" xr2:uid="{FF66790F-599E-401C-B4A0-A974B5F6F3BF}"/>
  </bookViews>
  <sheets>
    <sheet name="calculations" sheetId="1" r:id="rId1"/>
    <sheet name="close data" sheetId="2" r:id="rId2"/>
  </sheets>
  <definedNames>
    <definedName name="solver_adj" localSheetId="0" hidden="1">calculations!$C$7:$G$7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calculations!$C$7:$G$7</definedName>
    <definedName name="solver_lhs2" localSheetId="0" hidden="1">calculations!$C$7:$G$7</definedName>
    <definedName name="solver_lhs3" localSheetId="0" hidden="1">calculations!$D$14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calculations!$D$15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3</definedName>
    <definedName name="solver_rel3" localSheetId="0" hidden="1">2</definedName>
    <definedName name="solver_rhs1" localSheetId="0" hidden="1">calculations!$C$6:$G$6</definedName>
    <definedName name="solver_rhs2" localSheetId="0" hidden="1">calculations!$C$5:$G$5</definedName>
    <definedName name="solver_rhs3" localSheetId="0" hidden="1">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11" i="1"/>
  <c r="G8" i="1"/>
  <c r="F8" i="1"/>
  <c r="D8" i="1"/>
  <c r="E8" i="1"/>
  <c r="G3" i="1"/>
  <c r="F3" i="1"/>
  <c r="E3" i="1"/>
  <c r="D3" i="1"/>
  <c r="C3" i="1"/>
  <c r="H3" i="2"/>
  <c r="D14" i="1"/>
  <c r="G22" i="1"/>
  <c r="F21" i="1" a="1"/>
  <c r="F21" i="1" s="1"/>
  <c r="E20" i="1" a="1"/>
  <c r="E20" i="1" s="1"/>
  <c r="D19" i="1" a="1"/>
  <c r="D19" i="1" s="1"/>
  <c r="G23" i="1"/>
  <c r="F22" i="1"/>
  <c r="E21" i="1"/>
  <c r="D20" i="1"/>
  <c r="C19" i="1"/>
  <c r="G20" i="1" l="1"/>
  <c r="D11" i="1"/>
  <c r="G21" i="1"/>
  <c r="F20" i="1"/>
  <c r="F19" i="1"/>
  <c r="G19" i="1"/>
  <c r="E19" i="1"/>
  <c r="D12" i="1" s="1" a="1"/>
  <c r="D12" i="1" s="1"/>
  <c r="D15" i="1" l="1"/>
  <c r="G4" i="1" l="1"/>
  <c r="D4" i="1"/>
  <c r="E4" i="1"/>
  <c r="F4" i="1"/>
  <c r="C4" i="1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L3" i="2"/>
  <c r="K3" i="2"/>
  <c r="I3" i="2"/>
  <c r="J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tc={2826EE8A-E78E-4879-9863-33B333564D3A}</author>
    <author>tc={45AC9D43-1686-4990-8A0C-D56A41572026}</author>
    <author>tc={40BA89A0-A60E-440F-9C45-FB796BAC0A4E}</author>
    <author>tc={0F4AEC8B-19FD-42BD-909F-37E38430E809}</author>
    <author>tc={1CC49BEF-57D9-4553-9893-B9AA98C3B83D}</author>
  </authors>
  <commentList>
    <comment ref="C3" authorId="0" shapeId="0" xr:uid="{2826EE8A-E78E-4879-9863-33B333564D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Average daily return * 252 trading days per year, gets average annual return </t>
      </text>
    </comment>
    <comment ref="H3" authorId="1" shapeId="0" xr:uid="{45AC9D43-1686-4990-8A0C-D56A41572026}">
      <text>
        <t>[Threaded comment]
Your version of Excel allows you to read this threaded comment; however, any edits to it will get removed if the file is opened in a newer version of Excel. Learn more: https://go.microsoft.com/fwlink/?linkid=870924
Comment:
    Here we assume what happens in past happens in future, which is like not a great assumption but historical returns is just simplification</t>
      </text>
    </comment>
    <comment ref="D11" authorId="2" shapeId="0" xr:uid="{40BA89A0-A60E-440F-9C45-FB796BAC0A4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Basically the weighted average</t>
      </text>
    </comment>
    <comment ref="D12" authorId="3" shapeId="0" xr:uid="{0F4AEC8B-19FD-42BD-909F-37E38430E809}">
      <text>
        <t>[Threaded comment]
Your version of Excel allows you to read this threaded comment; however, any edits to it will get removed if the file is opened in a newer version of Excel. Learn more: https://go.microsoft.com/fwlink/?linkid=870924
Comment:
    Linear algebra finally coming into play matrix multiplication</t>
      </text>
    </comment>
    <comment ref="D13" authorId="4" shapeId="0" xr:uid="{1CC49BEF-57D9-4553-9893-B9AA98C3B83D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10 year US treasury rate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tc={72F74193-EF39-4FD3-9FC3-BF906CD2E402}</author>
  </authors>
  <commentList>
    <comment ref="H1" authorId="0" shapeId="0" xr:uid="{72F74193-EF39-4FD3-9FC3-BF906CD2E402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is like new - old / old but taking natural log return is easier to analyze values, industry practice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<sst xmlns="http://schemas.openxmlformats.org/spreadsheetml/2006/main" count="50" uniqueCount="29">
  <si>
    <t>Security</t>
  </si>
  <si>
    <t>SPY</t>
  </si>
  <si>
    <t>BND</t>
  </si>
  <si>
    <t>GLD</t>
  </si>
  <si>
    <t>QQQ</t>
  </si>
  <si>
    <t>VTI</t>
  </si>
  <si>
    <t>S&amp;P 500</t>
  </si>
  <si>
    <t>Bonds</t>
  </si>
  <si>
    <t>Gold</t>
  </si>
  <si>
    <t>Nasdaq</t>
  </si>
  <si>
    <t>World Stock Index</t>
  </si>
  <si>
    <t>Annual Return</t>
  </si>
  <si>
    <t>STD</t>
  </si>
  <si>
    <t>Min Weight</t>
  </si>
  <si>
    <t>Max Weight</t>
  </si>
  <si>
    <t>Portfolio Summary</t>
  </si>
  <si>
    <t>Expected Return</t>
  </si>
  <si>
    <t>Risk-Free Rate</t>
  </si>
  <si>
    <t>Total Weight</t>
  </si>
  <si>
    <t>Sharpe Ratio</t>
  </si>
  <si>
    <t>Covariance Matrix</t>
  </si>
  <si>
    <t>Date</t>
  </si>
  <si>
    <t>Adjusted Close Prices</t>
  </si>
  <si>
    <t>Log Normal Daily Returns</t>
  </si>
  <si>
    <t xml:space="preserve">unusually high but rebound after covid and we've mostly been in a bear market for last decade </t>
  </si>
  <si>
    <t>solver:</t>
  </si>
  <si>
    <t>Default Weight</t>
  </si>
  <si>
    <t>Optimal Solver
Weight:</t>
  </si>
  <si>
    <t>check this; also use solver to maximize: 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</si>
</sst>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2" xfId="0" applyFont="1" applyFill="1" applyBorder="1"/>
    <xf numFmtId="0" fontId="1" fillId="2" borderId="9" xfId="0" applyFont="1" applyFill="1" applyBorder="1"/>
    <xf numFmtId="0" fontId="1" fillId="2" borderId="1" xfId="0" applyFont="1" applyFill="1" applyBorder="1"/>
    <xf numFmtId="0" fontId="0" fillId="0" borderId="3" xfId="0" applyBorder="1"/>
    <xf numFmtId="0" fontId="1" fillId="0" borderId="10" xfId="0" applyFont="1" applyBorder="1"/>
    <xf numFmtId="0" fontId="0" fillId="0" borderId="11" xfId="0" applyBorder="1"/>
    <xf numFmtId="0" fontId="1" fillId="0" borderId="5" xfId="0" applyFont="1" applyBorder="1"/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10" fontId="0" fillId="0" borderId="3" xfId="0" applyNumberFormat="1" applyBorder="1"/>
    <xf numFmtId="14" fontId="4" fillId="0" borderId="1" xfId="0" applyNumberFormat="1" applyFont="1" applyBorder="1" applyAlignment="1">
      <alignment horizontal="center" vertical="top"/>
    </xf>
    <xf numFmtId="10" fontId="0" fillId="0" borderId="3" xfId="1" applyNumberFormat="1" applyFont="1" applyBorder="1"/>
    <xf numFmtId="10" fontId="0" fillId="0" borderId="7" xfId="1" applyNumberFormat="1" applyFont="1" applyBorder="1"/>
    <xf numFmtId="10" fontId="0" fillId="0" borderId="8" xfId="1" applyNumberFormat="1" applyFont="1" applyBorder="1"/>
    <xf numFmtId="0" fontId="0" fillId="0" borderId="13" xfId="0" applyBorder="1"/>
    <xf numFmtId="0" fontId="5" fillId="0" borderId="14" xfId="0" applyFont="1" applyBorder="1" applyAlignment="1">
      <alignment horizontal="center"/>
    </xf>
    <xf numFmtId="10" fontId="0" fillId="0" borderId="6" xfId="0" applyNumberFormat="1" applyBorder="1"/>
    <xf numFmtId="10" fontId="0" fillId="0" borderId="12" xfId="0" applyNumberFormat="1" applyBorder="1"/>
    <xf numFmtId="2" fontId="0" fillId="0" borderId="4" xfId="0" applyNumberFormat="1" applyBorder="1"/>
    <xf numFmtId="10" fontId="0" fillId="0" borderId="0" xfId="1" applyNumberFormat="1" applyFont="1" applyBorder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Peng" id="{C2849D02-CD59-4457-9AB5-2644C04B79A9}" userId="65e29741eb59e0a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5-09-07T06:12:45.14" personId="{C2849D02-CD59-4457-9AB5-2644C04B79A9}" id="{2826EE8A-E78E-4879-9863-33B333564D3A}">
    <text xml:space="preserve">Average daily return * 252 trading days per year, gets average annual return </text>
  </threadedComment>
  <threadedComment ref="H3" dT="2025-09-07T06:16:38.53" personId="{C2849D02-CD59-4457-9AB5-2644C04B79A9}" id="{45AC9D43-1686-4990-8A0C-D56A41572026}">
    <text>Here we assume what happens in past happens in future, which is like not a great assumption but historical returns is just simplification</text>
  </threadedComment>
  <threadedComment ref="D11" dT="2025-09-08T21:14:24.29" personId="{C2849D02-CD59-4457-9AB5-2644C04B79A9}" id="{40BA89A0-A60E-440F-9C45-FB796BAC0A4E}">
    <text>Basically the weighted average</text>
  </threadedComment>
  <threadedComment ref="D12" dT="2025-09-08T21:14:42.63" personId="{C2849D02-CD59-4457-9AB5-2644C04B79A9}" id="{0F4AEC8B-19FD-42BD-909F-37E38430E809}">
    <text>Linear algebra finally coming into play matrix multiplication</text>
  </threadedComment>
  <threadedComment ref="D13" dT="2025-09-08T21:15:20.40" personId="{C2849D02-CD59-4457-9AB5-2644C04B79A9}" id="{1CC49BEF-57D9-4553-9893-B9AA98C3B83D}">
    <text>Current 10 year US treasury rate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5-09-07T06:02:01.54" personId="{C2849D02-CD59-4457-9AB5-2644C04B79A9}" id="{72F74193-EF39-4FD3-9FC3-BF906CD2E402}">
    <text>Default is like new - old / old but taking natural log return is easier to analyze values, industry practice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512D-CCD9-4620-8352-7A1A465B4A5C}">
  <dimension ref="B1:H23"/>
  <sheetViews>
    <sheetView tabSelected="1" workbookViewId="0">
      <selection activeCell="P12" sqref="P12"/>
    </sheetView>
  </sheetViews>
  <sheetFormatPr defaultRowHeight="14.5" x14ac:dyDescent="0.35"/>
  <cols>
    <col min="1" max="1" width="3.6328125" customWidth="1"/>
    <col min="2" max="2" width="13.54296875" customWidth="1"/>
    <col min="3" max="3" width="9.90625" bestFit="1" customWidth="1"/>
    <col min="4" max="4" width="20.08984375" bestFit="1" customWidth="1"/>
    <col min="5" max="5" width="11.90625" bestFit="1" customWidth="1"/>
    <col min="6" max="7" width="11.81640625" bestFit="1" customWidth="1"/>
  </cols>
  <sheetData>
    <row r="1" spans="2:8" x14ac:dyDescent="0.35"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2:8" x14ac:dyDescent="0.35">
      <c r="B2" s="5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</row>
    <row r="3" spans="2:8" x14ac:dyDescent="0.35">
      <c r="B3" s="7" t="s">
        <v>11</v>
      </c>
      <c r="C3" s="17">
        <f>EXP((AVERAGE('close data'!H3:H2513)) *252) - 1</f>
        <v>0.1469524321632063</v>
      </c>
      <c r="D3" s="17">
        <f>EXP((AVERAGE('close data'!I3:I2513)) *252) - 1</f>
        <v>1.9693185049783457E-2</v>
      </c>
      <c r="E3" s="17">
        <f>EXP((AVERAGE('close data'!J3:J2513)) *252) - 1</f>
        <v>0.12067600866823369</v>
      </c>
      <c r="F3" s="17">
        <f>EXP((AVERAGE('close data'!K3:K2513)) *252) - 1</f>
        <v>0.19532957623505509</v>
      </c>
      <c r="G3" s="17">
        <f>EXP((AVERAGE('close data'!L3:L2513)) *252) - 1</f>
        <v>0.14137051282860646</v>
      </c>
    </row>
    <row r="4" spans="2:8" x14ac:dyDescent="0.35">
      <c r="B4" s="7" t="s">
        <v>12</v>
      </c>
      <c r="C4" s="19">
        <f>SQRT(_xlfn.VAR.P('close data'!H3:H2513)*252)</f>
        <v>0.18138591392443867</v>
      </c>
      <c r="D4" s="19">
        <f>SQRT(_xlfn.VAR.P('close data'!I3:I2513)*252)</f>
        <v>5.5223736226325412E-2</v>
      </c>
      <c r="E4" s="19">
        <f>SQRT(_xlfn.VAR.P('close data'!J3:J2513)*252)</f>
        <v>0.14466440959087862</v>
      </c>
      <c r="F4" s="19">
        <f>SQRT(_xlfn.VAR.P('close data'!K3:K2513)*252)</f>
        <v>0.22408761714844147</v>
      </c>
      <c r="G4" s="19">
        <f>SQRT(_xlfn.VAR.P('close data'!L3:L2513)*252)</f>
        <v>0.1850881257964318</v>
      </c>
    </row>
    <row r="5" spans="2:8" x14ac:dyDescent="0.35">
      <c r="B5" s="7" t="s">
        <v>13</v>
      </c>
      <c r="C5" s="19">
        <v>0.1</v>
      </c>
      <c r="D5" s="19">
        <v>0.1</v>
      </c>
      <c r="E5" s="19">
        <v>0.1</v>
      </c>
      <c r="F5" s="19">
        <v>0.1</v>
      </c>
      <c r="G5" s="19">
        <v>0.1</v>
      </c>
    </row>
    <row r="6" spans="2:8" x14ac:dyDescent="0.35">
      <c r="B6" s="7" t="s">
        <v>14</v>
      </c>
      <c r="C6" s="19">
        <v>0.5</v>
      </c>
      <c r="D6" s="19">
        <v>0.5</v>
      </c>
      <c r="E6" s="19">
        <v>0.5</v>
      </c>
      <c r="F6" s="19">
        <v>0.5</v>
      </c>
      <c r="G6" s="19">
        <v>0.5</v>
      </c>
    </row>
    <row r="7" spans="2:8" x14ac:dyDescent="0.35">
      <c r="B7" s="6" t="s">
        <v>26</v>
      </c>
      <c r="C7" s="20">
        <v>0.2</v>
      </c>
      <c r="D7" s="20">
        <v>0.2</v>
      </c>
      <c r="E7" s="20">
        <v>0.2</v>
      </c>
      <c r="F7" s="20">
        <v>0.2</v>
      </c>
      <c r="G7" s="21">
        <v>0.2</v>
      </c>
      <c r="H7" t="s">
        <v>25</v>
      </c>
    </row>
    <row r="8" spans="2:8" ht="29" x14ac:dyDescent="0.35">
      <c r="B8" s="28" t="s">
        <v>27</v>
      </c>
      <c r="C8" s="27">
        <v>0.1</v>
      </c>
      <c r="D8" s="27">
        <f>10%</f>
        <v>0.1</v>
      </c>
      <c r="E8" s="27">
        <f>44.85%</f>
        <v>0.44850000000000001</v>
      </c>
      <c r="F8" s="27">
        <f>25.15%</f>
        <v>0.2515</v>
      </c>
      <c r="G8" s="27">
        <f>10%</f>
        <v>0.1</v>
      </c>
    </row>
    <row r="10" spans="2:8" x14ac:dyDescent="0.35">
      <c r="B10" s="29" t="s">
        <v>15</v>
      </c>
      <c r="C10" s="29"/>
      <c r="D10" s="29"/>
    </row>
    <row r="11" spans="2:8" x14ac:dyDescent="0.35">
      <c r="B11" s="9" t="s">
        <v>16</v>
      </c>
      <c r="C11" s="10"/>
      <c r="D11" s="25">
        <f>SUMPRODUCT(C3:G3, C7:G7)</f>
        <v>0.12480434298897702</v>
      </c>
      <c r="E11">
        <f>13.4%</f>
        <v>0.13400000000000001</v>
      </c>
    </row>
    <row r="12" spans="2:8" x14ac:dyDescent="0.35">
      <c r="B12" s="11" t="s">
        <v>12</v>
      </c>
      <c r="D12" s="24" cm="1">
        <f t="array" ref="D12">SQRT(MMULT(MMULT(C7:G7, C19:G23), TRANSPOSE(C7:G7)*252))</f>
        <v>0.12391177849995658</v>
      </c>
      <c r="E12">
        <f>11.68%</f>
        <v>0.1168</v>
      </c>
    </row>
    <row r="13" spans="2:8" x14ac:dyDescent="0.35">
      <c r="B13" s="11" t="s">
        <v>17</v>
      </c>
      <c r="D13" s="24">
        <v>4.0399999999999998E-2</v>
      </c>
      <c r="E13">
        <f>4.04%</f>
        <v>4.0399999999999998E-2</v>
      </c>
    </row>
    <row r="14" spans="2:8" x14ac:dyDescent="0.35">
      <c r="B14" s="11" t="s">
        <v>18</v>
      </c>
      <c r="D14" s="24">
        <f>SUM(C7:G7)</f>
        <v>1</v>
      </c>
    </row>
    <row r="15" spans="2:8" x14ac:dyDescent="0.35">
      <c r="B15" s="2" t="s">
        <v>19</v>
      </c>
      <c r="C15" s="8"/>
      <c r="D15" s="26">
        <f>(D11-D13) / D12</f>
        <v>0.68116480943743862</v>
      </c>
      <c r="E15" t="s">
        <v>24</v>
      </c>
    </row>
    <row r="16" spans="2:8" x14ac:dyDescent="0.35">
      <c r="E16" t="s">
        <v>28</v>
      </c>
    </row>
    <row r="17" spans="2:7" ht="15" thickBot="1" x14ac:dyDescent="0.4">
      <c r="B17" s="30" t="s">
        <v>20</v>
      </c>
      <c r="C17" s="31"/>
      <c r="D17" s="31"/>
      <c r="E17" s="31"/>
      <c r="F17" s="31"/>
      <c r="G17" s="32"/>
    </row>
    <row r="18" spans="2:7" x14ac:dyDescent="0.35">
      <c r="B18" s="23"/>
      <c r="C18" s="23" t="s">
        <v>1</v>
      </c>
      <c r="D18" s="23" t="s">
        <v>2</v>
      </c>
      <c r="E18" s="23" t="s">
        <v>3</v>
      </c>
      <c r="F18" s="23" t="s">
        <v>4</v>
      </c>
      <c r="G18" s="23" t="s">
        <v>5</v>
      </c>
    </row>
    <row r="19" spans="2:7" x14ac:dyDescent="0.35">
      <c r="B19" t="s">
        <v>1</v>
      </c>
      <c r="C19">
        <f>VARP('close data'!$H$3:$H$2513)</f>
        <v>1.3055892765953918E-4</v>
      </c>
      <c r="D19">
        <f t="array" ref="D19:G19">TRANSPOSE(C20:C23)</f>
        <v>4.9281710838625302E-6</v>
      </c>
      <c r="E19">
        <v>4.9512164342006141E-6</v>
      </c>
      <c r="F19">
        <v>1.50525164543044E-4</v>
      </c>
      <c r="G19">
        <v>1.3269880077811585E-4</v>
      </c>
    </row>
    <row r="20" spans="2:7" x14ac:dyDescent="0.35">
      <c r="B20" t="s">
        <v>2</v>
      </c>
      <c r="C20">
        <v>4.9281710838625302E-6</v>
      </c>
      <c r="D20">
        <f>VARP('close data'!$I$3:$I$2513)</f>
        <v>1.2101829534899865E-5</v>
      </c>
      <c r="E20">
        <f t="array" ref="E20:G20">TRANSPOSE(D21:D23)</f>
        <v>1.0986573352552636E-5</v>
      </c>
      <c r="F20">
        <v>6.0919419839838555E-6</v>
      </c>
      <c r="G20">
        <v>5.2963081805244752E-6</v>
      </c>
    </row>
    <row r="21" spans="2:7" x14ac:dyDescent="0.35">
      <c r="B21" t="s">
        <v>3</v>
      </c>
      <c r="C21">
        <v>4.9512164342006141E-6</v>
      </c>
      <c r="D21">
        <v>1.0986573352552636E-5</v>
      </c>
      <c r="E21">
        <f>VARP('close data'!$J$3:$J$2513)</f>
        <v>8.3046791278878958E-5</v>
      </c>
      <c r="F21">
        <f t="array" ref="F21:G21">TRANSPOSE(E22:E23)</f>
        <v>7.5420553578065464E-6</v>
      </c>
      <c r="G21">
        <v>5.3886137547018821E-6</v>
      </c>
    </row>
    <row r="22" spans="2:7" x14ac:dyDescent="0.35">
      <c r="B22" t="s">
        <v>4</v>
      </c>
      <c r="C22">
        <v>1.50525164543044E-4</v>
      </c>
      <c r="D22">
        <v>6.0919419839838555E-6</v>
      </c>
      <c r="E22">
        <v>7.5420553578065464E-6</v>
      </c>
      <c r="F22">
        <f>VARP('close data'!$K$3:$K$2513)</f>
        <v>1.992669053939146E-4</v>
      </c>
      <c r="G22">
        <f>0.000152746</f>
        <v>1.5274599999999999E-4</v>
      </c>
    </row>
    <row r="23" spans="2:7" ht="15" thickBot="1" x14ac:dyDescent="0.4">
      <c r="B23" s="22" t="s">
        <v>5</v>
      </c>
      <c r="C23" s="22">
        <v>1.3269880077811585E-4</v>
      </c>
      <c r="D23" s="22">
        <v>5.2963081805244752E-6</v>
      </c>
      <c r="E23" s="22">
        <v>5.3886137547018821E-6</v>
      </c>
      <c r="F23" s="22">
        <v>1.5274600981709412E-4</v>
      </c>
      <c r="G23" s="22">
        <f>VARP('close data'!$L$3:$L$2513)</f>
        <v>1.3594291393188794E-4</v>
      </c>
    </row>
  </sheetData>
  <mergeCells count="2">
    <mergeCell ref="B10:D10"/>
    <mergeCell ref="B17:G1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54AD-AFF9-4864-A143-020619DAFE4B}">
  <dimension ref="A1:L2514"/>
  <sheetViews>
    <sheetView topLeftCell="A2471" zoomScale="84" workbookViewId="0">
      <selection activeCell="H2510" sqref="H2510"/>
    </sheetView>
  </sheetViews>
  <sheetFormatPr defaultRowHeight="14.5" x14ac:dyDescent="0.35"/>
  <cols>
    <col min="1" max="1" width="19.453125" style="14" customWidth="1"/>
  </cols>
  <sheetData>
    <row r="1" spans="1:12" x14ac:dyDescent="0.35">
      <c r="B1" s="33" t="s">
        <v>22</v>
      </c>
      <c r="C1" s="34"/>
      <c r="D1" s="34"/>
      <c r="E1" s="34"/>
      <c r="F1" s="34"/>
      <c r="H1" s="33" t="s">
        <v>23</v>
      </c>
      <c r="I1" s="33"/>
      <c r="J1" s="33"/>
      <c r="K1" s="33"/>
      <c r="L1" s="33"/>
    </row>
    <row r="2" spans="1:12" x14ac:dyDescent="0.35">
      <c r="A2" s="12" t="s">
        <v>21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H2" s="13" t="s">
        <v>1</v>
      </c>
      <c r="I2" s="13" t="s">
        <v>2</v>
      </c>
      <c r="J2" s="13" t="s">
        <v>3</v>
      </c>
      <c r="K2" s="13" t="s">
        <v>4</v>
      </c>
      <c r="L2" s="13" t="s">
        <v>5</v>
      </c>
    </row>
    <row r="3" spans="1:12" x14ac:dyDescent="0.35">
      <c r="A3" s="18">
        <v>42257</v>
      </c>
      <c r="B3" s="15">
        <v>165.09651184082031</v>
      </c>
      <c r="C3" s="15">
        <v>61.153415679931641</v>
      </c>
      <c r="D3" s="15">
        <v>106.379997253418</v>
      </c>
      <c r="E3" s="15">
        <v>97.355049133300781</v>
      </c>
      <c r="F3" s="15">
        <v>85.570343017578125</v>
      </c>
      <c r="H3" s="16">
        <f>LN(B4/B3)</f>
        <v>4.5337060817564959E-3</v>
      </c>
      <c r="I3" s="16">
        <f t="shared" ref="I3:J18" si="0">LN(C4/C3)</f>
        <v>2.0897616487748284E-3</v>
      </c>
      <c r="J3" s="16">
        <f t="shared" si="0"/>
        <v>-2.070138975493721E-3</v>
      </c>
      <c r="K3" s="16">
        <f>LN(E4/E3)</f>
        <v>5.5094129602681003E-3</v>
      </c>
      <c r="L3" s="16">
        <f>LN(F4/F3)</f>
        <v>4.5262569438878943E-3</v>
      </c>
    </row>
    <row r="4" spans="1:12" x14ac:dyDescent="0.35">
      <c r="A4" s="18">
        <v>42258</v>
      </c>
      <c r="B4" s="15">
        <v>165.8467102050781</v>
      </c>
      <c r="C4" s="15">
        <v>61.281345367431641</v>
      </c>
      <c r="D4" s="15">
        <v>106.1600036621094</v>
      </c>
      <c r="E4" s="15">
        <v>97.892898559570313</v>
      </c>
      <c r="F4" s="15">
        <v>85.958534240722656</v>
      </c>
      <c r="H4" s="16">
        <f t="shared" ref="H4:J67" si="1">LN(B5/B4)</f>
        <v>-3.7172934173887039E-3</v>
      </c>
      <c r="I4" s="16">
        <f t="shared" si="0"/>
        <v>2.4535512133518544E-4</v>
      </c>
      <c r="J4" s="16">
        <f t="shared" si="0"/>
        <v>5.6500196638444803E-4</v>
      </c>
      <c r="K4" s="16">
        <f t="shared" ref="K4:K67" si="2">LN(E5/E4)</f>
        <v>-3.0360862405492289E-3</v>
      </c>
      <c r="L4" s="16">
        <f t="shared" ref="L4:L67" si="3">LN(F5/F4)</f>
        <v>-3.83640172729414E-3</v>
      </c>
    </row>
    <row r="5" spans="1:12" x14ac:dyDescent="0.35">
      <c r="A5" s="18">
        <v>42261</v>
      </c>
      <c r="B5" s="15">
        <v>165.2313537597656</v>
      </c>
      <c r="C5" s="15">
        <v>61.296382904052727</v>
      </c>
      <c r="D5" s="15">
        <v>106.2200012207031</v>
      </c>
      <c r="E5" s="15">
        <v>97.596138000488281</v>
      </c>
      <c r="F5" s="15">
        <v>85.62939453125</v>
      </c>
      <c r="H5" s="16">
        <f t="shared" si="1"/>
        <v>1.2421924866668535E-2</v>
      </c>
      <c r="I5" s="16">
        <f t="shared" si="0"/>
        <v>-4.1823710273689941E-3</v>
      </c>
      <c r="J5" s="16">
        <f t="shared" si="0"/>
        <v>-3.0171594704304192E-3</v>
      </c>
      <c r="K5" s="16">
        <f t="shared" si="2"/>
        <v>1.1712841388736827E-2</v>
      </c>
      <c r="L5" s="16">
        <f t="shared" si="3"/>
        <v>1.2536101200782555E-2</v>
      </c>
    </row>
    <row r="6" spans="1:12" x14ac:dyDescent="0.35">
      <c r="A6" s="18">
        <v>42262</v>
      </c>
      <c r="B6" s="15">
        <v>167.29664611816409</v>
      </c>
      <c r="C6" s="15">
        <v>61.040554046630859</v>
      </c>
      <c r="D6" s="15">
        <v>105.90000152587891</v>
      </c>
      <c r="E6" s="15">
        <v>98.745986938476563</v>
      </c>
      <c r="F6" s="15">
        <v>86.709609985351563</v>
      </c>
      <c r="H6" s="16">
        <f t="shared" si="1"/>
        <v>8.6291525408335231E-3</v>
      </c>
      <c r="I6" s="16">
        <f t="shared" si="0"/>
        <v>-6.1601023372176986E-4</v>
      </c>
      <c r="J6" s="16">
        <f t="shared" si="0"/>
        <v>1.3226552172031699E-2</v>
      </c>
      <c r="K6" s="16">
        <f t="shared" si="2"/>
        <v>5.6185781597501488E-3</v>
      </c>
      <c r="L6" s="16">
        <f t="shared" si="3"/>
        <v>8.4311670890579136E-3</v>
      </c>
    </row>
    <row r="7" spans="1:12" x14ac:dyDescent="0.35">
      <c r="A7" s="18">
        <v>42263</v>
      </c>
      <c r="B7" s="15">
        <v>168.74652099609381</v>
      </c>
      <c r="C7" s="15">
        <v>61.002964019775391</v>
      </c>
      <c r="D7" s="15">
        <v>107.30999755859381</v>
      </c>
      <c r="E7" s="15">
        <v>99.302360534667969</v>
      </c>
      <c r="F7" s="15">
        <v>87.443763732910156</v>
      </c>
      <c r="H7" s="16">
        <f t="shared" si="1"/>
        <v>-2.2502977166475465E-3</v>
      </c>
      <c r="I7" s="16">
        <f t="shared" si="0"/>
        <v>5.6567747880180265E-3</v>
      </c>
      <c r="J7" s="16">
        <f t="shared" si="0"/>
        <v>1.0198550265311069E-2</v>
      </c>
      <c r="K7" s="16">
        <f t="shared" si="2"/>
        <v>3.7324701946127292E-4</v>
      </c>
      <c r="L7" s="16">
        <f t="shared" si="3"/>
        <v>-1.3517919323124128E-3</v>
      </c>
    </row>
    <row r="8" spans="1:12" x14ac:dyDescent="0.35">
      <c r="A8" s="18">
        <v>42264</v>
      </c>
      <c r="B8" s="15">
        <v>168.3672180175781</v>
      </c>
      <c r="C8" s="15">
        <v>61.349021911621087</v>
      </c>
      <c r="D8" s="15">
        <v>108.4100036621094</v>
      </c>
      <c r="E8" s="15">
        <v>99.339431762695313</v>
      </c>
      <c r="F8" s="15">
        <v>87.325637817382813</v>
      </c>
      <c r="H8" s="16">
        <f t="shared" si="1"/>
        <v>-1.6476773814949674E-2</v>
      </c>
      <c r="I8" s="16">
        <f t="shared" si="0"/>
        <v>2.8167738382447018E-3</v>
      </c>
      <c r="J8" s="16">
        <f t="shared" si="0"/>
        <v>7.3522563730744322E-3</v>
      </c>
      <c r="K8" s="16">
        <f t="shared" si="2"/>
        <v>-1.4324863096616982E-2</v>
      </c>
      <c r="L8" s="16">
        <f t="shared" si="3"/>
        <v>-1.5975334918163053E-2</v>
      </c>
    </row>
    <row r="9" spans="1:12" x14ac:dyDescent="0.35">
      <c r="A9" s="18">
        <v>42265</v>
      </c>
      <c r="B9" s="15">
        <v>165.61579895019531</v>
      </c>
      <c r="C9" s="15">
        <v>61.522071838378913</v>
      </c>
      <c r="D9" s="15">
        <v>109.2099990844727</v>
      </c>
      <c r="E9" s="15">
        <v>97.926551818847656</v>
      </c>
      <c r="F9" s="15">
        <v>85.941665649414063</v>
      </c>
      <c r="H9" s="16">
        <f t="shared" si="1"/>
        <v>5.1544696372000914E-3</v>
      </c>
      <c r="I9" s="16">
        <f t="shared" si="0"/>
        <v>-3.6751673651717631E-3</v>
      </c>
      <c r="J9" s="16">
        <f t="shared" si="0"/>
        <v>-6.2460046161414012E-3</v>
      </c>
      <c r="K9" s="16">
        <f t="shared" si="2"/>
        <v>3.1276830589258113E-3</v>
      </c>
      <c r="L9" s="16">
        <f t="shared" si="3"/>
        <v>4.0179118493193482E-3</v>
      </c>
    </row>
    <row r="10" spans="1:12" x14ac:dyDescent="0.35">
      <c r="A10" s="18">
        <v>42268</v>
      </c>
      <c r="B10" s="15">
        <v>166.47166442871091</v>
      </c>
      <c r="C10" s="15">
        <v>61.296382904052727</v>
      </c>
      <c r="D10" s="15">
        <v>108.5299987792969</v>
      </c>
      <c r="E10" s="15">
        <v>98.233314514160156</v>
      </c>
      <c r="F10" s="15">
        <v>86.287666320800781</v>
      </c>
      <c r="H10" s="16">
        <f t="shared" si="1"/>
        <v>-1.3065038246496255E-2</v>
      </c>
      <c r="I10" s="16">
        <f t="shared" si="0"/>
        <v>1.840421244633563E-3</v>
      </c>
      <c r="J10" s="16">
        <f t="shared" si="0"/>
        <v>-6.8417229231566143E-3</v>
      </c>
      <c r="K10" s="16">
        <f t="shared" si="2"/>
        <v>-1.5063999390674548E-2</v>
      </c>
      <c r="L10" s="16">
        <f t="shared" si="3"/>
        <v>-1.3489100733253309E-2</v>
      </c>
    </row>
    <row r="11" spans="1:12" x14ac:dyDescent="0.35">
      <c r="A11" s="18">
        <v>42269</v>
      </c>
      <c r="B11" s="15">
        <v>164.31085205078119</v>
      </c>
      <c r="C11" s="15">
        <v>61.409297943115227</v>
      </c>
      <c r="D11" s="15">
        <v>107.7900009155273</v>
      </c>
      <c r="E11" s="15">
        <v>96.764617919921875</v>
      </c>
      <c r="F11" s="15">
        <v>85.131538391113281</v>
      </c>
      <c r="H11" s="16">
        <f t="shared" si="1"/>
        <v>-1.5995846406047641E-3</v>
      </c>
      <c r="I11" s="16">
        <f t="shared" si="0"/>
        <v>0</v>
      </c>
      <c r="J11" s="16">
        <f t="shared" si="0"/>
        <v>3.9813052072611909E-3</v>
      </c>
      <c r="K11" s="16">
        <f t="shared" si="2"/>
        <v>7.6852102112428189E-4</v>
      </c>
      <c r="L11" s="16">
        <f t="shared" si="3"/>
        <v>-1.9846068782180004E-3</v>
      </c>
    </row>
    <row r="12" spans="1:12" x14ac:dyDescent="0.35">
      <c r="A12" s="18">
        <v>42270</v>
      </c>
      <c r="B12" s="15">
        <v>164.04823303222659</v>
      </c>
      <c r="C12" s="15">
        <v>61.409297943115227</v>
      </c>
      <c r="D12" s="15">
        <v>108.2200012207031</v>
      </c>
      <c r="E12" s="15">
        <v>96.839012145996094</v>
      </c>
      <c r="F12" s="15">
        <v>84.962753295898438</v>
      </c>
      <c r="H12" s="16">
        <f t="shared" si="1"/>
        <v>-3.622567436803505E-3</v>
      </c>
      <c r="I12" s="16">
        <f t="shared" si="0"/>
        <v>3.6668459716365142E-4</v>
      </c>
      <c r="J12" s="16">
        <f t="shared" si="0"/>
        <v>2.075879629651289E-2</v>
      </c>
      <c r="K12" s="16">
        <f t="shared" si="2"/>
        <v>-3.6546197949164326E-3</v>
      </c>
      <c r="L12" s="16">
        <f t="shared" si="3"/>
        <v>-3.5819417159285213E-3</v>
      </c>
    </row>
    <row r="13" spans="1:12" x14ac:dyDescent="0.35">
      <c r="A13" s="18">
        <v>42271</v>
      </c>
      <c r="B13" s="15">
        <v>163.45503234863281</v>
      </c>
      <c r="C13" s="15">
        <v>61.431819915771477</v>
      </c>
      <c r="D13" s="15">
        <v>110.4899978637695</v>
      </c>
      <c r="E13" s="15">
        <v>96.485748291015625</v>
      </c>
      <c r="F13" s="15">
        <v>84.658966064453125</v>
      </c>
      <c r="H13" s="16">
        <f t="shared" si="1"/>
        <v>-2.5927100552008693E-4</v>
      </c>
      <c r="I13" s="16">
        <f t="shared" si="0"/>
        <v>-1.8392482070142008E-3</v>
      </c>
      <c r="J13" s="16">
        <f t="shared" si="0"/>
        <v>-6.1734224143135995E-3</v>
      </c>
      <c r="K13" s="16">
        <f t="shared" si="2"/>
        <v>-8.5139269255077154E-3</v>
      </c>
      <c r="L13" s="16">
        <f t="shared" si="3"/>
        <v>-2.0260371423048346E-3</v>
      </c>
    </row>
    <row r="14" spans="1:12" x14ac:dyDescent="0.35">
      <c r="A14" s="18">
        <v>42272</v>
      </c>
      <c r="B14" s="15">
        <v>163.41265869140619</v>
      </c>
      <c r="C14" s="15">
        <v>61.318935394287109</v>
      </c>
      <c r="D14" s="15">
        <v>109.80999755859381</v>
      </c>
      <c r="E14" s="15">
        <v>95.667762756347656</v>
      </c>
      <c r="F14" s="15">
        <v>84.487617492675781</v>
      </c>
      <c r="H14" s="16">
        <f t="shared" si="1"/>
        <v>-2.5417385072900995E-2</v>
      </c>
      <c r="I14" s="16">
        <f t="shared" si="0"/>
        <v>2.5737034963908231E-3</v>
      </c>
      <c r="J14" s="16">
        <f t="shared" si="0"/>
        <v>-1.2739020432957984E-2</v>
      </c>
      <c r="K14" s="16">
        <f t="shared" si="2"/>
        <v>-2.8881593786121987E-2</v>
      </c>
      <c r="L14" s="16">
        <f t="shared" si="3"/>
        <v>-2.7170385941951349E-2</v>
      </c>
    </row>
    <row r="15" spans="1:12" x14ac:dyDescent="0.35">
      <c r="A15" s="18">
        <v>42275</v>
      </c>
      <c r="B15" s="15">
        <v>159.31147766113281</v>
      </c>
      <c r="C15" s="15">
        <v>61.476955413818359</v>
      </c>
      <c r="D15" s="15">
        <v>108.4199981689453</v>
      </c>
      <c r="E15" s="15">
        <v>92.944244384765625</v>
      </c>
      <c r="F15" s="15">
        <v>82.22296142578125</v>
      </c>
      <c r="H15" s="16">
        <f t="shared" si="1"/>
        <v>5.8485071744329557E-4</v>
      </c>
      <c r="I15" s="16">
        <f t="shared" si="0"/>
        <v>7.3360623399789369E-4</v>
      </c>
      <c r="J15" s="16">
        <f t="shared" si="0"/>
        <v>-4.0665010650433589E-3</v>
      </c>
      <c r="K15" s="16">
        <f t="shared" si="2"/>
        <v>-5.2140276835543819E-3</v>
      </c>
      <c r="L15" s="16">
        <f t="shared" si="3"/>
        <v>-2.0601301963787871E-4</v>
      </c>
    </row>
    <row r="16" spans="1:12" x14ac:dyDescent="0.35">
      <c r="A16" s="18">
        <v>42276</v>
      </c>
      <c r="B16" s="15">
        <v>159.40467834472659</v>
      </c>
      <c r="C16" s="15">
        <v>61.522071838378913</v>
      </c>
      <c r="D16" s="15">
        <v>107.98000335693359</v>
      </c>
      <c r="E16" s="15">
        <v>92.460891723632813</v>
      </c>
      <c r="F16" s="15">
        <v>82.206024169921875</v>
      </c>
      <c r="H16" s="16">
        <f t="shared" si="1"/>
        <v>1.8486509997162892E-2</v>
      </c>
      <c r="I16" s="16">
        <f t="shared" si="0"/>
        <v>1.9545432737805646E-3</v>
      </c>
      <c r="J16" s="16">
        <f t="shared" si="0"/>
        <v>-1.0426483637296898E-2</v>
      </c>
      <c r="K16" s="16">
        <f t="shared" si="2"/>
        <v>2.2760879133168634E-2</v>
      </c>
      <c r="L16" s="16">
        <f t="shared" si="3"/>
        <v>1.8401228032600383E-2</v>
      </c>
    </row>
    <row r="17" spans="1:12" x14ac:dyDescent="0.35">
      <c r="A17" s="18">
        <v>42277</v>
      </c>
      <c r="B17" s="15">
        <v>162.37892150878909</v>
      </c>
      <c r="C17" s="15">
        <v>61.642436981201172</v>
      </c>
      <c r="D17" s="15">
        <v>106.86000061035161</v>
      </c>
      <c r="E17" s="15">
        <v>94.589515686035156</v>
      </c>
      <c r="F17" s="15">
        <v>83.732719421386719</v>
      </c>
      <c r="H17" s="16">
        <f t="shared" si="1"/>
        <v>2.6058738987325965E-3</v>
      </c>
      <c r="I17" s="16">
        <f t="shared" si="0"/>
        <v>5.388049333281443E-4</v>
      </c>
      <c r="J17" s="16">
        <f t="shared" si="0"/>
        <v>-1.2172598628685512E-3</v>
      </c>
      <c r="K17" s="16">
        <f t="shared" si="2"/>
        <v>4.5102067359992426E-3</v>
      </c>
      <c r="L17" s="16">
        <f t="shared" si="3"/>
        <v>2.0240067720831922E-3</v>
      </c>
    </row>
    <row r="18" spans="1:12" x14ac:dyDescent="0.35">
      <c r="A18" s="18">
        <v>42278</v>
      </c>
      <c r="B18" s="15">
        <v>162.8026123046875</v>
      </c>
      <c r="C18" s="15">
        <v>61.6756591796875</v>
      </c>
      <c r="D18" s="15">
        <v>106.73000335693359</v>
      </c>
      <c r="E18" s="15">
        <v>95.017097473144531</v>
      </c>
      <c r="F18" s="15">
        <v>83.902366638183594</v>
      </c>
      <c r="H18" s="16">
        <f t="shared" si="1"/>
        <v>1.4827252134191123E-2</v>
      </c>
      <c r="I18" s="16">
        <f t="shared" si="0"/>
        <v>3.7819514554854076E-3</v>
      </c>
      <c r="J18" s="16">
        <f t="shared" si="0"/>
        <v>2.095380292252649E-2</v>
      </c>
      <c r="K18" s="16">
        <f t="shared" si="2"/>
        <v>1.7359811109450205E-2</v>
      </c>
      <c r="L18" s="16">
        <f t="shared" si="3"/>
        <v>1.4452424067707713E-2</v>
      </c>
    </row>
    <row r="19" spans="1:12" x14ac:dyDescent="0.35">
      <c r="A19" s="18">
        <v>42279</v>
      </c>
      <c r="B19" s="15">
        <v>165.23451232910159</v>
      </c>
      <c r="C19" s="15">
        <v>61.909355163574219</v>
      </c>
      <c r="D19" s="15">
        <v>108.9899978637695</v>
      </c>
      <c r="E19" s="15">
        <v>96.680976867675781</v>
      </c>
      <c r="F19" s="15">
        <v>85.123764038085938</v>
      </c>
      <c r="H19" s="16">
        <f t="shared" si="1"/>
        <v>1.7638190874862205E-2</v>
      </c>
      <c r="I19" s="16">
        <f t="shared" si="1"/>
        <v>-3.9043619502321142E-3</v>
      </c>
      <c r="J19" s="16">
        <f t="shared" si="1"/>
        <v>-2.0205850578974721E-3</v>
      </c>
      <c r="K19" s="16">
        <f t="shared" si="2"/>
        <v>1.4224080755389746E-2</v>
      </c>
      <c r="L19" s="16">
        <f t="shared" si="3"/>
        <v>1.8265674446925655E-2</v>
      </c>
    </row>
    <row r="20" spans="1:12" x14ac:dyDescent="0.35">
      <c r="A20" s="18">
        <v>42282</v>
      </c>
      <c r="B20" s="15">
        <v>168.1748046875</v>
      </c>
      <c r="C20" s="15">
        <v>61.668109893798828</v>
      </c>
      <c r="D20" s="15">
        <v>108.76999664306641</v>
      </c>
      <c r="E20" s="15">
        <v>98.066001892089844</v>
      </c>
      <c r="F20" s="15">
        <v>86.692893981933594</v>
      </c>
      <c r="H20" s="16">
        <f t="shared" si="1"/>
        <v>-3.4320030185932327E-3</v>
      </c>
      <c r="I20" s="16">
        <f t="shared" si="1"/>
        <v>1.3444565024162056E-3</v>
      </c>
      <c r="J20" s="16">
        <f t="shared" si="1"/>
        <v>9.9713032271166926E-3</v>
      </c>
      <c r="K20" s="16">
        <f t="shared" si="2"/>
        <v>-4.7507557624601633E-3</v>
      </c>
      <c r="L20" s="16">
        <f t="shared" si="3"/>
        <v>-3.2335920919638211E-3</v>
      </c>
    </row>
    <row r="21" spans="1:12" x14ac:dyDescent="0.35">
      <c r="A21" s="18">
        <v>42283</v>
      </c>
      <c r="B21" s="15">
        <v>167.59861755371091</v>
      </c>
      <c r="C21" s="15">
        <v>61.751075744628913</v>
      </c>
      <c r="D21" s="15">
        <v>109.86000061035161</v>
      </c>
      <c r="E21" s="15">
        <v>97.601219177246094</v>
      </c>
      <c r="F21" s="15">
        <v>86.413017272949219</v>
      </c>
      <c r="H21" s="16">
        <f t="shared" si="1"/>
        <v>8.1574697651617158E-3</v>
      </c>
      <c r="I21" s="16">
        <f t="shared" si="1"/>
        <v>0</v>
      </c>
      <c r="J21" s="16">
        <f t="shared" si="1"/>
        <v>-1.4574940081350813E-3</v>
      </c>
      <c r="K21" s="16">
        <f t="shared" si="2"/>
        <v>5.9819378732609415E-3</v>
      </c>
      <c r="L21" s="16">
        <f t="shared" si="3"/>
        <v>8.9894092171017743E-3</v>
      </c>
    </row>
    <row r="22" spans="1:12" x14ac:dyDescent="0.35">
      <c r="A22" s="18">
        <v>42284</v>
      </c>
      <c r="B22" s="15">
        <v>168.97138977050781</v>
      </c>
      <c r="C22" s="15">
        <v>61.751075744628913</v>
      </c>
      <c r="D22" s="15">
        <v>109.6999969482422</v>
      </c>
      <c r="E22" s="15">
        <v>98.186813354492188</v>
      </c>
      <c r="F22" s="15">
        <v>87.193321228027344</v>
      </c>
      <c r="H22" s="16">
        <f t="shared" si="1"/>
        <v>8.9861089806209452E-3</v>
      </c>
      <c r="I22" s="16">
        <f t="shared" si="1"/>
        <v>-1.589136833117139E-3</v>
      </c>
      <c r="J22" s="16">
        <f t="shared" si="1"/>
        <v>-5.1178832963483748E-3</v>
      </c>
      <c r="K22" s="16">
        <f t="shared" si="2"/>
        <v>3.9684804363645625E-3</v>
      </c>
      <c r="L22" s="16">
        <f t="shared" si="3"/>
        <v>8.6201406848746345E-3</v>
      </c>
    </row>
    <row r="23" spans="1:12" x14ac:dyDescent="0.35">
      <c r="A23" s="18">
        <v>42285</v>
      </c>
      <c r="B23" s="15">
        <v>170.49662780761719</v>
      </c>
      <c r="C23" s="15">
        <v>61.653022766113281</v>
      </c>
      <c r="D23" s="15">
        <v>109.13999938964839</v>
      </c>
      <c r="E23" s="15">
        <v>98.577239990234375</v>
      </c>
      <c r="F23" s="15">
        <v>87.948188781738281</v>
      </c>
      <c r="H23" s="16">
        <f t="shared" si="1"/>
        <v>5.9604557478102531E-4</v>
      </c>
      <c r="I23" s="16">
        <f t="shared" si="1"/>
        <v>-1.2177474830014687E-4</v>
      </c>
      <c r="J23" s="16">
        <f t="shared" si="1"/>
        <v>1.5726912391542704E-2</v>
      </c>
      <c r="K23" s="16">
        <f t="shared" si="2"/>
        <v>4.5159301798891206E-3</v>
      </c>
      <c r="L23" s="16">
        <f t="shared" si="3"/>
        <v>1.3493333727715765E-3</v>
      </c>
    </row>
    <row r="24" spans="1:12" x14ac:dyDescent="0.35">
      <c r="A24" s="18">
        <v>42286</v>
      </c>
      <c r="B24" s="15">
        <v>170.59828186035159</v>
      </c>
      <c r="C24" s="15">
        <v>61.645515441894531</v>
      </c>
      <c r="D24" s="15">
        <v>110.870002746582</v>
      </c>
      <c r="E24" s="15">
        <v>99.023414611816406</v>
      </c>
      <c r="F24" s="15">
        <v>88.066940307617188</v>
      </c>
      <c r="H24" s="16">
        <f t="shared" si="1"/>
        <v>9.4353410829755896E-4</v>
      </c>
      <c r="I24" s="16">
        <f t="shared" si="1"/>
        <v>1.7109115814172224E-3</v>
      </c>
      <c r="J24" s="16">
        <f t="shared" si="1"/>
        <v>3.9607110144838E-3</v>
      </c>
      <c r="K24" s="16">
        <f t="shared" si="2"/>
        <v>2.4377012643066673E-3</v>
      </c>
      <c r="L24" s="16">
        <f t="shared" si="3"/>
        <v>1.9282371857311172E-4</v>
      </c>
    </row>
    <row r="25" spans="1:12" x14ac:dyDescent="0.35">
      <c r="A25" s="18">
        <v>42289</v>
      </c>
      <c r="B25" s="15">
        <v>170.75932312011719</v>
      </c>
      <c r="C25" s="15">
        <v>61.751075744628913</v>
      </c>
      <c r="D25" s="15">
        <v>111.30999755859381</v>
      </c>
      <c r="E25" s="15">
        <v>99.265098571777344</v>
      </c>
      <c r="F25" s="15">
        <v>88.08392333984375</v>
      </c>
      <c r="H25" s="16">
        <f t="shared" si="1"/>
        <v>-6.322126252988434E-3</v>
      </c>
      <c r="I25" s="16">
        <f t="shared" si="1"/>
        <v>6.0978432113000013E-4</v>
      </c>
      <c r="J25" s="16">
        <f t="shared" si="1"/>
        <v>4.9290152780910191E-3</v>
      </c>
      <c r="K25" s="16">
        <f t="shared" si="2"/>
        <v>-6.4824063795499362E-3</v>
      </c>
      <c r="L25" s="16">
        <f t="shared" si="3"/>
        <v>-7.3451025931560703E-3</v>
      </c>
    </row>
    <row r="26" spans="1:12" x14ac:dyDescent="0.35">
      <c r="A26" s="18">
        <v>42290</v>
      </c>
      <c r="B26" s="15">
        <v>169.68316650390619</v>
      </c>
      <c r="C26" s="15">
        <v>61.788742065429688</v>
      </c>
      <c r="D26" s="15">
        <v>111.86000061035161</v>
      </c>
      <c r="E26" s="15">
        <v>98.623703002929688</v>
      </c>
      <c r="F26" s="15">
        <v>87.439308166503906</v>
      </c>
      <c r="H26" s="16">
        <f t="shared" si="1"/>
        <v>-4.805529281508035E-3</v>
      </c>
      <c r="I26" s="16">
        <f t="shared" si="1"/>
        <v>3.6536859938117992E-3</v>
      </c>
      <c r="J26" s="16">
        <f t="shared" si="1"/>
        <v>1.7282274992371418E-2</v>
      </c>
      <c r="K26" s="16">
        <f t="shared" si="2"/>
        <v>-1.6036918846196017E-3</v>
      </c>
      <c r="L26" s="16">
        <f t="shared" si="3"/>
        <v>-5.1546810259677353E-3</v>
      </c>
    </row>
    <row r="27" spans="1:12" x14ac:dyDescent="0.35">
      <c r="A27" s="18">
        <v>42291</v>
      </c>
      <c r="B27" s="15">
        <v>168.86970520019531</v>
      </c>
      <c r="C27" s="15">
        <v>62.014911651611328</v>
      </c>
      <c r="D27" s="15">
        <v>113.80999755859381</v>
      </c>
      <c r="E27" s="15">
        <v>98.465667724609375</v>
      </c>
      <c r="F27" s="15">
        <v>86.98974609375</v>
      </c>
      <c r="H27" s="16">
        <f t="shared" si="1"/>
        <v>1.5237728729369215E-2</v>
      </c>
      <c r="I27" s="16">
        <f t="shared" si="1"/>
        <v>-1.9479079485810883E-3</v>
      </c>
      <c r="J27" s="16">
        <f t="shared" si="1"/>
        <v>-4.5794588755325872E-3</v>
      </c>
      <c r="K27" s="16">
        <f t="shared" si="2"/>
        <v>1.6292669463727483E-2</v>
      </c>
      <c r="L27" s="16">
        <f t="shared" si="3"/>
        <v>1.5000176797519466E-2</v>
      </c>
    </row>
    <row r="28" spans="1:12" x14ac:dyDescent="0.35">
      <c r="A28" s="18">
        <v>42292</v>
      </c>
      <c r="B28" s="15">
        <v>171.46260070800781</v>
      </c>
      <c r="C28" s="15">
        <v>61.894229888916023</v>
      </c>
      <c r="D28" s="15">
        <v>113.2900009155273</v>
      </c>
      <c r="E28" s="15">
        <v>100.0830764770508</v>
      </c>
      <c r="F28" s="15">
        <v>88.304443359375</v>
      </c>
      <c r="H28" s="16">
        <f t="shared" si="1"/>
        <v>4.5362935367231263E-3</v>
      </c>
      <c r="I28" s="16">
        <f t="shared" si="1"/>
        <v>-3.6449950347291549E-4</v>
      </c>
      <c r="J28" s="16">
        <f t="shared" si="1"/>
        <v>-7.0866011523383968E-3</v>
      </c>
      <c r="K28" s="16">
        <f t="shared" si="2"/>
        <v>4.1709379551004514E-3</v>
      </c>
      <c r="L28" s="16">
        <f t="shared" si="3"/>
        <v>3.8347046331099416E-3</v>
      </c>
    </row>
    <row r="29" spans="1:12" x14ac:dyDescent="0.35">
      <c r="A29" s="18">
        <v>42293</v>
      </c>
      <c r="B29" s="15">
        <v>172.24217224121091</v>
      </c>
      <c r="C29" s="15">
        <v>61.871673583984382</v>
      </c>
      <c r="D29" s="15">
        <v>112.4899978637695</v>
      </c>
      <c r="E29" s="15">
        <v>100.5013885498047</v>
      </c>
      <c r="F29" s="15">
        <v>88.643714904785156</v>
      </c>
      <c r="H29" s="16">
        <f t="shared" si="1"/>
        <v>4.9181463538939033E-4</v>
      </c>
      <c r="I29" s="16">
        <f t="shared" si="1"/>
        <v>0</v>
      </c>
      <c r="J29" s="16">
        <f t="shared" si="1"/>
        <v>-4.1869129999150684E-3</v>
      </c>
      <c r="K29" s="16">
        <f t="shared" si="2"/>
        <v>5.7176600439255961E-3</v>
      </c>
      <c r="L29" s="16">
        <f t="shared" si="3"/>
        <v>1.1473176582396459E-3</v>
      </c>
    </row>
    <row r="30" spans="1:12" x14ac:dyDescent="0.35">
      <c r="A30" s="18">
        <v>42296</v>
      </c>
      <c r="B30" s="15">
        <v>172.326904296875</v>
      </c>
      <c r="C30" s="15">
        <v>61.871673583984382</v>
      </c>
      <c r="D30" s="15">
        <v>112.01999664306641</v>
      </c>
      <c r="E30" s="15">
        <v>101.0776672363281</v>
      </c>
      <c r="F30" s="15">
        <v>88.745475769042969</v>
      </c>
      <c r="H30" s="16">
        <f t="shared" si="1"/>
        <v>-1.279505221144826E-3</v>
      </c>
      <c r="I30" s="16">
        <f t="shared" si="1"/>
        <v>-1.5851105999166418E-3</v>
      </c>
      <c r="J30" s="16">
        <f t="shared" si="1"/>
        <v>6.3182120205528373E-3</v>
      </c>
      <c r="K30" s="16">
        <f t="shared" si="2"/>
        <v>-5.1631151695439555E-3</v>
      </c>
      <c r="L30" s="16">
        <f t="shared" si="3"/>
        <v>-1.1473176582395331E-3</v>
      </c>
    </row>
    <row r="31" spans="1:12" x14ac:dyDescent="0.35">
      <c r="A31" s="18">
        <v>42297</v>
      </c>
      <c r="B31" s="15">
        <v>172.10655212402341</v>
      </c>
      <c r="C31" s="15">
        <v>61.773677825927727</v>
      </c>
      <c r="D31" s="15">
        <v>112.73000335693359</v>
      </c>
      <c r="E31" s="15">
        <v>100.5571365356445</v>
      </c>
      <c r="F31" s="15">
        <v>88.643714904785156</v>
      </c>
      <c r="H31" s="16">
        <f t="shared" si="1"/>
        <v>-6.2226109258049439E-3</v>
      </c>
      <c r="I31" s="16">
        <f t="shared" si="1"/>
        <v>1.8285565104614908E-3</v>
      </c>
      <c r="J31" s="16">
        <f t="shared" si="1"/>
        <v>-8.9103322306711419E-3</v>
      </c>
      <c r="K31" s="16">
        <f t="shared" si="2"/>
        <v>-6.1196449527701445E-3</v>
      </c>
      <c r="L31" s="16">
        <f t="shared" si="3"/>
        <v>-7.8772549028503502E-3</v>
      </c>
    </row>
    <row r="32" spans="1:12" x14ac:dyDescent="0.35">
      <c r="A32" s="18">
        <v>42298</v>
      </c>
      <c r="B32" s="15">
        <v>171.03892517089841</v>
      </c>
      <c r="C32" s="15">
        <v>61.886737823486328</v>
      </c>
      <c r="D32" s="15">
        <v>111.73000335693359</v>
      </c>
      <c r="E32" s="15">
        <v>99.943641662597656</v>
      </c>
      <c r="F32" s="15">
        <v>87.948188781738281</v>
      </c>
      <c r="H32" s="16">
        <f t="shared" si="1"/>
        <v>1.675232703407355E-2</v>
      </c>
      <c r="I32" s="16">
        <f t="shared" si="1"/>
        <v>1.704125392573319E-3</v>
      </c>
      <c r="J32" s="16">
        <f t="shared" si="1"/>
        <v>-3.5807819279096538E-4</v>
      </c>
      <c r="K32" s="16">
        <f t="shared" si="2"/>
        <v>2.0163796081383585E-2</v>
      </c>
      <c r="L32" s="16">
        <f t="shared" si="3"/>
        <v>1.4552998809470115E-2</v>
      </c>
    </row>
    <row r="33" spans="1:12" x14ac:dyDescent="0.35">
      <c r="A33" s="18">
        <v>42299</v>
      </c>
      <c r="B33" s="15">
        <v>173.92835998535159</v>
      </c>
      <c r="C33" s="15">
        <v>61.992290496826172</v>
      </c>
      <c r="D33" s="15">
        <v>111.69000244140619</v>
      </c>
      <c r="E33" s="15">
        <v>101.9793395996094</v>
      </c>
      <c r="F33" s="15">
        <v>89.237457275390625</v>
      </c>
      <c r="H33" s="16">
        <f t="shared" si="1"/>
        <v>1.0902082607982843E-2</v>
      </c>
      <c r="I33" s="16">
        <f t="shared" si="1"/>
        <v>-2.5577718846281155E-3</v>
      </c>
      <c r="J33" s="16">
        <f t="shared" si="1"/>
        <v>-1.7026075113330528E-3</v>
      </c>
      <c r="K33" s="16">
        <f t="shared" si="2"/>
        <v>2.75985152943732E-2</v>
      </c>
      <c r="L33" s="16">
        <f t="shared" si="3"/>
        <v>1.0400873200978933E-2</v>
      </c>
    </row>
    <row r="34" spans="1:12" x14ac:dyDescent="0.35">
      <c r="A34" s="18">
        <v>42300</v>
      </c>
      <c r="B34" s="15">
        <v>175.83491516113281</v>
      </c>
      <c r="C34" s="15">
        <v>61.833930969238281</v>
      </c>
      <c r="D34" s="15">
        <v>111.5</v>
      </c>
      <c r="E34" s="15">
        <v>104.8330154418945</v>
      </c>
      <c r="F34" s="15">
        <v>90.170448303222656</v>
      </c>
      <c r="H34" s="16">
        <f t="shared" si="1"/>
        <v>-2.4603468806962195E-3</v>
      </c>
      <c r="I34" s="16">
        <f t="shared" si="1"/>
        <v>1.0962320260620537E-3</v>
      </c>
      <c r="J34" s="16">
        <f t="shared" si="1"/>
        <v>-6.2799710248886997E-4</v>
      </c>
      <c r="K34" s="16">
        <f t="shared" si="2"/>
        <v>6.2037392995462504E-4</v>
      </c>
      <c r="L34" s="16">
        <f t="shared" si="3"/>
        <v>-2.3543575257975527E-3</v>
      </c>
    </row>
    <row r="35" spans="1:12" x14ac:dyDescent="0.35">
      <c r="A35" s="18">
        <v>42303</v>
      </c>
      <c r="B35" s="15">
        <v>175.40283203125</v>
      </c>
      <c r="C35" s="15">
        <v>61.901752471923828</v>
      </c>
      <c r="D35" s="15">
        <v>111.4300003051758</v>
      </c>
      <c r="E35" s="15">
        <v>104.8980712890625</v>
      </c>
      <c r="F35" s="15">
        <v>89.958404541015625</v>
      </c>
      <c r="H35" s="16">
        <f t="shared" si="1"/>
        <v>-1.9343283728524092E-3</v>
      </c>
      <c r="I35" s="16">
        <f t="shared" si="1"/>
        <v>2.4492949095385582E-4</v>
      </c>
      <c r="J35" s="16">
        <f t="shared" si="1"/>
        <v>2.241047948969033E-3</v>
      </c>
      <c r="K35" s="16">
        <f t="shared" si="2"/>
        <v>2.0358629765845709E-3</v>
      </c>
      <c r="L35" s="16">
        <f t="shared" si="3"/>
        <v>-3.3056788921671668E-3</v>
      </c>
    </row>
    <row r="36" spans="1:12" x14ac:dyDescent="0.35">
      <c r="A36" s="18">
        <v>42304</v>
      </c>
      <c r="B36" s="15">
        <v>175.0638732910156</v>
      </c>
      <c r="C36" s="15">
        <v>61.916915893554688</v>
      </c>
      <c r="D36" s="15">
        <v>111.6800003051758</v>
      </c>
      <c r="E36" s="15">
        <v>105.1118469238281</v>
      </c>
      <c r="F36" s="15">
        <v>89.661521911621094</v>
      </c>
      <c r="H36" s="16">
        <f t="shared" si="1"/>
        <v>1.1310341647429487E-2</v>
      </c>
      <c r="I36" s="16">
        <f t="shared" si="1"/>
        <v>-2.804717264861228E-3</v>
      </c>
      <c r="J36" s="16">
        <f t="shared" si="1"/>
        <v>-8.091400160860792E-3</v>
      </c>
      <c r="K36" s="16">
        <f t="shared" si="2"/>
        <v>8.2785631874665276E-3</v>
      </c>
      <c r="L36" s="16">
        <f t="shared" si="3"/>
        <v>1.3063591210990513E-2</v>
      </c>
    </row>
    <row r="37" spans="1:12" x14ac:dyDescent="0.35">
      <c r="A37" s="18">
        <v>42305</v>
      </c>
      <c r="B37" s="15">
        <v>177.0551452636719</v>
      </c>
      <c r="C37" s="15">
        <v>61.743499755859382</v>
      </c>
      <c r="D37" s="15">
        <v>110.7799987792969</v>
      </c>
      <c r="E37" s="15">
        <v>105.9856338500977</v>
      </c>
      <c r="F37" s="15">
        <v>90.840507507324219</v>
      </c>
      <c r="H37" s="16">
        <f t="shared" si="1"/>
        <v>-5.7447514776719851E-4</v>
      </c>
      <c r="I37" s="16">
        <f t="shared" si="1"/>
        <v>-3.5474378711232673E-3</v>
      </c>
      <c r="J37" s="16">
        <f t="shared" si="1"/>
        <v>-9.6145643907697385E-3</v>
      </c>
      <c r="K37" s="16">
        <f t="shared" si="2"/>
        <v>-1.5800264698859533E-3</v>
      </c>
      <c r="L37" s="16">
        <f t="shared" si="3"/>
        <v>-1.4947360498797793E-3</v>
      </c>
    </row>
    <row r="38" spans="1:12" x14ac:dyDescent="0.35">
      <c r="A38" s="18">
        <v>42306</v>
      </c>
      <c r="B38" s="15">
        <v>176.9534606933594</v>
      </c>
      <c r="C38" s="15">
        <v>61.524856567382813</v>
      </c>
      <c r="D38" s="15">
        <v>109.7200012207031</v>
      </c>
      <c r="E38" s="15">
        <v>105.8183059692383</v>
      </c>
      <c r="F38" s="15">
        <v>90.704826354980469</v>
      </c>
      <c r="H38" s="16">
        <f t="shared" si="1"/>
        <v>-4.3192019950958433E-3</v>
      </c>
      <c r="I38" s="16">
        <f t="shared" si="1"/>
        <v>2.2038061488420836E-3</v>
      </c>
      <c r="J38" s="16">
        <f t="shared" si="1"/>
        <v>-3.8352540915991664E-3</v>
      </c>
      <c r="K38" s="16">
        <f t="shared" si="2"/>
        <v>-4.4898639240738602E-3</v>
      </c>
      <c r="L38" s="16">
        <f t="shared" si="3"/>
        <v>-3.841630307388458E-3</v>
      </c>
    </row>
    <row r="39" spans="1:12" x14ac:dyDescent="0.35">
      <c r="A39" s="18">
        <v>42307</v>
      </c>
      <c r="B39" s="15">
        <v>176.19081115722659</v>
      </c>
      <c r="C39" s="15">
        <v>61.660594940185547</v>
      </c>
      <c r="D39" s="15">
        <v>109.3000030517578</v>
      </c>
      <c r="E39" s="15">
        <v>105.34426116943359</v>
      </c>
      <c r="F39" s="15">
        <v>90.357040405273438</v>
      </c>
      <c r="H39" s="16">
        <f t="shared" si="1"/>
        <v>1.1761845388414991E-2</v>
      </c>
      <c r="I39" s="16">
        <f t="shared" si="1"/>
        <v>-1.9746090330194743E-3</v>
      </c>
      <c r="J39" s="16">
        <f t="shared" si="1"/>
        <v>-6.5171345988017061E-3</v>
      </c>
      <c r="K39" s="16">
        <f t="shared" si="2"/>
        <v>1.1230915814068206E-2</v>
      </c>
      <c r="L39" s="16">
        <f t="shared" si="3"/>
        <v>1.3056196491923236E-2</v>
      </c>
    </row>
    <row r="40" spans="1:12" x14ac:dyDescent="0.35">
      <c r="A40" s="18">
        <v>42310</v>
      </c>
      <c r="B40" s="15">
        <v>178.27537536621091</v>
      </c>
      <c r="C40" s="15">
        <v>61.538959503173828</v>
      </c>
      <c r="D40" s="15">
        <v>108.5899963378906</v>
      </c>
      <c r="E40" s="15">
        <v>106.53404235839839</v>
      </c>
      <c r="F40" s="15">
        <v>91.54449462890625</v>
      </c>
      <c r="H40" s="16">
        <f t="shared" si="1"/>
        <v>2.8948626675235562E-3</v>
      </c>
      <c r="I40" s="16">
        <f t="shared" si="1"/>
        <v>-1.7204154283983501E-3</v>
      </c>
      <c r="J40" s="16">
        <f t="shared" si="1"/>
        <v>-1.4937356022442101E-2</v>
      </c>
      <c r="K40" s="16">
        <f t="shared" si="2"/>
        <v>3.4841332763462952E-3</v>
      </c>
      <c r="L40" s="16">
        <f t="shared" si="3"/>
        <v>2.498517917375724E-3</v>
      </c>
    </row>
    <row r="41" spans="1:12" x14ac:dyDescent="0.35">
      <c r="A41" s="18">
        <v>42311</v>
      </c>
      <c r="B41" s="15">
        <v>178.7922058105469</v>
      </c>
      <c r="C41" s="15">
        <v>61.433177947998047</v>
      </c>
      <c r="D41" s="15">
        <v>106.98000335693359</v>
      </c>
      <c r="E41" s="15">
        <v>106.90586853027339</v>
      </c>
      <c r="F41" s="15">
        <v>91.773506164550781</v>
      </c>
      <c r="H41" s="16">
        <f t="shared" si="1"/>
        <v>-3.0376388478714246E-3</v>
      </c>
      <c r="I41" s="16">
        <f t="shared" si="1"/>
        <v>6.1486256624353999E-4</v>
      </c>
      <c r="J41" s="16">
        <f t="shared" si="1"/>
        <v>-9.485885776108257E-3</v>
      </c>
      <c r="K41" s="16">
        <f t="shared" si="2"/>
        <v>8.6776725680312239E-5</v>
      </c>
      <c r="L41" s="16">
        <f t="shared" si="3"/>
        <v>-2.4057638709139967E-3</v>
      </c>
    </row>
    <row r="42" spans="1:12" x14ac:dyDescent="0.35">
      <c r="A42" s="18">
        <v>42312</v>
      </c>
      <c r="B42" s="15">
        <v>178.24992370605469</v>
      </c>
      <c r="C42" s="15">
        <v>61.470962524414063</v>
      </c>
      <c r="D42" s="15">
        <v>105.9700012207031</v>
      </c>
      <c r="E42" s="15">
        <v>106.91514587402339</v>
      </c>
      <c r="F42" s="15">
        <v>91.552986145019531</v>
      </c>
      <c r="H42" s="16">
        <f t="shared" si="1"/>
        <v>-9.9889049506542951E-4</v>
      </c>
      <c r="I42" s="16">
        <f t="shared" si="1"/>
        <v>-1.8452878295300687E-3</v>
      </c>
      <c r="J42" s="16">
        <f t="shared" si="1"/>
        <v>-3.1189650547964911E-3</v>
      </c>
      <c r="K42" s="16">
        <f t="shared" si="2"/>
        <v>-2.6988095258524856E-3</v>
      </c>
      <c r="L42" s="16">
        <f t="shared" si="3"/>
        <v>-1.1123653917432369E-3</v>
      </c>
    </row>
    <row r="43" spans="1:12" x14ac:dyDescent="0.35">
      <c r="A43" s="18">
        <v>42313</v>
      </c>
      <c r="B43" s="15">
        <v>178.07196044921881</v>
      </c>
      <c r="C43" s="15">
        <v>61.357635498046882</v>
      </c>
      <c r="D43" s="15">
        <v>105.63999938964839</v>
      </c>
      <c r="E43" s="15">
        <v>106.6269912719727</v>
      </c>
      <c r="F43" s="15">
        <v>91.451202392578125</v>
      </c>
      <c r="H43" s="16">
        <f t="shared" si="1"/>
        <v>-5.2352477010157716E-4</v>
      </c>
      <c r="I43" s="16">
        <f t="shared" si="1"/>
        <v>-3.9478401814716322E-3</v>
      </c>
      <c r="J43" s="16">
        <f t="shared" si="1"/>
        <v>-1.4685120688170636E-2</v>
      </c>
      <c r="K43" s="16">
        <f t="shared" si="2"/>
        <v>6.9717609323403755E-4</v>
      </c>
      <c r="L43" s="16">
        <f t="shared" si="3"/>
        <v>1.8560529631484902E-4</v>
      </c>
    </row>
    <row r="44" spans="1:12" x14ac:dyDescent="0.35">
      <c r="A44" s="18">
        <v>42314</v>
      </c>
      <c r="B44" s="15">
        <v>177.978759765625</v>
      </c>
      <c r="C44" s="15">
        <v>61.115882873535163</v>
      </c>
      <c r="D44" s="15">
        <v>104.09999847412109</v>
      </c>
      <c r="E44" s="15">
        <v>106.70135498046881</v>
      </c>
      <c r="F44" s="15">
        <v>91.468177795410156</v>
      </c>
      <c r="H44" s="16">
        <f t="shared" si="1"/>
        <v>-9.3753315195595818E-3</v>
      </c>
      <c r="I44" s="16">
        <f t="shared" si="1"/>
        <v>-8.6541773793868677E-4</v>
      </c>
      <c r="J44" s="16">
        <f t="shared" si="1"/>
        <v>2.8777291011320622E-3</v>
      </c>
      <c r="K44" s="16">
        <f t="shared" si="2"/>
        <v>-1.0684914414446299E-2</v>
      </c>
      <c r="L44" s="16">
        <f t="shared" si="3"/>
        <v>-1.0065571421242732E-2</v>
      </c>
    </row>
    <row r="45" spans="1:12" x14ac:dyDescent="0.35">
      <c r="A45" s="18">
        <v>42317</v>
      </c>
      <c r="B45" s="15">
        <v>176.31794738769531</v>
      </c>
      <c r="C45" s="15">
        <v>61.063014984130859</v>
      </c>
      <c r="D45" s="15">
        <v>104.40000152587891</v>
      </c>
      <c r="E45" s="15">
        <v>105.5673294067383</v>
      </c>
      <c r="F45" s="15">
        <v>90.552116394042969</v>
      </c>
      <c r="H45" s="16">
        <f t="shared" si="1"/>
        <v>2.3039298907964832E-3</v>
      </c>
      <c r="I45" s="16">
        <f t="shared" si="1"/>
        <v>1.1124978763835944E-3</v>
      </c>
      <c r="J45" s="16">
        <f t="shared" si="1"/>
        <v>-2.1095148178783911E-3</v>
      </c>
      <c r="K45" s="16">
        <f t="shared" si="2"/>
        <v>-2.5566514234423646E-3</v>
      </c>
      <c r="L45" s="16">
        <f t="shared" si="3"/>
        <v>2.2457150963072887E-3</v>
      </c>
    </row>
    <row r="46" spans="1:12" x14ac:dyDescent="0.35">
      <c r="A46" s="18">
        <v>42318</v>
      </c>
      <c r="B46" s="15">
        <v>176.7246398925781</v>
      </c>
      <c r="C46" s="15">
        <v>61.130985260009773</v>
      </c>
      <c r="D46" s="15">
        <v>104.1800003051758</v>
      </c>
      <c r="E46" s="15">
        <v>105.2977752685547</v>
      </c>
      <c r="F46" s="15">
        <v>90.755699157714844</v>
      </c>
      <c r="H46" s="16">
        <f t="shared" si="1"/>
        <v>-3.9393397728575055E-3</v>
      </c>
      <c r="I46" s="16">
        <f t="shared" si="1"/>
        <v>1.2373555985761028E-4</v>
      </c>
      <c r="J46" s="16">
        <f t="shared" si="1"/>
        <v>-3.3652112958739199E-3</v>
      </c>
      <c r="K46" s="16">
        <f t="shared" si="2"/>
        <v>-1.2367089635953641E-3</v>
      </c>
      <c r="L46" s="16">
        <f t="shared" si="3"/>
        <v>-4.3081923173499221E-3</v>
      </c>
    </row>
    <row r="47" spans="1:12" x14ac:dyDescent="0.35">
      <c r="A47" s="18">
        <v>42319</v>
      </c>
      <c r="B47" s="15">
        <v>176.02983093261719</v>
      </c>
      <c r="C47" s="15">
        <v>61.1385498046875</v>
      </c>
      <c r="D47" s="15">
        <v>103.8300018310547</v>
      </c>
      <c r="E47" s="15">
        <v>105.1676330566406</v>
      </c>
      <c r="F47" s="15">
        <v>90.365547180175781</v>
      </c>
      <c r="H47" s="16">
        <f t="shared" si="1"/>
        <v>-1.4058126718876889E-2</v>
      </c>
      <c r="I47" s="16">
        <f t="shared" si="1"/>
        <v>1.2365786467602081E-4</v>
      </c>
      <c r="J47" s="16">
        <f t="shared" si="1"/>
        <v>1.9257167853245404E-4</v>
      </c>
      <c r="K47" s="16">
        <f t="shared" si="2"/>
        <v>-9.7701371261551019E-3</v>
      </c>
      <c r="L47" s="16">
        <f t="shared" si="3"/>
        <v>-1.5036764448847221E-2</v>
      </c>
    </row>
    <row r="48" spans="1:12" x14ac:dyDescent="0.35">
      <c r="A48" s="18">
        <v>42320</v>
      </c>
      <c r="B48" s="15">
        <v>173.57249450683591</v>
      </c>
      <c r="C48" s="15">
        <v>61.146110534667969</v>
      </c>
      <c r="D48" s="15">
        <v>103.84999847412109</v>
      </c>
      <c r="E48" s="15">
        <v>104.145133972168</v>
      </c>
      <c r="F48" s="15">
        <v>89.01690673828125</v>
      </c>
      <c r="H48" s="16">
        <f t="shared" si="1"/>
        <v>-1.1291752257010615E-2</v>
      </c>
      <c r="I48" s="16">
        <f t="shared" si="1"/>
        <v>1.8512294960924751E-3</v>
      </c>
      <c r="J48" s="16">
        <f t="shared" si="1"/>
        <v>-2.796404320479146E-3</v>
      </c>
      <c r="K48" s="16">
        <f t="shared" si="2"/>
        <v>-1.9831240553801772E-2</v>
      </c>
      <c r="L48" s="16">
        <f t="shared" si="3"/>
        <v>-1.0632774541766253E-2</v>
      </c>
    </row>
    <row r="49" spans="1:12" x14ac:dyDescent="0.35">
      <c r="A49" s="18">
        <v>42321</v>
      </c>
      <c r="B49" s="15">
        <v>171.62358093261719</v>
      </c>
      <c r="C49" s="15">
        <v>61.259410858154297</v>
      </c>
      <c r="D49" s="15">
        <v>103.55999755859381</v>
      </c>
      <c r="E49" s="15">
        <v>102.1001510620117</v>
      </c>
      <c r="F49" s="15">
        <v>88.075424194335938</v>
      </c>
      <c r="H49" s="16">
        <f t="shared" si="1"/>
        <v>1.5092612959871436E-2</v>
      </c>
      <c r="I49" s="16">
        <f t="shared" si="1"/>
        <v>0</v>
      </c>
      <c r="J49" s="16">
        <f t="shared" si="1"/>
        <v>1.4474024653423629E-3</v>
      </c>
      <c r="K49" s="16">
        <f t="shared" si="2"/>
        <v>1.4282013263893015E-2</v>
      </c>
      <c r="L49" s="16">
        <f t="shared" si="3"/>
        <v>1.44370164689651E-2</v>
      </c>
    </row>
    <row r="50" spans="1:12" x14ac:dyDescent="0.35">
      <c r="A50" s="18">
        <v>42324</v>
      </c>
      <c r="B50" s="15">
        <v>174.23347473144531</v>
      </c>
      <c r="C50" s="15">
        <v>61.259410858154297</v>
      </c>
      <c r="D50" s="15">
        <v>103.7099990844727</v>
      </c>
      <c r="E50" s="15">
        <v>103.5688095092773</v>
      </c>
      <c r="F50" s="15">
        <v>89.356193542480469</v>
      </c>
      <c r="H50" s="16">
        <f t="shared" si="1"/>
        <v>-7.3013052201551594E-4</v>
      </c>
      <c r="I50" s="16">
        <f t="shared" si="1"/>
        <v>1.109804047924877E-3</v>
      </c>
      <c r="J50" s="16">
        <f t="shared" si="1"/>
        <v>-1.329796618068887E-2</v>
      </c>
      <c r="K50" s="16">
        <f t="shared" si="2"/>
        <v>6.2838581921781248E-4</v>
      </c>
      <c r="L50" s="16">
        <f t="shared" si="3"/>
        <v>-1.2346145196754435E-3</v>
      </c>
    </row>
    <row r="51" spans="1:12" x14ac:dyDescent="0.35">
      <c r="A51" s="18">
        <v>42325</v>
      </c>
      <c r="B51" s="15">
        <v>174.10630798339841</v>
      </c>
      <c r="C51" s="15">
        <v>61.327434539794922</v>
      </c>
      <c r="D51" s="15">
        <v>102.3399963378906</v>
      </c>
      <c r="E51" s="15">
        <v>103.6339111328125</v>
      </c>
      <c r="F51" s="15">
        <v>89.245941162109375</v>
      </c>
      <c r="H51" s="16">
        <f t="shared" si="1"/>
        <v>1.5741733230608918E-2</v>
      </c>
      <c r="I51" s="16">
        <f t="shared" si="1"/>
        <v>-4.9332237937449236E-4</v>
      </c>
      <c r="J51" s="16">
        <f t="shared" si="1"/>
        <v>8.7907383461180444E-4</v>
      </c>
      <c r="K51" s="16">
        <f t="shared" si="2"/>
        <v>1.9012568438053379E-2</v>
      </c>
      <c r="L51" s="16">
        <f t="shared" si="3"/>
        <v>1.5840508031322496E-2</v>
      </c>
    </row>
    <row r="52" spans="1:12" x14ac:dyDescent="0.35">
      <c r="A52" s="18">
        <v>42326</v>
      </c>
      <c r="B52" s="15">
        <v>176.86872863769531</v>
      </c>
      <c r="C52" s="15">
        <v>61.297187805175781</v>
      </c>
      <c r="D52" s="15">
        <v>102.4300003051758</v>
      </c>
      <c r="E52" s="15">
        <v>105.62310791015619</v>
      </c>
      <c r="F52" s="15">
        <v>90.6708984375</v>
      </c>
      <c r="H52" s="16">
        <f t="shared" si="1"/>
        <v>-8.627452801703774E-4</v>
      </c>
      <c r="I52" s="16">
        <f t="shared" si="1"/>
        <v>1.3550725352460408E-3</v>
      </c>
      <c r="J52" s="16">
        <f t="shared" si="1"/>
        <v>1.0971489880734757E-2</v>
      </c>
      <c r="K52" s="16">
        <f t="shared" si="2"/>
        <v>7.0372781506220492E-4</v>
      </c>
      <c r="L52" s="16">
        <f t="shared" si="3"/>
        <v>-1.3108937689559888E-3</v>
      </c>
    </row>
    <row r="53" spans="1:12" x14ac:dyDescent="0.35">
      <c r="A53" s="18">
        <v>42327</v>
      </c>
      <c r="B53" s="15">
        <v>176.71620178222659</v>
      </c>
      <c r="C53" s="15">
        <v>61.380306243896477</v>
      </c>
      <c r="D53" s="15">
        <v>103.55999755859381</v>
      </c>
      <c r="E53" s="15">
        <v>105.6974639892578</v>
      </c>
      <c r="F53" s="15">
        <v>90.552116394042969</v>
      </c>
      <c r="H53" s="16">
        <f t="shared" si="1"/>
        <v>3.6377071853513671E-3</v>
      </c>
      <c r="I53" s="16">
        <f t="shared" si="1"/>
        <v>-2.4620072656300255E-4</v>
      </c>
      <c r="J53" s="16">
        <f t="shared" si="1"/>
        <v>-4.5487737236650965E-3</v>
      </c>
      <c r="K53" s="16">
        <f t="shared" si="2"/>
        <v>6.7485894719946969E-3</v>
      </c>
      <c r="L53" s="16">
        <f t="shared" si="3"/>
        <v>4.2996705504379359E-3</v>
      </c>
    </row>
    <row r="54" spans="1:12" x14ac:dyDescent="0.35">
      <c r="A54" s="18">
        <v>42328</v>
      </c>
      <c r="B54" s="15">
        <v>177.36021423339841</v>
      </c>
      <c r="C54" s="15">
        <v>61.365196228027337</v>
      </c>
      <c r="D54" s="15">
        <v>103.0899963378906</v>
      </c>
      <c r="E54" s="15">
        <v>106.41318511962891</v>
      </c>
      <c r="F54" s="15">
        <v>90.942298889160156</v>
      </c>
      <c r="H54" s="16">
        <f t="shared" si="1"/>
        <v>-1.1474748121670885E-3</v>
      </c>
      <c r="I54" s="16">
        <f t="shared" si="1"/>
        <v>3.6912301075072508E-4</v>
      </c>
      <c r="J54" s="16">
        <f t="shared" si="1"/>
        <v>-8.0837470428327136E-3</v>
      </c>
      <c r="K54" s="16">
        <f t="shared" si="2"/>
        <v>-2.8867701297393415E-3</v>
      </c>
      <c r="L54" s="16">
        <f t="shared" si="3"/>
        <v>-1.0266183432477397E-3</v>
      </c>
    </row>
    <row r="55" spans="1:12" x14ac:dyDescent="0.35">
      <c r="A55" s="18">
        <v>42331</v>
      </c>
      <c r="B55" s="15">
        <v>177.15681457519531</v>
      </c>
      <c r="C55" s="15">
        <v>61.387851715087891</v>
      </c>
      <c r="D55" s="15">
        <v>102.2600021362305</v>
      </c>
      <c r="E55" s="15">
        <v>106.1064376831055</v>
      </c>
      <c r="F55" s="15">
        <v>90.848983764648438</v>
      </c>
      <c r="H55" s="16">
        <f t="shared" si="1"/>
        <v>1.3388793881295325E-3</v>
      </c>
      <c r="I55" s="16">
        <f t="shared" si="1"/>
        <v>3.6880045524001606E-4</v>
      </c>
      <c r="J55" s="16">
        <f t="shared" si="1"/>
        <v>6.627707399356756E-3</v>
      </c>
      <c r="K55" s="16">
        <f t="shared" si="2"/>
        <v>-8.7623690617226024E-4</v>
      </c>
      <c r="L55" s="16">
        <f t="shared" si="3"/>
        <v>2.6110183441001209E-3</v>
      </c>
    </row>
    <row r="56" spans="1:12" x14ac:dyDescent="0.35">
      <c r="A56" s="18">
        <v>42332</v>
      </c>
      <c r="B56" s="15">
        <v>177.3941650390625</v>
      </c>
      <c r="C56" s="15">
        <v>61.410495758056641</v>
      </c>
      <c r="D56" s="15">
        <v>102.94000244140619</v>
      </c>
      <c r="E56" s="15">
        <v>106.0135040283203</v>
      </c>
      <c r="F56" s="15">
        <v>91.086502075195313</v>
      </c>
      <c r="H56" s="16">
        <f t="shared" si="1"/>
        <v>-1.4374356173360006E-4</v>
      </c>
      <c r="I56" s="16">
        <f t="shared" si="1"/>
        <v>1.2360718323780416E-4</v>
      </c>
      <c r="J56" s="16">
        <f t="shared" si="1"/>
        <v>-4.6738483658010505E-3</v>
      </c>
      <c r="K56" s="16">
        <f t="shared" si="2"/>
        <v>8.7623690617237603E-4</v>
      </c>
      <c r="L56" s="16">
        <f t="shared" si="3"/>
        <v>7.4426454440534515E-4</v>
      </c>
    </row>
    <row r="57" spans="1:12" x14ac:dyDescent="0.35">
      <c r="A57" s="18">
        <v>42333</v>
      </c>
      <c r="B57" s="15">
        <v>177.36866760253909</v>
      </c>
      <c r="C57" s="15">
        <v>61.418087005615227</v>
      </c>
      <c r="D57" s="15">
        <v>102.4599990844727</v>
      </c>
      <c r="E57" s="15">
        <v>106.1064376831055</v>
      </c>
      <c r="F57" s="15">
        <v>91.154319763183594</v>
      </c>
      <c r="H57" s="16">
        <f t="shared" si="1"/>
        <v>1.1457613076488592E-3</v>
      </c>
      <c r="I57" s="16">
        <f t="shared" si="1"/>
        <v>4.9160657450340493E-4</v>
      </c>
      <c r="J57" s="16">
        <f t="shared" si="1"/>
        <v>-1.1879763588946955E-2</v>
      </c>
      <c r="K57" s="16">
        <f t="shared" si="2"/>
        <v>1.4009871424468779E-3</v>
      </c>
      <c r="L57" s="16">
        <f t="shared" si="3"/>
        <v>1.4880393824379401E-3</v>
      </c>
    </row>
    <row r="58" spans="1:12" x14ac:dyDescent="0.35">
      <c r="A58" s="18">
        <v>42335</v>
      </c>
      <c r="B58" s="15">
        <v>177.57200622558591</v>
      </c>
      <c r="C58" s="15">
        <v>61.448287963867188</v>
      </c>
      <c r="D58" s="15">
        <v>101.25</v>
      </c>
      <c r="E58" s="15">
        <v>106.2551956176758</v>
      </c>
      <c r="F58" s="15">
        <v>91.290061950683594</v>
      </c>
      <c r="H58" s="16">
        <f t="shared" si="1"/>
        <v>-4.16009861152245E-3</v>
      </c>
      <c r="I58" s="16">
        <f t="shared" si="1"/>
        <v>-4.9160657450342238E-4</v>
      </c>
      <c r="J58" s="16">
        <f t="shared" si="1"/>
        <v>6.5954678715970955E-3</v>
      </c>
      <c r="K58" s="16">
        <f t="shared" si="2"/>
        <v>-2.5401513290040532E-3</v>
      </c>
      <c r="L58" s="16">
        <f t="shared" si="3"/>
        <v>-4.2830043342120296E-3</v>
      </c>
    </row>
    <row r="59" spans="1:12" x14ac:dyDescent="0.35">
      <c r="A59" s="18">
        <v>42338</v>
      </c>
      <c r="B59" s="15">
        <v>176.83482360839841</v>
      </c>
      <c r="C59" s="15">
        <v>61.418087005615227</v>
      </c>
      <c r="D59" s="15">
        <v>101.9199981689453</v>
      </c>
      <c r="E59" s="15">
        <v>105.9856338500977</v>
      </c>
      <c r="F59" s="15">
        <v>90.89990234375</v>
      </c>
      <c r="H59" s="16">
        <f t="shared" si="1"/>
        <v>9.4906353983675914E-3</v>
      </c>
      <c r="I59" s="16">
        <f t="shared" si="1"/>
        <v>3.7763729983787374E-3</v>
      </c>
      <c r="J59" s="16">
        <f t="shared" si="1"/>
        <v>3.5259646298251997E-3</v>
      </c>
      <c r="K59" s="16">
        <f t="shared" si="2"/>
        <v>9.9485141167228817E-3</v>
      </c>
      <c r="L59" s="16">
        <f t="shared" si="3"/>
        <v>9.3800701019957893E-3</v>
      </c>
    </row>
    <row r="60" spans="1:12" x14ac:dyDescent="0.35">
      <c r="A60" s="18">
        <v>42339</v>
      </c>
      <c r="B60" s="15">
        <v>178.5210876464844</v>
      </c>
      <c r="C60" s="15">
        <v>61.650463104248047</v>
      </c>
      <c r="D60" s="15">
        <v>102.2799987792969</v>
      </c>
      <c r="E60" s="15">
        <v>107.045295715332</v>
      </c>
      <c r="F60" s="15">
        <v>91.756561279296875</v>
      </c>
      <c r="H60" s="16">
        <f t="shared" si="1"/>
        <v>-1.0257515273459718E-2</v>
      </c>
      <c r="I60" s="16">
        <f t="shared" si="1"/>
        <v>-1.2287499527595641E-3</v>
      </c>
      <c r="J60" s="16">
        <f t="shared" si="1"/>
        <v>-1.56676243137884E-2</v>
      </c>
      <c r="K60" s="16">
        <f t="shared" si="2"/>
        <v>-6.1843042693006519E-3</v>
      </c>
      <c r="L60" s="16">
        <f t="shared" si="3"/>
        <v>-1.050068400389033E-2</v>
      </c>
    </row>
    <row r="61" spans="1:12" x14ac:dyDescent="0.35">
      <c r="A61" s="18">
        <v>42340</v>
      </c>
      <c r="B61" s="15">
        <v>176.69926452636719</v>
      </c>
      <c r="C61" s="15">
        <v>61.574756622314453</v>
      </c>
      <c r="D61" s="15">
        <v>100.69000244140619</v>
      </c>
      <c r="E61" s="15">
        <v>106.3853378295898</v>
      </c>
      <c r="F61" s="15">
        <v>90.798095703125</v>
      </c>
      <c r="H61" s="16">
        <f t="shared" si="1"/>
        <v>-1.4101614687066784E-2</v>
      </c>
      <c r="I61" s="16">
        <f t="shared" si="1"/>
        <v>-7.7747391066307963E-3</v>
      </c>
      <c r="J61" s="16">
        <f t="shared" si="1"/>
        <v>1.0570606410360416E-2</v>
      </c>
      <c r="K61" s="16">
        <f t="shared" si="2"/>
        <v>-1.7095867654693415E-2</v>
      </c>
      <c r="L61" s="16">
        <f t="shared" si="3"/>
        <v>-1.5059187076959399E-2</v>
      </c>
    </row>
    <row r="62" spans="1:12" x14ac:dyDescent="0.35">
      <c r="A62" s="18">
        <v>42341</v>
      </c>
      <c r="B62" s="15">
        <v>174.2250061035156</v>
      </c>
      <c r="C62" s="15">
        <v>61.097885131835938</v>
      </c>
      <c r="D62" s="15">
        <v>101.7600021362305</v>
      </c>
      <c r="E62" s="15">
        <v>104.58204650878911</v>
      </c>
      <c r="F62" s="15">
        <v>89.440994262695313</v>
      </c>
      <c r="H62" s="16">
        <f t="shared" si="1"/>
        <v>1.931478554510686E-2</v>
      </c>
      <c r="I62" s="16">
        <f t="shared" si="1"/>
        <v>3.9564635556621607E-3</v>
      </c>
      <c r="J62" s="16">
        <f t="shared" si="1"/>
        <v>2.1966035488281372E-2</v>
      </c>
      <c r="K62" s="16">
        <f t="shared" si="2"/>
        <v>2.3106394272559942E-2</v>
      </c>
      <c r="L62" s="16">
        <f t="shared" si="3"/>
        <v>1.8230501386222616E-2</v>
      </c>
    </row>
    <row r="63" spans="1:12" x14ac:dyDescent="0.35">
      <c r="A63" s="18">
        <v>42342</v>
      </c>
      <c r="B63" s="15">
        <v>177.6228332519531</v>
      </c>
      <c r="C63" s="15">
        <v>61.340095520019531</v>
      </c>
      <c r="D63" s="15">
        <v>104.01999664306641</v>
      </c>
      <c r="E63" s="15">
        <v>107.0266952514648</v>
      </c>
      <c r="F63" s="15">
        <v>91.086502075195313</v>
      </c>
      <c r="H63" s="16">
        <f t="shared" si="1"/>
        <v>-6.0767439147714529E-3</v>
      </c>
      <c r="I63" s="16">
        <f t="shared" si="1"/>
        <v>1.7260659030201011E-3</v>
      </c>
      <c r="J63" s="16">
        <f t="shared" si="1"/>
        <v>-1.3063212596420537E-2</v>
      </c>
      <c r="K63" s="16">
        <f t="shared" si="2"/>
        <v>-4.5262734218608222E-3</v>
      </c>
      <c r="L63" s="16">
        <f t="shared" si="3"/>
        <v>-7.8530057749896312E-3</v>
      </c>
    </row>
    <row r="64" spans="1:12" x14ac:dyDescent="0.35">
      <c r="A64" s="18">
        <v>42345</v>
      </c>
      <c r="B64" s="15">
        <v>176.54673767089841</v>
      </c>
      <c r="C64" s="15">
        <v>61.446063995361328</v>
      </c>
      <c r="D64" s="15">
        <v>102.6699981689453</v>
      </c>
      <c r="E64" s="15">
        <v>106.54335784912109</v>
      </c>
      <c r="F64" s="15">
        <v>90.374000549316406</v>
      </c>
      <c r="H64" s="16">
        <f t="shared" si="1"/>
        <v>-6.7422003558163749E-3</v>
      </c>
      <c r="I64" s="16">
        <f t="shared" si="1"/>
        <v>2.4668361505290919E-4</v>
      </c>
      <c r="J64" s="16">
        <f t="shared" si="1"/>
        <v>1.6544033114078468E-3</v>
      </c>
      <c r="K64" s="16">
        <f t="shared" si="2"/>
        <v>8.7143570232396054E-5</v>
      </c>
      <c r="L64" s="16">
        <f t="shared" si="3"/>
        <v>-6.0244415724483866E-3</v>
      </c>
    </row>
    <row r="65" spans="1:12" x14ac:dyDescent="0.35">
      <c r="A65" s="18">
        <v>42346</v>
      </c>
      <c r="B65" s="15">
        <v>175.36042785644531</v>
      </c>
      <c r="C65" s="15">
        <v>61.461223602294922</v>
      </c>
      <c r="D65" s="15">
        <v>102.8399963378906</v>
      </c>
      <c r="E65" s="15">
        <v>106.5526428222656</v>
      </c>
      <c r="F65" s="15">
        <v>89.831184387207031</v>
      </c>
      <c r="H65" s="16">
        <f t="shared" si="1"/>
        <v>-7.8099805086668875E-3</v>
      </c>
      <c r="I65" s="16">
        <f t="shared" si="1"/>
        <v>-3.6998615643348698E-4</v>
      </c>
      <c r="J65" s="16">
        <f t="shared" si="1"/>
        <v>-1.9466324270584921E-3</v>
      </c>
      <c r="K65" s="16">
        <f t="shared" si="2"/>
        <v>-1.5295893066259067E-2</v>
      </c>
      <c r="L65" s="16">
        <f t="shared" si="3"/>
        <v>-8.629617386397519E-3</v>
      </c>
    </row>
    <row r="66" spans="1:12" x14ac:dyDescent="0.35">
      <c r="A66" s="18">
        <v>42347</v>
      </c>
      <c r="B66" s="15">
        <v>173.99620056152341</v>
      </c>
      <c r="C66" s="15">
        <v>61.438488006591797</v>
      </c>
      <c r="D66" s="15">
        <v>102.63999938964839</v>
      </c>
      <c r="E66" s="15">
        <v>104.9352264404297</v>
      </c>
      <c r="F66" s="15">
        <v>89.059310913085938</v>
      </c>
      <c r="H66" s="16">
        <f t="shared" si="1"/>
        <v>2.5776590449182813E-3</v>
      </c>
      <c r="I66" s="16">
        <f t="shared" si="1"/>
        <v>-1.2244838415419271E-4</v>
      </c>
      <c r="J66" s="16">
        <f t="shared" si="1"/>
        <v>-8.7720008373367501E-4</v>
      </c>
      <c r="K66" s="16">
        <f t="shared" si="2"/>
        <v>4.5074706689837143E-3</v>
      </c>
      <c r="L66" s="16">
        <f t="shared" si="3"/>
        <v>2.9478877227305401E-3</v>
      </c>
    </row>
    <row r="67" spans="1:12" x14ac:dyDescent="0.35">
      <c r="A67" s="18">
        <v>42348</v>
      </c>
      <c r="B67" s="15">
        <v>174.4452819824219</v>
      </c>
      <c r="C67" s="15">
        <v>61.430965423583977</v>
      </c>
      <c r="D67" s="15">
        <v>102.5500030517578</v>
      </c>
      <c r="E67" s="15">
        <v>105.40928649902339</v>
      </c>
      <c r="F67" s="15">
        <v>89.322235107421875</v>
      </c>
      <c r="H67" s="16">
        <f t="shared" si="1"/>
        <v>-1.9571431414252823E-2</v>
      </c>
      <c r="I67" s="16">
        <f t="shared" si="1"/>
        <v>2.7065087851231751E-3</v>
      </c>
      <c r="J67" s="16">
        <f t="shared" si="1"/>
        <v>5.445871172154601E-3</v>
      </c>
      <c r="K67" s="16">
        <f t="shared" si="2"/>
        <v>-2.3284796502174281E-2</v>
      </c>
      <c r="L67" s="16">
        <f t="shared" si="3"/>
        <v>-1.9851883508801193E-2</v>
      </c>
    </row>
    <row r="68" spans="1:12" x14ac:dyDescent="0.35">
      <c r="A68" s="18">
        <v>42349</v>
      </c>
      <c r="B68" s="15">
        <v>171.0643310546875</v>
      </c>
      <c r="C68" s="15">
        <v>61.597454071044922</v>
      </c>
      <c r="D68" s="15">
        <v>103.11000061035161</v>
      </c>
      <c r="E68" s="15">
        <v>102.9832077026367</v>
      </c>
      <c r="F68" s="15">
        <v>87.566505432128906</v>
      </c>
      <c r="H68" s="16">
        <f t="shared" ref="H68:J131" si="4">LN(B69/B68)</f>
        <v>5.0395188437576312E-3</v>
      </c>
      <c r="I68" s="16">
        <f t="shared" si="4"/>
        <v>-4.6804176119566911E-3</v>
      </c>
      <c r="J68" s="16">
        <f t="shared" si="4"/>
        <v>-1.2884508990750347E-2</v>
      </c>
      <c r="K68" s="16">
        <f t="shared" ref="K68:K131" si="5">LN(E69/E68)</f>
        <v>7.5534403584475605E-3</v>
      </c>
      <c r="L68" s="16">
        <f t="shared" ref="L68:L131" si="6">LN(F69/F68)</f>
        <v>3.5777298646784391E-3</v>
      </c>
    </row>
    <row r="69" spans="1:12" x14ac:dyDescent="0.35">
      <c r="A69" s="18">
        <v>42352</v>
      </c>
      <c r="B69" s="15">
        <v>171.9285888671875</v>
      </c>
      <c r="C69" s="15">
        <v>61.309825897216797</v>
      </c>
      <c r="D69" s="15">
        <v>101.7900009155273</v>
      </c>
      <c r="E69" s="15">
        <v>103.764030456543</v>
      </c>
      <c r="F69" s="15">
        <v>87.880355834960938</v>
      </c>
      <c r="H69" s="16">
        <f t="shared" si="4"/>
        <v>1.0443424351301132E-2</v>
      </c>
      <c r="I69" s="16">
        <f t="shared" si="4"/>
        <v>-1.1124276686446826E-3</v>
      </c>
      <c r="J69" s="16">
        <f t="shared" si="4"/>
        <v>-2.6560861191139641E-3</v>
      </c>
      <c r="K69" s="16">
        <f t="shared" si="5"/>
        <v>6.0731091370079216E-3</v>
      </c>
      <c r="L69" s="16">
        <f t="shared" si="6"/>
        <v>1.065616494895379E-2</v>
      </c>
    </row>
    <row r="70" spans="1:12" x14ac:dyDescent="0.35">
      <c r="A70" s="18">
        <v>42353</v>
      </c>
      <c r="B70" s="15">
        <v>173.7335205078125</v>
      </c>
      <c r="C70" s="15">
        <v>61.241661071777337</v>
      </c>
      <c r="D70" s="15">
        <v>101.51999664306641</v>
      </c>
      <c r="E70" s="15">
        <v>104.3961181640625</v>
      </c>
      <c r="F70" s="15">
        <v>88.821830749511719</v>
      </c>
      <c r="H70" s="16">
        <f t="shared" si="4"/>
        <v>1.4526069522185218E-2</v>
      </c>
      <c r="I70" s="16">
        <f t="shared" si="4"/>
        <v>-1.1122946526643915E-3</v>
      </c>
      <c r="J70" s="16">
        <f t="shared" si="4"/>
        <v>1.2043063036934096E-2</v>
      </c>
      <c r="K70" s="16">
        <f t="shared" si="5"/>
        <v>1.4760217487516429E-2</v>
      </c>
      <c r="L70" s="16">
        <f t="shared" si="6"/>
        <v>1.4410714184851316E-2</v>
      </c>
    </row>
    <row r="71" spans="1:12" x14ac:dyDescent="0.35">
      <c r="A71" s="18">
        <v>42354</v>
      </c>
      <c r="B71" s="15">
        <v>176.2756042480469</v>
      </c>
      <c r="C71" s="15">
        <v>61.173580169677727</v>
      </c>
      <c r="D71" s="15">
        <v>102.75</v>
      </c>
      <c r="E71" s="15">
        <v>105.9484558105469</v>
      </c>
      <c r="F71" s="15">
        <v>90.111083984375</v>
      </c>
      <c r="H71" s="16">
        <f t="shared" si="4"/>
        <v>-1.5355692138947165E-2</v>
      </c>
      <c r="I71" s="16">
        <f t="shared" si="4"/>
        <v>2.1014569077260118E-3</v>
      </c>
      <c r="J71" s="16">
        <f t="shared" si="4"/>
        <v>-2.2141125877213518E-2</v>
      </c>
      <c r="K71" s="16">
        <f t="shared" si="5"/>
        <v>-1.4671135461656186E-2</v>
      </c>
      <c r="L71" s="16">
        <f t="shared" si="6"/>
        <v>-1.4792850321890419E-2</v>
      </c>
    </row>
    <row r="72" spans="1:12" x14ac:dyDescent="0.35">
      <c r="A72" s="18">
        <v>42355</v>
      </c>
      <c r="B72" s="15">
        <v>173.5894470214844</v>
      </c>
      <c r="C72" s="15">
        <v>61.302268981933587</v>
      </c>
      <c r="D72" s="15">
        <v>100.5</v>
      </c>
      <c r="E72" s="15">
        <v>104.40541839599609</v>
      </c>
      <c r="F72" s="15">
        <v>88.787895202636719</v>
      </c>
      <c r="H72" s="16">
        <f t="shared" si="4"/>
        <v>-1.7975703137157895E-2</v>
      </c>
      <c r="I72" s="16">
        <f t="shared" si="4"/>
        <v>2.2196226245708374E-3</v>
      </c>
      <c r="J72" s="16">
        <f t="shared" si="4"/>
        <v>1.5207174746719445E-2</v>
      </c>
      <c r="K72" s="16">
        <f t="shared" si="5"/>
        <v>-1.9368695744423452E-2</v>
      </c>
      <c r="L72" s="16">
        <f t="shared" si="6"/>
        <v>-1.7150064603732789E-2</v>
      </c>
    </row>
    <row r="73" spans="1:12" x14ac:dyDescent="0.35">
      <c r="A73" s="18">
        <v>42356</v>
      </c>
      <c r="B73" s="15">
        <v>170.49693298339841</v>
      </c>
      <c r="C73" s="15">
        <v>61.438488006591797</v>
      </c>
      <c r="D73" s="15">
        <v>102.0400009155273</v>
      </c>
      <c r="E73" s="15">
        <v>102.4026794433594</v>
      </c>
      <c r="F73" s="15">
        <v>87.278160095214844</v>
      </c>
      <c r="H73" s="16">
        <f t="shared" si="4"/>
        <v>8.2150081437390374E-3</v>
      </c>
      <c r="I73" s="16">
        <f t="shared" si="4"/>
        <v>-1.1094751856099395E-3</v>
      </c>
      <c r="J73" s="16">
        <f t="shared" si="4"/>
        <v>1.0819352064226224E-2</v>
      </c>
      <c r="K73" s="16">
        <f t="shared" si="5"/>
        <v>1.1046836378458255E-2</v>
      </c>
      <c r="L73" s="16">
        <f t="shared" si="6"/>
        <v>7.9139863276858329E-3</v>
      </c>
    </row>
    <row r="74" spans="1:12" x14ac:dyDescent="0.35">
      <c r="A74" s="18">
        <v>42359</v>
      </c>
      <c r="B74" s="15">
        <v>171.90333557128909</v>
      </c>
      <c r="C74" s="15">
        <v>61.370361328125</v>
      </c>
      <c r="D74" s="15">
        <v>103.15000152587891</v>
      </c>
      <c r="E74" s="15">
        <v>103.54017639160161</v>
      </c>
      <c r="F74" s="15">
        <v>87.97161865234375</v>
      </c>
      <c r="H74" s="16">
        <f t="shared" si="4"/>
        <v>9.0337483556647037E-3</v>
      </c>
      <c r="I74" s="16">
        <f t="shared" si="4"/>
        <v>-1.3572840458642311E-3</v>
      </c>
      <c r="J74" s="16">
        <f t="shared" si="4"/>
        <v>-5.2488544876920654E-3</v>
      </c>
      <c r="K74" s="16">
        <f t="shared" si="5"/>
        <v>6.5518129653523247E-3</v>
      </c>
      <c r="L74" s="16">
        <f t="shared" si="6"/>
        <v>8.9776584350122219E-3</v>
      </c>
    </row>
    <row r="75" spans="1:12" x14ac:dyDescent="0.35">
      <c r="A75" s="18">
        <v>42360</v>
      </c>
      <c r="B75" s="15">
        <v>173.46330261230469</v>
      </c>
      <c r="C75" s="15">
        <v>61.287120819091797</v>
      </c>
      <c r="D75" s="15">
        <v>102.61000061035161</v>
      </c>
      <c r="E75" s="15">
        <v>104.2207794189453</v>
      </c>
      <c r="F75" s="15">
        <v>88.76495361328125</v>
      </c>
      <c r="H75" s="16">
        <f t="shared" si="4"/>
        <v>1.2307038499117632E-2</v>
      </c>
      <c r="I75" s="16">
        <f t="shared" si="4"/>
        <v>1.2348258497350804E-4</v>
      </c>
      <c r="J75" s="16">
        <f t="shared" si="4"/>
        <v>-2.9280037943663147E-3</v>
      </c>
      <c r="K75" s="16">
        <f t="shared" si="5"/>
        <v>7.3980308524221865E-3</v>
      </c>
      <c r="L75" s="16">
        <f t="shared" si="6"/>
        <v>1.2415261927725702E-2</v>
      </c>
    </row>
    <row r="76" spans="1:12" x14ac:dyDescent="0.35">
      <c r="A76" s="18">
        <v>42361</v>
      </c>
      <c r="B76" s="15">
        <v>175.61131286621091</v>
      </c>
      <c r="C76" s="15">
        <v>61.294689178466797</v>
      </c>
      <c r="D76" s="15">
        <v>102.30999755859381</v>
      </c>
      <c r="E76" s="15">
        <v>104.9946670532227</v>
      </c>
      <c r="F76" s="15">
        <v>89.873863220214844</v>
      </c>
      <c r="H76" s="16">
        <f t="shared" si="4"/>
        <v>-1.651395478050876E-3</v>
      </c>
      <c r="I76" s="16">
        <f t="shared" si="4"/>
        <v>7.4268990780014901E-4</v>
      </c>
      <c r="J76" s="16">
        <f t="shared" si="4"/>
        <v>7.2069409227903556E-3</v>
      </c>
      <c r="K76" s="16">
        <f t="shared" si="5"/>
        <v>-1.7768070910595458E-4</v>
      </c>
      <c r="L76" s="16">
        <f t="shared" si="6"/>
        <v>-1.2343833868600628E-3</v>
      </c>
    </row>
    <row r="77" spans="1:12" x14ac:dyDescent="0.35">
      <c r="A77" s="18">
        <v>42362</v>
      </c>
      <c r="B77" s="15">
        <v>175.32154846191409</v>
      </c>
      <c r="C77" s="15">
        <v>61.340229034423828</v>
      </c>
      <c r="D77" s="15">
        <v>103.0500030517578</v>
      </c>
      <c r="E77" s="15">
        <v>104.97601318359381</v>
      </c>
      <c r="F77" s="15">
        <v>89.762992858886719</v>
      </c>
      <c r="H77" s="16">
        <f t="shared" si="4"/>
        <v>-2.287844906971764E-3</v>
      </c>
      <c r="I77" s="16">
        <f t="shared" si="4"/>
        <v>0</v>
      </c>
      <c r="J77" s="16">
        <f t="shared" si="4"/>
        <v>-7.597994957113322E-3</v>
      </c>
      <c r="K77" s="16">
        <f t="shared" si="5"/>
        <v>-5.3301347971562501E-4</v>
      </c>
      <c r="L77" s="16">
        <f t="shared" si="6"/>
        <v>-2.1882908077870624E-3</v>
      </c>
    </row>
    <row r="78" spans="1:12" x14ac:dyDescent="0.35">
      <c r="A78" s="18">
        <v>42366</v>
      </c>
      <c r="B78" s="15">
        <v>174.9208984375</v>
      </c>
      <c r="C78" s="15">
        <v>61.340229034423828</v>
      </c>
      <c r="D78" s="15">
        <v>102.26999664306641</v>
      </c>
      <c r="E78" s="15">
        <v>104.9200744628906</v>
      </c>
      <c r="F78" s="15">
        <v>89.566780090332031</v>
      </c>
      <c r="H78" s="16">
        <f t="shared" si="4"/>
        <v>1.0615222243182012E-2</v>
      </c>
      <c r="I78" s="16">
        <f t="shared" si="4"/>
        <v>-3.0979581184517866E-3</v>
      </c>
      <c r="J78" s="16">
        <f t="shared" si="4"/>
        <v>-6.8469408473511412E-4</v>
      </c>
      <c r="K78" s="16">
        <f t="shared" si="5"/>
        <v>1.5606543405326976E-2</v>
      </c>
      <c r="L78" s="16">
        <f t="shared" si="6"/>
        <v>1.0610311041533217E-2</v>
      </c>
    </row>
    <row r="79" spans="1:12" x14ac:dyDescent="0.35">
      <c r="A79" s="18">
        <v>42367</v>
      </c>
      <c r="B79" s="15">
        <v>176.78761291503909</v>
      </c>
      <c r="C79" s="15">
        <v>61.150493621826172</v>
      </c>
      <c r="D79" s="15">
        <v>102.1999969482422</v>
      </c>
      <c r="E79" s="15">
        <v>106.5703582763672</v>
      </c>
      <c r="F79" s="15">
        <v>90.522171020507813</v>
      </c>
      <c r="H79" s="16">
        <f t="shared" si="4"/>
        <v>-7.1129580075883457E-3</v>
      </c>
      <c r="I79" s="16">
        <f t="shared" si="4"/>
        <v>6.1988607680990462E-4</v>
      </c>
      <c r="J79" s="16">
        <f t="shared" si="4"/>
        <v>-7.6613555962646972E-3</v>
      </c>
      <c r="K79" s="16">
        <f t="shared" si="5"/>
        <v>-9.0518328888246503E-3</v>
      </c>
      <c r="L79" s="16">
        <f t="shared" si="6"/>
        <v>-7.5672521952236151E-3</v>
      </c>
    </row>
    <row r="80" spans="1:12" x14ac:dyDescent="0.35">
      <c r="A80" s="18">
        <v>42368</v>
      </c>
      <c r="B80" s="15">
        <v>175.53459167480469</v>
      </c>
      <c r="C80" s="15">
        <v>61.188411712646477</v>
      </c>
      <c r="D80" s="15">
        <v>101.4199981689453</v>
      </c>
      <c r="E80" s="15">
        <v>105.6100540161133</v>
      </c>
      <c r="F80" s="15">
        <v>89.839752197265625</v>
      </c>
      <c r="H80" s="16">
        <f t="shared" si="4"/>
        <v>-1.0053553933523217E-2</v>
      </c>
      <c r="I80" s="16">
        <f t="shared" si="4"/>
        <v>1.9837326282925545E-3</v>
      </c>
      <c r="J80" s="16">
        <f t="shared" si="4"/>
        <v>3.9433080231928314E-4</v>
      </c>
      <c r="K80" s="16">
        <f t="shared" si="5"/>
        <v>-1.252651296686365E-2</v>
      </c>
      <c r="L80" s="16">
        <f t="shared" si="6"/>
        <v>-9.7320772964148462E-3</v>
      </c>
    </row>
    <row r="81" spans="1:12" x14ac:dyDescent="0.35">
      <c r="A81" s="18">
        <v>42369</v>
      </c>
      <c r="B81" s="15">
        <v>173.7786865234375</v>
      </c>
      <c r="C81" s="15">
        <v>61.309913635253913</v>
      </c>
      <c r="D81" s="15">
        <v>101.4599990844727</v>
      </c>
      <c r="E81" s="15">
        <v>104.2953796386719</v>
      </c>
      <c r="F81" s="15">
        <v>88.96966552734375</v>
      </c>
      <c r="H81" s="16">
        <f t="shared" si="4"/>
        <v>-1.4078385496854209E-2</v>
      </c>
      <c r="I81" s="16">
        <f t="shared" si="4"/>
        <v>-4.9607792334531691E-4</v>
      </c>
      <c r="J81" s="16">
        <f t="shared" si="4"/>
        <v>1.399582734062545E-2</v>
      </c>
      <c r="K81" s="16">
        <f t="shared" si="5"/>
        <v>-2.1323522112818575E-2</v>
      </c>
      <c r="L81" s="16">
        <f t="shared" si="6"/>
        <v>-1.5069719431073866E-2</v>
      </c>
    </row>
    <row r="82" spans="1:12" x14ac:dyDescent="0.35">
      <c r="A82" s="18">
        <v>42373</v>
      </c>
      <c r="B82" s="15">
        <v>171.34930419921881</v>
      </c>
      <c r="C82" s="15">
        <v>61.279506683349609</v>
      </c>
      <c r="D82" s="15">
        <v>102.88999938964839</v>
      </c>
      <c r="E82" s="15">
        <v>102.0949783325195</v>
      </c>
      <c r="F82" s="15">
        <v>87.638969421386719</v>
      </c>
      <c r="H82" s="16">
        <f t="shared" si="4"/>
        <v>1.6900905438498163E-3</v>
      </c>
      <c r="I82" s="16">
        <f t="shared" si="4"/>
        <v>1.2378373900804307E-3</v>
      </c>
      <c r="J82" s="16">
        <f t="shared" si="4"/>
        <v>2.8145883185668828E-3</v>
      </c>
      <c r="K82" s="16">
        <f t="shared" si="5"/>
        <v>-1.7366258163514813E-3</v>
      </c>
      <c r="L82" s="16">
        <f t="shared" si="6"/>
        <v>2.2360258195710755E-3</v>
      </c>
    </row>
    <row r="83" spans="1:12" x14ac:dyDescent="0.35">
      <c r="A83" s="18">
        <v>42374</v>
      </c>
      <c r="B83" s="15">
        <v>171.63914489746091</v>
      </c>
      <c r="C83" s="15">
        <v>61.35540771484375</v>
      </c>
      <c r="D83" s="15">
        <v>103.1800003051758</v>
      </c>
      <c r="E83" s="15">
        <v>101.91783142089839</v>
      </c>
      <c r="F83" s="15">
        <v>87.835151672363281</v>
      </c>
      <c r="H83" s="16">
        <f t="shared" si="4"/>
        <v>-1.2694220978330154E-2</v>
      </c>
      <c r="I83" s="16">
        <f t="shared" si="4"/>
        <v>4.4454149709588723E-3</v>
      </c>
      <c r="J83" s="16">
        <f t="shared" si="4"/>
        <v>1.4337487598989413E-2</v>
      </c>
      <c r="K83" s="16">
        <f t="shared" si="5"/>
        <v>-9.6520979829414072E-3</v>
      </c>
      <c r="L83" s="16">
        <f t="shared" si="6"/>
        <v>-1.3492477007225319E-2</v>
      </c>
    </row>
    <row r="84" spans="1:12" x14ac:dyDescent="0.35">
      <c r="A84" s="18">
        <v>42375</v>
      </c>
      <c r="B84" s="15">
        <v>169.4740905761719</v>
      </c>
      <c r="C84" s="15">
        <v>61.628765106201172</v>
      </c>
      <c r="D84" s="15">
        <v>104.6699981689453</v>
      </c>
      <c r="E84" s="15">
        <v>100.9388427734375</v>
      </c>
      <c r="F84" s="15">
        <v>86.657997131347656</v>
      </c>
      <c r="H84" s="16">
        <f t="shared" si="4"/>
        <v>-2.4284233637821229E-2</v>
      </c>
      <c r="I84" s="16">
        <f t="shared" si="4"/>
        <v>1.2273620041657147E-4</v>
      </c>
      <c r="J84" s="16">
        <f t="shared" si="4"/>
        <v>1.4040676150811138E-2</v>
      </c>
      <c r="K84" s="16">
        <f t="shared" si="5"/>
        <v>-3.1814278402569666E-2</v>
      </c>
      <c r="L84" s="16">
        <f t="shared" si="6"/>
        <v>-2.481543412543296E-2</v>
      </c>
    </row>
    <row r="85" spans="1:12" x14ac:dyDescent="0.35">
      <c r="A85" s="18">
        <v>42376</v>
      </c>
      <c r="B85" s="15">
        <v>165.4081115722656</v>
      </c>
      <c r="C85" s="15">
        <v>61.636329650878913</v>
      </c>
      <c r="D85" s="15">
        <v>106.15000152587891</v>
      </c>
      <c r="E85" s="15">
        <v>97.778091430664063</v>
      </c>
      <c r="F85" s="15">
        <v>84.534004211425781</v>
      </c>
      <c r="H85" s="16">
        <f t="shared" si="4"/>
        <v>-1.1037158132708251E-2</v>
      </c>
      <c r="I85" s="16">
        <f t="shared" si="4"/>
        <v>1.2303666797408397E-3</v>
      </c>
      <c r="J85" s="16">
        <f t="shared" si="4"/>
        <v>-4.4375394222029244E-3</v>
      </c>
      <c r="K85" s="16">
        <f t="shared" si="5"/>
        <v>-8.2344379283710353E-3</v>
      </c>
      <c r="L85" s="16">
        <f t="shared" si="6"/>
        <v>-1.1468448116085748E-2</v>
      </c>
    </row>
    <row r="86" spans="1:12" x14ac:dyDescent="0.35">
      <c r="A86" s="18">
        <v>42377</v>
      </c>
      <c r="B86" s="15">
        <v>163.59251403808591</v>
      </c>
      <c r="C86" s="15">
        <v>61.712211608886719</v>
      </c>
      <c r="D86" s="15">
        <v>105.6800003051758</v>
      </c>
      <c r="E86" s="15">
        <v>96.976249694824219</v>
      </c>
      <c r="F86" s="15">
        <v>83.570068359375</v>
      </c>
      <c r="H86" s="16">
        <f t="shared" si="4"/>
        <v>9.8951148361313196E-4</v>
      </c>
      <c r="I86" s="16">
        <f t="shared" si="4"/>
        <v>-4.1912503116009045E-3</v>
      </c>
      <c r="J86" s="16">
        <f t="shared" si="4"/>
        <v>-8.9345946460186836E-3</v>
      </c>
      <c r="K86" s="16">
        <f t="shared" si="5"/>
        <v>3.072248267810013E-3</v>
      </c>
      <c r="L86" s="16">
        <f t="shared" si="6"/>
        <v>-6.1249227681017023E-4</v>
      </c>
    </row>
    <row r="87" spans="1:12" x14ac:dyDescent="0.35">
      <c r="A87" s="18">
        <v>42380</v>
      </c>
      <c r="B87" s="15">
        <v>163.75447082519531</v>
      </c>
      <c r="C87" s="15">
        <v>61.4541015625</v>
      </c>
      <c r="D87" s="15">
        <v>104.7399978637695</v>
      </c>
      <c r="E87" s="15">
        <v>97.274642944335938</v>
      </c>
      <c r="F87" s="15">
        <v>83.518898010253906</v>
      </c>
      <c r="H87" s="16">
        <f t="shared" si="4"/>
        <v>8.0359727253361303E-3</v>
      </c>
      <c r="I87" s="16">
        <f t="shared" si="4"/>
        <v>2.5914534773793371E-3</v>
      </c>
      <c r="J87" s="16">
        <f t="shared" si="4"/>
        <v>-5.0729832368570258E-3</v>
      </c>
      <c r="K87" s="16">
        <f t="shared" si="5"/>
        <v>1.1530848504093588E-2</v>
      </c>
      <c r="L87" s="16">
        <f t="shared" si="6"/>
        <v>6.819489190502289E-3</v>
      </c>
    </row>
    <row r="88" spans="1:12" x14ac:dyDescent="0.35">
      <c r="A88" s="18">
        <v>42381</v>
      </c>
      <c r="B88" s="15">
        <v>165.07569885253909</v>
      </c>
      <c r="C88" s="15">
        <v>61.613563537597663</v>
      </c>
      <c r="D88" s="15">
        <v>104.2099990844727</v>
      </c>
      <c r="E88" s="15">
        <v>98.402793884277344</v>
      </c>
      <c r="F88" s="15">
        <v>84.090400695800781</v>
      </c>
      <c r="H88" s="16">
        <f t="shared" si="4"/>
        <v>-2.5257226905452526E-2</v>
      </c>
      <c r="I88" s="16">
        <f t="shared" si="4"/>
        <v>2.4614877231737358E-3</v>
      </c>
      <c r="J88" s="16">
        <f t="shared" si="4"/>
        <v>4.8820480395444163E-3</v>
      </c>
      <c r="K88" s="16">
        <f t="shared" si="5"/>
        <v>-3.5098026377353042E-2</v>
      </c>
      <c r="L88" s="16">
        <f t="shared" si="6"/>
        <v>-2.6103273698747546E-2</v>
      </c>
    </row>
    <row r="89" spans="1:12" x14ac:dyDescent="0.35">
      <c r="A89" s="18">
        <v>42382</v>
      </c>
      <c r="B89" s="15">
        <v>160.95855712890619</v>
      </c>
      <c r="C89" s="15">
        <v>61.765411376953118</v>
      </c>
      <c r="D89" s="15">
        <v>104.7200012207031</v>
      </c>
      <c r="E89" s="15">
        <v>95.008956909179688</v>
      </c>
      <c r="F89" s="15">
        <v>81.92376708984375</v>
      </c>
      <c r="H89" s="16">
        <f t="shared" si="4"/>
        <v>1.6283787759705199E-2</v>
      </c>
      <c r="I89" s="16">
        <f t="shared" si="4"/>
        <v>-1.2302956819585111E-3</v>
      </c>
      <c r="J89" s="16">
        <f t="shared" si="4"/>
        <v>-1.6367021706295466E-2</v>
      </c>
      <c r="K89" s="16">
        <f t="shared" si="5"/>
        <v>2.1071435126611596E-2</v>
      </c>
      <c r="L89" s="16">
        <f t="shared" si="6"/>
        <v>1.5189909041026213E-2</v>
      </c>
    </row>
    <row r="90" spans="1:12" x14ac:dyDescent="0.35">
      <c r="A90" s="18">
        <v>42383</v>
      </c>
      <c r="B90" s="15">
        <v>163.60102844238281</v>
      </c>
      <c r="C90" s="15">
        <v>61.689468383789063</v>
      </c>
      <c r="D90" s="15">
        <v>103.01999664306641</v>
      </c>
      <c r="E90" s="15">
        <v>97.032173156738281</v>
      </c>
      <c r="F90" s="15">
        <v>83.177680969238281</v>
      </c>
      <c r="H90" s="16">
        <f t="shared" si="4"/>
        <v>-2.1699818530664248E-2</v>
      </c>
      <c r="I90" s="16">
        <f t="shared" si="4"/>
        <v>1.7212990675949363E-3</v>
      </c>
      <c r="J90" s="16">
        <f t="shared" si="4"/>
        <v>1.0236740244834491E-2</v>
      </c>
      <c r="K90" s="16">
        <f t="shared" si="5"/>
        <v>-3.1528461654143518E-2</v>
      </c>
      <c r="L90" s="16">
        <f t="shared" si="6"/>
        <v>-2.1247568847355871E-2</v>
      </c>
    </row>
    <row r="91" spans="1:12" x14ac:dyDescent="0.35">
      <c r="A91" s="18">
        <v>42384</v>
      </c>
      <c r="B91" s="15">
        <v>160.08915710449219</v>
      </c>
      <c r="C91" s="15">
        <v>61.795745849609382</v>
      </c>
      <c r="D91" s="15">
        <v>104.0800018310547</v>
      </c>
      <c r="E91" s="15">
        <v>94.020622253417969</v>
      </c>
      <c r="F91" s="15">
        <v>81.429000854492188</v>
      </c>
      <c r="H91" s="16">
        <f t="shared" si="4"/>
        <v>1.3300842026490321E-3</v>
      </c>
      <c r="I91" s="16">
        <f t="shared" si="4"/>
        <v>-1.2291969259468193E-3</v>
      </c>
      <c r="J91" s="16">
        <f t="shared" si="4"/>
        <v>-9.612465570266709E-4</v>
      </c>
      <c r="K91" s="16">
        <f t="shared" si="5"/>
        <v>2.1793141008401283E-3</v>
      </c>
      <c r="L91" s="16">
        <f t="shared" si="6"/>
        <v>-1.0483273447222054E-3</v>
      </c>
    </row>
    <row r="92" spans="1:12" x14ac:dyDescent="0.35">
      <c r="A92" s="18">
        <v>42388</v>
      </c>
      <c r="B92" s="15">
        <v>160.30223083496091</v>
      </c>
      <c r="C92" s="15">
        <v>61.719833374023438</v>
      </c>
      <c r="D92" s="15">
        <v>103.98000335693359</v>
      </c>
      <c r="E92" s="15">
        <v>94.225746154785156</v>
      </c>
      <c r="F92" s="15">
        <v>81.343681335449219</v>
      </c>
      <c r="H92" s="16">
        <f t="shared" si="4"/>
        <v>-1.2897932180393305E-2</v>
      </c>
      <c r="I92" s="16">
        <f t="shared" si="4"/>
        <v>1.1060365110176036E-3</v>
      </c>
      <c r="J92" s="16">
        <f t="shared" si="4"/>
        <v>1.3279386437522484E-2</v>
      </c>
      <c r="K92" s="16">
        <f t="shared" si="5"/>
        <v>-3.071993499488329E-3</v>
      </c>
      <c r="L92" s="16">
        <f t="shared" si="6"/>
        <v>-9.9059831809237137E-3</v>
      </c>
    </row>
    <row r="93" spans="1:12" x14ac:dyDescent="0.35">
      <c r="A93" s="18">
        <v>42389</v>
      </c>
      <c r="B93" s="15">
        <v>158.24794006347659</v>
      </c>
      <c r="C93" s="15">
        <v>61.788135528564453</v>
      </c>
      <c r="D93" s="15">
        <v>105.370002746582</v>
      </c>
      <c r="E93" s="15">
        <v>93.936729431152344</v>
      </c>
      <c r="F93" s="15">
        <v>80.5418701171875</v>
      </c>
      <c r="H93" s="16">
        <f t="shared" si="4"/>
        <v>5.5864640880897562E-3</v>
      </c>
      <c r="I93" s="16">
        <f t="shared" si="4"/>
        <v>-6.1436174362479304E-4</v>
      </c>
      <c r="J93" s="16">
        <f t="shared" si="4"/>
        <v>1.1381497656595501E-3</v>
      </c>
      <c r="K93" s="16">
        <f t="shared" si="5"/>
        <v>9.9199713295798305E-4</v>
      </c>
      <c r="L93" s="16">
        <f t="shared" si="6"/>
        <v>3.9107711441127933E-3</v>
      </c>
    </row>
    <row r="94" spans="1:12" x14ac:dyDescent="0.35">
      <c r="A94" s="18">
        <v>42390</v>
      </c>
      <c r="B94" s="15">
        <v>159.13446044921881</v>
      </c>
      <c r="C94" s="15">
        <v>61.750186920166023</v>
      </c>
      <c r="D94" s="15">
        <v>105.4899978637695</v>
      </c>
      <c r="E94" s="15">
        <v>94.029960632324219</v>
      </c>
      <c r="F94" s="15">
        <v>80.857467651367188</v>
      </c>
      <c r="H94" s="16">
        <f t="shared" si="4"/>
        <v>2.0307996261872605E-2</v>
      </c>
      <c r="I94" s="16">
        <f t="shared" si="4"/>
        <v>-3.6868706087878316E-4</v>
      </c>
      <c r="J94" s="16">
        <f t="shared" si="4"/>
        <v>-4.6557912856440503E-3</v>
      </c>
      <c r="K94" s="16">
        <f t="shared" si="5"/>
        <v>2.8542419566341373E-2</v>
      </c>
      <c r="L94" s="16">
        <f t="shared" si="6"/>
        <v>2.1086618058746561E-2</v>
      </c>
    </row>
    <row r="95" spans="1:12" x14ac:dyDescent="0.35">
      <c r="A95" s="18">
        <v>42391</v>
      </c>
      <c r="B95" s="15">
        <v>162.3992004394531</v>
      </c>
      <c r="C95" s="15">
        <v>61.727424621582031</v>
      </c>
      <c r="D95" s="15">
        <v>105</v>
      </c>
      <c r="E95" s="15">
        <v>96.752471923828125</v>
      </c>
      <c r="F95" s="15">
        <v>82.580581665039063</v>
      </c>
      <c r="H95" s="16">
        <f t="shared" si="4"/>
        <v>-1.5232222405147157E-2</v>
      </c>
      <c r="I95" s="16">
        <f t="shared" si="4"/>
        <v>0</v>
      </c>
      <c r="J95" s="16">
        <f t="shared" si="4"/>
        <v>1.0233193541102659E-2</v>
      </c>
      <c r="K95" s="16">
        <f t="shared" si="5"/>
        <v>-1.4951850503999858E-2</v>
      </c>
      <c r="L95" s="16">
        <f t="shared" si="6"/>
        <v>-1.6560424627351043E-2</v>
      </c>
    </row>
    <row r="96" spans="1:12" x14ac:dyDescent="0.35">
      <c r="A96" s="18">
        <v>42394</v>
      </c>
      <c r="B96" s="15">
        <v>159.9442443847656</v>
      </c>
      <c r="C96" s="15">
        <v>61.727424621582031</v>
      </c>
      <c r="D96" s="15">
        <v>106.0800018310547</v>
      </c>
      <c r="E96" s="15">
        <v>95.316604614257813</v>
      </c>
      <c r="F96" s="15">
        <v>81.224273681640625</v>
      </c>
      <c r="H96" s="16">
        <f t="shared" si="4"/>
        <v>1.3551019495163852E-2</v>
      </c>
      <c r="I96" s="16">
        <f t="shared" si="4"/>
        <v>1.474920691826336E-3</v>
      </c>
      <c r="J96" s="16">
        <f t="shared" si="4"/>
        <v>1.1341913483231493E-2</v>
      </c>
      <c r="K96" s="16">
        <f t="shared" si="5"/>
        <v>8.9595000535337421E-3</v>
      </c>
      <c r="L96" s="16">
        <f t="shared" si="6"/>
        <v>1.5113054974342503E-2</v>
      </c>
    </row>
    <row r="97" spans="1:12" x14ac:dyDescent="0.35">
      <c r="A97" s="18">
        <v>42395</v>
      </c>
      <c r="B97" s="15">
        <v>162.12640380859381</v>
      </c>
      <c r="C97" s="15">
        <v>61.818534851074219</v>
      </c>
      <c r="D97" s="15">
        <v>107.2900009155273</v>
      </c>
      <c r="E97" s="15">
        <v>96.174430847167969</v>
      </c>
      <c r="F97" s="15">
        <v>82.461143493652344</v>
      </c>
      <c r="H97" s="16">
        <f t="shared" si="4"/>
        <v>-1.0942830269780282E-2</v>
      </c>
      <c r="I97" s="16">
        <f t="shared" si="4"/>
        <v>0</v>
      </c>
      <c r="J97" s="16">
        <f t="shared" si="4"/>
        <v>3.7212948296180895E-3</v>
      </c>
      <c r="K97" s="16">
        <f t="shared" si="5"/>
        <v>-2.5231129858421707E-2</v>
      </c>
      <c r="L97" s="16">
        <f t="shared" si="6"/>
        <v>-1.1444032108787649E-2</v>
      </c>
    </row>
    <row r="98" spans="1:12" x14ac:dyDescent="0.35">
      <c r="A98" s="18">
        <v>42396</v>
      </c>
      <c r="B98" s="15">
        <v>160.36195373535159</v>
      </c>
      <c r="C98" s="15">
        <v>61.818534851074219</v>
      </c>
      <c r="D98" s="15">
        <v>107.69000244140619</v>
      </c>
      <c r="E98" s="15">
        <v>93.7781982421875</v>
      </c>
      <c r="F98" s="15">
        <v>81.522834777832031</v>
      </c>
      <c r="H98" s="16">
        <f t="shared" si="4"/>
        <v>5.1952068530501834E-3</v>
      </c>
      <c r="I98" s="16">
        <f t="shared" si="4"/>
        <v>7.3639872537770276E-4</v>
      </c>
      <c r="J98" s="16">
        <f t="shared" si="4"/>
        <v>-1.0736241929349487E-2</v>
      </c>
      <c r="K98" s="16">
        <f t="shared" si="5"/>
        <v>1.4019336263393314E-2</v>
      </c>
      <c r="L98" s="16">
        <f t="shared" si="6"/>
        <v>3.968117036109488E-3</v>
      </c>
    </row>
    <row r="99" spans="1:12" x14ac:dyDescent="0.35">
      <c r="A99" s="18">
        <v>42397</v>
      </c>
      <c r="B99" s="15">
        <v>161.1972351074219</v>
      </c>
      <c r="C99" s="15">
        <v>61.86407470703125</v>
      </c>
      <c r="D99" s="15">
        <v>106.5400009155273</v>
      </c>
      <c r="E99" s="15">
        <v>95.102165222167969</v>
      </c>
      <c r="F99" s="15">
        <v>81.846969604492188</v>
      </c>
      <c r="H99" s="16">
        <f t="shared" si="4"/>
        <v>2.4085266101575572E-2</v>
      </c>
      <c r="I99" s="16">
        <f t="shared" si="4"/>
        <v>2.9404299472872799E-3</v>
      </c>
      <c r="J99" s="16">
        <f t="shared" si="4"/>
        <v>3.8408969118535518E-3</v>
      </c>
      <c r="K99" s="16">
        <f t="shared" si="5"/>
        <v>2.0667513246004365E-2</v>
      </c>
      <c r="L99" s="16">
        <f t="shared" si="6"/>
        <v>2.4502057698138579E-2</v>
      </c>
    </row>
    <row r="100" spans="1:12" x14ac:dyDescent="0.35">
      <c r="A100" s="18">
        <v>42398</v>
      </c>
      <c r="B100" s="15">
        <v>165.12684631347659</v>
      </c>
      <c r="C100" s="15">
        <v>62.046249389648438</v>
      </c>
      <c r="D100" s="15">
        <v>106.9499969482422</v>
      </c>
      <c r="E100" s="15">
        <v>97.088142395019531</v>
      </c>
      <c r="F100" s="15">
        <v>83.877159118652344</v>
      </c>
      <c r="H100" s="16">
        <f t="shared" si="4"/>
        <v>-3.6165190746900353E-4</v>
      </c>
      <c r="I100" s="16">
        <f t="shared" si="4"/>
        <v>-2.0374196061481169E-3</v>
      </c>
      <c r="J100" s="16">
        <f t="shared" si="4"/>
        <v>1.0232704202855976E-2</v>
      </c>
      <c r="K100" s="16">
        <f t="shared" si="5"/>
        <v>2.6851584234141436E-3</v>
      </c>
      <c r="L100" s="16">
        <f t="shared" si="6"/>
        <v>2.0336396444286221E-4</v>
      </c>
    </row>
    <row r="101" spans="1:12" x14ac:dyDescent="0.35">
      <c r="A101" s="18">
        <v>42401</v>
      </c>
      <c r="B101" s="15">
        <v>165.067138671875</v>
      </c>
      <c r="C101" s="15">
        <v>61.919963836669922</v>
      </c>
      <c r="D101" s="15">
        <v>108.0500030517578</v>
      </c>
      <c r="E101" s="15">
        <v>97.349189758300781</v>
      </c>
      <c r="F101" s="15">
        <v>83.894218444824219</v>
      </c>
      <c r="H101" s="16">
        <f t="shared" si="4"/>
        <v>-1.8186551821679327E-2</v>
      </c>
      <c r="I101" s="16">
        <f t="shared" si="4"/>
        <v>3.4345941817887785E-3</v>
      </c>
      <c r="J101" s="16">
        <f t="shared" si="4"/>
        <v>3.7006835108869407E-4</v>
      </c>
      <c r="K101" s="16">
        <f t="shared" si="5"/>
        <v>-2.1883181478156346E-2</v>
      </c>
      <c r="L101" s="16">
        <f t="shared" si="6"/>
        <v>-1.9507748439172315E-2</v>
      </c>
    </row>
    <row r="102" spans="1:12" x14ac:dyDescent="0.35">
      <c r="A102" s="18">
        <v>42402</v>
      </c>
      <c r="B102" s="15">
        <v>162.09226989746091</v>
      </c>
      <c r="C102" s="15">
        <v>62.132999420166023</v>
      </c>
      <c r="D102" s="15">
        <v>108.0899963378906</v>
      </c>
      <c r="E102" s="15">
        <v>95.242019653320313</v>
      </c>
      <c r="F102" s="15">
        <v>82.273490905761719</v>
      </c>
      <c r="H102" s="16">
        <f t="shared" si="4"/>
        <v>5.9770865511592957E-3</v>
      </c>
      <c r="I102" s="16">
        <f t="shared" si="4"/>
        <v>7.3420683079887734E-4</v>
      </c>
      <c r="J102" s="16">
        <f t="shared" si="4"/>
        <v>1.0674654427775555E-2</v>
      </c>
      <c r="K102" s="16">
        <f t="shared" si="5"/>
        <v>-4.8081684954931793E-3</v>
      </c>
      <c r="L102" s="16">
        <f t="shared" si="6"/>
        <v>5.9955752622588973E-3</v>
      </c>
    </row>
    <row r="103" spans="1:12" x14ac:dyDescent="0.35">
      <c r="A103" s="18">
        <v>42403</v>
      </c>
      <c r="B103" s="15">
        <v>163.06401062011719</v>
      </c>
      <c r="C103" s="15">
        <v>62.178634643554688</v>
      </c>
      <c r="D103" s="15">
        <v>109.25</v>
      </c>
      <c r="E103" s="15">
        <v>94.785179138183594</v>
      </c>
      <c r="F103" s="15">
        <v>82.76824951171875</v>
      </c>
      <c r="H103" s="16">
        <f t="shared" si="4"/>
        <v>1.5669092388433791E-3</v>
      </c>
      <c r="I103" s="16">
        <f t="shared" si="4"/>
        <v>7.3415861141200691E-4</v>
      </c>
      <c r="J103" s="16">
        <f t="shared" si="4"/>
        <v>1.2009967818587309E-2</v>
      </c>
      <c r="K103" s="16">
        <f t="shared" si="5"/>
        <v>-9.8284864793548319E-5</v>
      </c>
      <c r="L103" s="16">
        <f t="shared" si="6"/>
        <v>2.3674551222958324E-3</v>
      </c>
    </row>
    <row r="104" spans="1:12" x14ac:dyDescent="0.35">
      <c r="A104" s="18">
        <v>42404</v>
      </c>
      <c r="B104" s="15">
        <v>163.31971740722659</v>
      </c>
      <c r="C104" s="15">
        <v>62.224300384521477</v>
      </c>
      <c r="D104" s="15">
        <v>110.5699996948242</v>
      </c>
      <c r="E104" s="15">
        <v>94.775863647460938</v>
      </c>
      <c r="F104" s="15">
        <v>82.964431762695313</v>
      </c>
      <c r="H104" s="16">
        <f t="shared" si="4"/>
        <v>-1.9234049601082392E-2</v>
      </c>
      <c r="I104" s="16">
        <f t="shared" si="4"/>
        <v>-9.7854795817332169E-4</v>
      </c>
      <c r="J104" s="16">
        <f t="shared" si="4"/>
        <v>1.5703135766193033E-2</v>
      </c>
      <c r="K104" s="16">
        <f t="shared" si="5"/>
        <v>-3.5344413013828735E-2</v>
      </c>
      <c r="L104" s="16">
        <f t="shared" si="6"/>
        <v>-2.077768904926058E-2</v>
      </c>
    </row>
    <row r="105" spans="1:12" x14ac:dyDescent="0.35">
      <c r="A105" s="18">
        <v>42405</v>
      </c>
      <c r="B105" s="15">
        <v>160.20843505859381</v>
      </c>
      <c r="C105" s="15">
        <v>62.163440704345703</v>
      </c>
      <c r="D105" s="15">
        <v>112.3199996948242</v>
      </c>
      <c r="E105" s="15">
        <v>91.484573364257813</v>
      </c>
      <c r="F105" s="15">
        <v>81.258407592773438</v>
      </c>
      <c r="H105" s="16">
        <f t="shared" si="4"/>
        <v>-1.3552160642521177E-2</v>
      </c>
      <c r="I105" s="16">
        <f t="shared" si="4"/>
        <v>4.2738054369265369E-3</v>
      </c>
      <c r="J105" s="16">
        <f t="shared" si="4"/>
        <v>1.3354185862516093E-2</v>
      </c>
      <c r="K105" s="16">
        <f t="shared" si="5"/>
        <v>-1.5405353512370405E-2</v>
      </c>
      <c r="L105" s="16">
        <f t="shared" si="6"/>
        <v>-1.5658491380378836E-2</v>
      </c>
    </row>
    <row r="106" spans="1:12" x14ac:dyDescent="0.35">
      <c r="A106" s="18">
        <v>42408</v>
      </c>
      <c r="B106" s="15">
        <v>158.0519104003906</v>
      </c>
      <c r="C106" s="15">
        <v>62.429683685302727</v>
      </c>
      <c r="D106" s="15">
        <v>113.8300018310547</v>
      </c>
      <c r="E106" s="15">
        <v>90.086021423339844</v>
      </c>
      <c r="F106" s="15">
        <v>79.995933532714844</v>
      </c>
      <c r="H106" s="16">
        <f t="shared" si="4"/>
        <v>5.4062560049155684E-5</v>
      </c>
      <c r="I106" s="16">
        <f t="shared" si="4"/>
        <v>-1.2129860158791793E-4</v>
      </c>
      <c r="J106" s="16">
        <f t="shared" si="4"/>
        <v>-2.1986728524322841E-3</v>
      </c>
      <c r="K106" s="16">
        <f t="shared" si="5"/>
        <v>-3.1099936873218797E-3</v>
      </c>
      <c r="L106" s="16">
        <f t="shared" si="6"/>
        <v>-1.2805247682455235E-3</v>
      </c>
    </row>
    <row r="107" spans="1:12" x14ac:dyDescent="0.35">
      <c r="A107" s="18">
        <v>42409</v>
      </c>
      <c r="B107" s="15">
        <v>158.0604553222656</v>
      </c>
      <c r="C107" s="15">
        <v>62.422111511230469</v>
      </c>
      <c r="D107" s="15">
        <v>113.5800018310547</v>
      </c>
      <c r="E107" s="15">
        <v>89.806289672851563</v>
      </c>
      <c r="F107" s="15">
        <v>79.893562316894531</v>
      </c>
      <c r="H107" s="16">
        <f t="shared" si="4"/>
        <v>-8.634194649299327E-4</v>
      </c>
      <c r="I107" s="16">
        <f t="shared" si="4"/>
        <v>2.0695305927399435E-3</v>
      </c>
      <c r="J107" s="16">
        <f t="shared" si="4"/>
        <v>7.7179584117263193E-3</v>
      </c>
      <c r="K107" s="16">
        <f t="shared" si="5"/>
        <v>3.8340859295160346E-3</v>
      </c>
      <c r="L107" s="16">
        <f t="shared" si="6"/>
        <v>6.4075365205636039E-4</v>
      </c>
    </row>
    <row r="108" spans="1:12" x14ac:dyDescent="0.35">
      <c r="A108" s="18">
        <v>42410</v>
      </c>
      <c r="B108" s="15">
        <v>157.9240417480469</v>
      </c>
      <c r="C108" s="15">
        <v>62.551429748535163</v>
      </c>
      <c r="D108" s="15">
        <v>114.4599990844727</v>
      </c>
      <c r="E108" s="15">
        <v>90.151275634765625</v>
      </c>
      <c r="F108" s="15">
        <v>79.944770812988281</v>
      </c>
      <c r="H108" s="16">
        <f t="shared" si="4"/>
        <v>-1.3093244347121906E-2</v>
      </c>
      <c r="I108" s="16">
        <f t="shared" si="4"/>
        <v>6.0753067360708678E-4</v>
      </c>
      <c r="J108" s="16">
        <f t="shared" si="4"/>
        <v>3.9402138237274204E-2</v>
      </c>
      <c r="K108" s="16">
        <f t="shared" si="5"/>
        <v>-1.4489634284248491E-3</v>
      </c>
      <c r="L108" s="16">
        <f t="shared" si="6"/>
        <v>-1.2454846170816629E-2</v>
      </c>
    </row>
    <row r="109" spans="1:12" x14ac:dyDescent="0.35">
      <c r="A109" s="18">
        <v>42411</v>
      </c>
      <c r="B109" s="15">
        <v>155.8697814941406</v>
      </c>
      <c r="C109" s="15">
        <v>62.589443206787109</v>
      </c>
      <c r="D109" s="15">
        <v>119.05999755859381</v>
      </c>
      <c r="E109" s="15">
        <v>90.020744323730469</v>
      </c>
      <c r="F109" s="15">
        <v>78.955245971679688</v>
      </c>
      <c r="H109" s="16">
        <f t="shared" si="4"/>
        <v>2.0407121395278848E-2</v>
      </c>
      <c r="I109" s="16">
        <f t="shared" si="4"/>
        <v>-3.2870770919411043E-3</v>
      </c>
      <c r="J109" s="16">
        <f t="shared" si="4"/>
        <v>-5.8967145308167308E-3</v>
      </c>
      <c r="K109" s="16">
        <f t="shared" si="5"/>
        <v>1.5110362582358166E-2</v>
      </c>
      <c r="L109" s="16">
        <f t="shared" si="6"/>
        <v>1.9260272092869467E-2</v>
      </c>
    </row>
    <row r="110" spans="1:12" x14ac:dyDescent="0.35">
      <c r="A110" s="18">
        <v>42412</v>
      </c>
      <c r="B110" s="15">
        <v>159.08331298828119</v>
      </c>
      <c r="C110" s="15">
        <v>62.384044647216797</v>
      </c>
      <c r="D110" s="15">
        <v>118.36000061035161</v>
      </c>
      <c r="E110" s="15">
        <v>91.391319274902344</v>
      </c>
      <c r="F110" s="15">
        <v>80.490684509277344</v>
      </c>
      <c r="H110" s="16">
        <f t="shared" si="4"/>
        <v>1.6737555313025364E-2</v>
      </c>
      <c r="I110" s="16">
        <f t="shared" si="4"/>
        <v>-1.4641127985951076E-3</v>
      </c>
      <c r="J110" s="16">
        <f t="shared" si="4"/>
        <v>-3.08007362453965E-2</v>
      </c>
      <c r="K110" s="16">
        <f t="shared" si="5"/>
        <v>2.2296167643989562E-2</v>
      </c>
      <c r="L110" s="16">
        <f t="shared" si="6"/>
        <v>1.8064069475841684E-2</v>
      </c>
    </row>
    <row r="111" spans="1:12" x14ac:dyDescent="0.35">
      <c r="A111" s="18">
        <v>42416</v>
      </c>
      <c r="B111" s="15">
        <v>161.76838684082031</v>
      </c>
      <c r="C111" s="15">
        <v>62.292774200439453</v>
      </c>
      <c r="D111" s="15">
        <v>114.76999664306641</v>
      </c>
      <c r="E111" s="15">
        <v>93.451881408691406</v>
      </c>
      <c r="F111" s="15">
        <v>81.9578857421875</v>
      </c>
      <c r="H111" s="16">
        <f t="shared" si="4"/>
        <v>1.6202740629033256E-2</v>
      </c>
      <c r="I111" s="16">
        <f t="shared" si="4"/>
        <v>-2.4498279945179679E-4</v>
      </c>
      <c r="J111" s="16">
        <f t="shared" si="4"/>
        <v>6.1672874207764749E-3</v>
      </c>
      <c r="K111" s="16">
        <f t="shared" si="5"/>
        <v>2.2395209742920572E-2</v>
      </c>
      <c r="L111" s="16">
        <f t="shared" si="6"/>
        <v>1.6413400699167163E-2</v>
      </c>
    </row>
    <row r="112" spans="1:12" x14ac:dyDescent="0.35">
      <c r="A112" s="18">
        <v>42417</v>
      </c>
      <c r="B112" s="15">
        <v>164.41082763671881</v>
      </c>
      <c r="C112" s="15">
        <v>62.277515411376953</v>
      </c>
      <c r="D112" s="15">
        <v>115.48000335693359</v>
      </c>
      <c r="E112" s="15">
        <v>95.568367004394531</v>
      </c>
      <c r="F112" s="15">
        <v>83.314193725585938</v>
      </c>
      <c r="H112" s="16">
        <f t="shared" si="4"/>
        <v>-4.1042535815359622E-3</v>
      </c>
      <c r="I112" s="16">
        <f t="shared" si="4"/>
        <v>3.4155193488085195E-3</v>
      </c>
      <c r="J112" s="16">
        <f t="shared" si="4"/>
        <v>2.4041860433202479E-2</v>
      </c>
      <c r="K112" s="16">
        <f t="shared" si="5"/>
        <v>-1.1480317130390423E-2</v>
      </c>
      <c r="L112" s="16">
        <f t="shared" si="6"/>
        <v>-4.001343522430036E-3</v>
      </c>
    </row>
    <row r="113" spans="1:12" x14ac:dyDescent="0.35">
      <c r="A113" s="18">
        <v>42418</v>
      </c>
      <c r="B113" s="15">
        <v>163.7374267578125</v>
      </c>
      <c r="C113" s="15">
        <v>62.490589141845703</v>
      </c>
      <c r="D113" s="15">
        <v>118.2900009155273</v>
      </c>
      <c r="E113" s="15">
        <v>94.477485656738281</v>
      </c>
      <c r="F113" s="15">
        <v>82.981491088867188</v>
      </c>
      <c r="H113" s="16">
        <f t="shared" si="4"/>
        <v>-4.6876538135466736E-4</v>
      </c>
      <c r="I113" s="16">
        <f t="shared" si="4"/>
        <v>-1.340210674732886E-3</v>
      </c>
      <c r="J113" s="16">
        <f t="shared" si="4"/>
        <v>-6.0202757503798861E-3</v>
      </c>
      <c r="K113" s="16">
        <f t="shared" si="5"/>
        <v>2.9563746139392526E-3</v>
      </c>
      <c r="L113" s="16">
        <f t="shared" si="6"/>
        <v>2.0555876570909365E-4</v>
      </c>
    </row>
    <row r="114" spans="1:12" x14ac:dyDescent="0.35">
      <c r="A114" s="18">
        <v>42419</v>
      </c>
      <c r="B114" s="15">
        <v>163.66069030761719</v>
      </c>
      <c r="C114" s="15">
        <v>62.406894683837891</v>
      </c>
      <c r="D114" s="15">
        <v>117.5800018310547</v>
      </c>
      <c r="E114" s="15">
        <v>94.757209777832031</v>
      </c>
      <c r="F114" s="15">
        <v>82.998550415039063</v>
      </c>
      <c r="H114" s="16">
        <f t="shared" si="4"/>
        <v>1.437546213230859E-2</v>
      </c>
      <c r="I114" s="16">
        <f t="shared" si="4"/>
        <v>2.4380274956567143E-4</v>
      </c>
      <c r="J114" s="16">
        <f t="shared" si="4"/>
        <v>-1.7935040917057984E-2</v>
      </c>
      <c r="K114" s="16">
        <f t="shared" si="5"/>
        <v>1.6104702754142688E-2</v>
      </c>
      <c r="L114" s="16">
        <f t="shared" si="6"/>
        <v>1.4488622810924782E-2</v>
      </c>
    </row>
    <row r="115" spans="1:12" x14ac:dyDescent="0.35">
      <c r="A115" s="18">
        <v>42422</v>
      </c>
      <c r="B115" s="15">
        <v>166.03038024902341</v>
      </c>
      <c r="C115" s="15">
        <v>62.422111511230469</v>
      </c>
      <c r="D115" s="15">
        <v>115.4899978637695</v>
      </c>
      <c r="E115" s="15">
        <v>96.295600891113281</v>
      </c>
      <c r="F115" s="15">
        <v>84.2098388671875</v>
      </c>
      <c r="H115" s="16">
        <f t="shared" si="4"/>
        <v>-1.2710193207087401E-2</v>
      </c>
      <c r="I115" s="16">
        <f t="shared" si="4"/>
        <v>6.08666747548473E-4</v>
      </c>
      <c r="J115" s="16">
        <f t="shared" si="4"/>
        <v>1.4868593832169054E-2</v>
      </c>
      <c r="K115" s="16">
        <f t="shared" si="5"/>
        <v>-1.6597174371175007E-2</v>
      </c>
      <c r="L115" s="16">
        <f t="shared" si="6"/>
        <v>-1.212754564511322E-2</v>
      </c>
    </row>
    <row r="116" spans="1:12" x14ac:dyDescent="0.35">
      <c r="A116" s="18">
        <v>42423</v>
      </c>
      <c r="B116" s="15">
        <v>163.93345642089841</v>
      </c>
      <c r="C116" s="15">
        <v>62.460117340087891</v>
      </c>
      <c r="D116" s="15">
        <v>117.2200012207031</v>
      </c>
      <c r="E116" s="15">
        <v>94.710556030273438</v>
      </c>
      <c r="F116" s="15">
        <v>83.194747924804688</v>
      </c>
      <c r="H116" s="16">
        <f t="shared" si="4"/>
        <v>4.5654273364390194E-3</v>
      </c>
      <c r="I116" s="16">
        <f t="shared" si="4"/>
        <v>7.3079023224236731E-4</v>
      </c>
      <c r="J116" s="16">
        <f t="shared" si="4"/>
        <v>3.3215495905070296E-3</v>
      </c>
      <c r="K116" s="16">
        <f t="shared" si="5"/>
        <v>9.5037483230046189E-3</v>
      </c>
      <c r="L116" s="16">
        <f t="shared" si="6"/>
        <v>5.1135019062395837E-3</v>
      </c>
    </row>
    <row r="117" spans="1:12" x14ac:dyDescent="0.35">
      <c r="A117" s="18">
        <v>42424</v>
      </c>
      <c r="B117" s="15">
        <v>164.68359375</v>
      </c>
      <c r="C117" s="15">
        <v>62.505779266357422</v>
      </c>
      <c r="D117" s="15">
        <v>117.61000061035161</v>
      </c>
      <c r="E117" s="15">
        <v>95.614952087402344</v>
      </c>
      <c r="F117" s="15">
        <v>83.621253967285156</v>
      </c>
      <c r="H117" s="16">
        <f t="shared" si="4"/>
        <v>1.2039032452273508E-2</v>
      </c>
      <c r="I117" s="16">
        <f t="shared" si="4"/>
        <v>1.4594927262404655E-3</v>
      </c>
      <c r="J117" s="16">
        <f t="shared" si="4"/>
        <v>2.6323418605175997E-3</v>
      </c>
      <c r="K117" s="16">
        <f t="shared" si="5"/>
        <v>9.8011283264815997E-3</v>
      </c>
      <c r="L117" s="16">
        <f t="shared" si="6"/>
        <v>1.1763765403296956E-2</v>
      </c>
    </row>
    <row r="118" spans="1:12" x14ac:dyDescent="0.35">
      <c r="A118" s="18">
        <v>42425</v>
      </c>
      <c r="B118" s="15">
        <v>166.67820739746091</v>
      </c>
      <c r="C118" s="15">
        <v>62.597072601318359</v>
      </c>
      <c r="D118" s="15">
        <v>117.9199981689453</v>
      </c>
      <c r="E118" s="15">
        <v>96.556694030761719</v>
      </c>
      <c r="F118" s="15">
        <v>84.610763549804688</v>
      </c>
      <c r="H118" s="16">
        <f t="shared" si="4"/>
        <v>-2.3041288451390953E-3</v>
      </c>
      <c r="I118" s="16">
        <f t="shared" si="4"/>
        <v>-9.725347666051621E-4</v>
      </c>
      <c r="J118" s="16">
        <f t="shared" si="4"/>
        <v>-6.8927436472598904E-3</v>
      </c>
      <c r="K118" s="16">
        <f t="shared" si="5"/>
        <v>-1.2563318317461796E-3</v>
      </c>
      <c r="L118" s="16">
        <f t="shared" si="6"/>
        <v>-8.0690054501032305E-4</v>
      </c>
    </row>
    <row r="119" spans="1:12" x14ac:dyDescent="0.35">
      <c r="A119" s="18">
        <v>42426</v>
      </c>
      <c r="B119" s="15">
        <v>166.29460144042969</v>
      </c>
      <c r="C119" s="15">
        <v>62.536224365234382</v>
      </c>
      <c r="D119" s="15">
        <v>117.11000061035161</v>
      </c>
      <c r="E119" s="15">
        <v>96.435462951660156</v>
      </c>
      <c r="F119" s="15">
        <v>84.542518615722656</v>
      </c>
      <c r="H119" s="16">
        <f t="shared" si="4"/>
        <v>-7.873434075385724E-3</v>
      </c>
      <c r="I119" s="16">
        <f t="shared" si="4"/>
        <v>6.0810508602530716E-4</v>
      </c>
      <c r="J119" s="16">
        <f t="shared" si="4"/>
        <v>1.2980023419281846E-2</v>
      </c>
      <c r="K119" s="16">
        <f t="shared" si="5"/>
        <v>-9.0321306842565223E-3</v>
      </c>
      <c r="L119" s="16">
        <f t="shared" si="6"/>
        <v>-8.0031290646421453E-3</v>
      </c>
    </row>
    <row r="120" spans="1:12" x14ac:dyDescent="0.35">
      <c r="A120" s="18">
        <v>42429</v>
      </c>
      <c r="B120" s="15">
        <v>164.99043273925781</v>
      </c>
      <c r="C120" s="15">
        <v>62.574264526367188</v>
      </c>
      <c r="D120" s="15">
        <v>118.63999938964839</v>
      </c>
      <c r="E120" s="15">
        <v>95.568367004394531</v>
      </c>
      <c r="F120" s="15">
        <v>83.868614196777344</v>
      </c>
      <c r="H120" s="16">
        <f t="shared" si="4"/>
        <v>2.3234983879107114E-2</v>
      </c>
      <c r="I120" s="16">
        <f t="shared" si="4"/>
        <v>-3.3558306945416887E-3</v>
      </c>
      <c r="J120" s="16">
        <f t="shared" si="4"/>
        <v>-7.3601513358002033E-3</v>
      </c>
      <c r="K120" s="16">
        <f t="shared" si="5"/>
        <v>3.1593286160485921E-2</v>
      </c>
      <c r="L120" s="16">
        <f t="shared" si="6"/>
        <v>2.3521169931291948E-2</v>
      </c>
    </row>
    <row r="121" spans="1:12" x14ac:dyDescent="0.35">
      <c r="A121" s="18">
        <v>42430</v>
      </c>
      <c r="B121" s="15">
        <v>168.8688659667969</v>
      </c>
      <c r="C121" s="15">
        <v>62.364627838134773</v>
      </c>
      <c r="D121" s="15">
        <v>117.76999664306641</v>
      </c>
      <c r="E121" s="15">
        <v>98.635887145996094</v>
      </c>
      <c r="F121" s="15">
        <v>85.86468505859375</v>
      </c>
      <c r="H121" s="16">
        <f t="shared" si="4"/>
        <v>4.4823981325411858E-3</v>
      </c>
      <c r="I121" s="16">
        <f t="shared" si="4"/>
        <v>-6.1174116605492606E-4</v>
      </c>
      <c r="J121" s="16">
        <f t="shared" si="4"/>
        <v>7.6972566447302731E-3</v>
      </c>
      <c r="K121" s="16">
        <f t="shared" si="5"/>
        <v>3.7808813832518215E-4</v>
      </c>
      <c r="L121" s="16">
        <f t="shared" si="6"/>
        <v>5.5478011463564987E-3</v>
      </c>
    </row>
    <row r="122" spans="1:12" x14ac:dyDescent="0.35">
      <c r="A122" s="18">
        <v>42431</v>
      </c>
      <c r="B122" s="15">
        <v>169.62750244140619</v>
      </c>
      <c r="C122" s="15">
        <v>62.326488494873047</v>
      </c>
      <c r="D122" s="15">
        <v>118.6800003051758</v>
      </c>
      <c r="E122" s="15">
        <v>98.673187255859375</v>
      </c>
      <c r="F122" s="15">
        <v>86.342369079589844</v>
      </c>
      <c r="H122" s="16">
        <f t="shared" si="4"/>
        <v>3.9117548131299791E-3</v>
      </c>
      <c r="I122" s="16">
        <f t="shared" si="4"/>
        <v>4.8939839731122693E-4</v>
      </c>
      <c r="J122" s="16">
        <f t="shared" si="4"/>
        <v>1.7125877155555094E-2</v>
      </c>
      <c r="K122" s="16">
        <f t="shared" si="5"/>
        <v>-1.8917168890375262E-3</v>
      </c>
      <c r="L122" s="16">
        <f t="shared" si="6"/>
        <v>4.9277229647629915E-3</v>
      </c>
    </row>
    <row r="123" spans="1:12" x14ac:dyDescent="0.35">
      <c r="A123" s="18">
        <v>42432</v>
      </c>
      <c r="B123" s="15">
        <v>170.29234313964841</v>
      </c>
      <c r="C123" s="15">
        <v>62.356998443603523</v>
      </c>
      <c r="D123" s="15">
        <v>120.73000335693359</v>
      </c>
      <c r="E123" s="15">
        <v>98.486701965332031</v>
      </c>
      <c r="F123" s="15">
        <v>86.768890380859375</v>
      </c>
      <c r="H123" s="16">
        <f t="shared" si="4"/>
        <v>3.2484003289068777E-3</v>
      </c>
      <c r="I123" s="16">
        <f t="shared" si="4"/>
        <v>-4.8939839731121306E-4</v>
      </c>
      <c r="J123" s="16">
        <f t="shared" si="4"/>
        <v>-1.5750194994795879E-3</v>
      </c>
      <c r="K123" s="16">
        <f t="shared" si="5"/>
        <v>3.7842843754986791E-4</v>
      </c>
      <c r="L123" s="16">
        <f t="shared" si="6"/>
        <v>3.4349709222046797E-3</v>
      </c>
    </row>
    <row r="124" spans="1:12" x14ac:dyDescent="0.35">
      <c r="A124" s="18">
        <v>42433</v>
      </c>
      <c r="B124" s="15">
        <v>170.84642028808591</v>
      </c>
      <c r="C124" s="15">
        <v>62.326488494873047</v>
      </c>
      <c r="D124" s="15">
        <v>120.5400009155273</v>
      </c>
      <c r="E124" s="15">
        <v>98.523979187011719</v>
      </c>
      <c r="F124" s="15">
        <v>87.067451477050781</v>
      </c>
      <c r="H124" s="16">
        <f t="shared" si="4"/>
        <v>7.9796023539461646E-4</v>
      </c>
      <c r="I124" s="16">
        <f t="shared" si="4"/>
        <v>-2.4442172424178252E-4</v>
      </c>
      <c r="J124" s="16">
        <f t="shared" si="4"/>
        <v>4.965240864288737E-3</v>
      </c>
      <c r="K124" s="16">
        <f t="shared" si="5"/>
        <v>-6.1701212478364057E-3</v>
      </c>
      <c r="L124" s="16">
        <f t="shared" si="6"/>
        <v>2.0552632929148103E-3</v>
      </c>
    </row>
    <row r="125" spans="1:12" x14ac:dyDescent="0.35">
      <c r="A125" s="18">
        <v>42436</v>
      </c>
      <c r="B125" s="15">
        <v>170.98280334472659</v>
      </c>
      <c r="C125" s="15">
        <v>62.311256408691413</v>
      </c>
      <c r="D125" s="15">
        <v>121.13999938964839</v>
      </c>
      <c r="E125" s="15">
        <v>97.917945861816406</v>
      </c>
      <c r="F125" s="15">
        <v>87.24658203125</v>
      </c>
      <c r="H125" s="16">
        <f t="shared" si="4"/>
        <v>-1.0977500505512435E-2</v>
      </c>
      <c r="I125" s="16">
        <f t="shared" si="4"/>
        <v>3.2979276936350188E-3</v>
      </c>
      <c r="J125" s="16">
        <f t="shared" si="4"/>
        <v>-4.6334482677500627E-3</v>
      </c>
      <c r="K125" s="16">
        <f t="shared" si="5"/>
        <v>-8.3187112519935592E-3</v>
      </c>
      <c r="L125" s="16">
        <f t="shared" si="6"/>
        <v>-1.2494589312850073E-2</v>
      </c>
    </row>
    <row r="126" spans="1:12" x14ac:dyDescent="0.35">
      <c r="A126" s="18">
        <v>42437</v>
      </c>
      <c r="B126" s="15">
        <v>169.11610412597659</v>
      </c>
      <c r="C126" s="15">
        <v>62.517093658447273</v>
      </c>
      <c r="D126" s="15">
        <v>120.5800018310547</v>
      </c>
      <c r="E126" s="15">
        <v>97.106773376464844</v>
      </c>
      <c r="F126" s="15">
        <v>86.163253784179688</v>
      </c>
      <c r="H126" s="16">
        <f t="shared" si="4"/>
        <v>4.9271223570578103E-3</v>
      </c>
      <c r="I126" s="16">
        <f t="shared" si="4"/>
        <v>-1.709244803452786E-3</v>
      </c>
      <c r="J126" s="16">
        <f t="shared" si="4"/>
        <v>-8.3278294815117299E-3</v>
      </c>
      <c r="K126" s="16">
        <f t="shared" si="5"/>
        <v>6.4125457587677253E-3</v>
      </c>
      <c r="L126" s="16">
        <f t="shared" si="6"/>
        <v>4.839341859311232E-3</v>
      </c>
    </row>
    <row r="127" spans="1:12" x14ac:dyDescent="0.35">
      <c r="A127" s="18">
        <v>42438</v>
      </c>
      <c r="B127" s="15">
        <v>169.951416015625</v>
      </c>
      <c r="C127" s="15">
        <v>62.410327911376953</v>
      </c>
      <c r="D127" s="15">
        <v>119.5800018310547</v>
      </c>
      <c r="E127" s="15">
        <v>97.731475830078125</v>
      </c>
      <c r="F127" s="15">
        <v>86.58123779296875</v>
      </c>
      <c r="H127" s="16">
        <f t="shared" si="4"/>
        <v>8.0198137484066123E-4</v>
      </c>
      <c r="I127" s="16">
        <f t="shared" si="4"/>
        <v>-4.8855203621338381E-4</v>
      </c>
      <c r="J127" s="16">
        <f t="shared" si="4"/>
        <v>1.5928644015462359E-2</v>
      </c>
      <c r="K127" s="16">
        <f t="shared" si="5"/>
        <v>-1.5275684570484869E-3</v>
      </c>
      <c r="L127" s="16">
        <f t="shared" si="6"/>
        <v>-2.9612144579817018E-4</v>
      </c>
    </row>
    <row r="128" spans="1:12" x14ac:dyDescent="0.35">
      <c r="A128" s="18">
        <v>42439</v>
      </c>
      <c r="B128" s="15">
        <v>170.0877685546875</v>
      </c>
      <c r="C128" s="15">
        <v>62.379844665527337</v>
      </c>
      <c r="D128" s="15">
        <v>121.5</v>
      </c>
      <c r="E128" s="15">
        <v>97.582298278808594</v>
      </c>
      <c r="F128" s="15">
        <v>86.55560302734375</v>
      </c>
      <c r="H128" s="16">
        <f t="shared" si="4"/>
        <v>1.6008529245936005E-2</v>
      </c>
      <c r="I128" s="16">
        <f t="shared" si="4"/>
        <v>-1.344673569801559E-3</v>
      </c>
      <c r="J128" s="16">
        <f t="shared" si="4"/>
        <v>-1.7351282566945833E-2</v>
      </c>
      <c r="K128" s="16">
        <f t="shared" si="5"/>
        <v>1.7334010097107753E-2</v>
      </c>
      <c r="L128" s="16">
        <f t="shared" si="6"/>
        <v>1.6809249940308361E-2</v>
      </c>
    </row>
    <row r="129" spans="1:12" x14ac:dyDescent="0.35">
      <c r="A129" s="18">
        <v>42440</v>
      </c>
      <c r="B129" s="15">
        <v>172.83253479003909</v>
      </c>
      <c r="C129" s="15">
        <v>62.2960205078125</v>
      </c>
      <c r="D129" s="15">
        <v>119.4100036621094</v>
      </c>
      <c r="E129" s="15">
        <v>99.288536071777344</v>
      </c>
      <c r="F129" s="15">
        <v>88.022834777832031</v>
      </c>
      <c r="H129" s="16">
        <f t="shared" si="4"/>
        <v>-1.2834503389918424E-3</v>
      </c>
      <c r="I129" s="16">
        <f t="shared" si="4"/>
        <v>2.2006286942927501E-3</v>
      </c>
      <c r="J129" s="16">
        <f t="shared" si="4"/>
        <v>-1.2980634673389375E-2</v>
      </c>
      <c r="K129" s="16">
        <f t="shared" si="5"/>
        <v>1.6889133535735832E-3</v>
      </c>
      <c r="L129" s="16">
        <f t="shared" si="6"/>
        <v>-1.1636843044154077E-3</v>
      </c>
    </row>
    <row r="130" spans="1:12" x14ac:dyDescent="0.35">
      <c r="A130" s="18">
        <v>42443</v>
      </c>
      <c r="B130" s="15">
        <v>172.61085510253909</v>
      </c>
      <c r="C130" s="15">
        <v>62.433261871337891</v>
      </c>
      <c r="D130" s="15">
        <v>117.870002746582</v>
      </c>
      <c r="E130" s="15">
        <v>99.456367492675781</v>
      </c>
      <c r="F130" s="15">
        <v>87.920463562011719</v>
      </c>
      <c r="H130" s="16">
        <f t="shared" si="4"/>
        <v>-1.6307165715419029E-3</v>
      </c>
      <c r="I130" s="16">
        <f t="shared" si="4"/>
        <v>-9.774118048769204E-4</v>
      </c>
      <c r="J130" s="16">
        <f t="shared" si="4"/>
        <v>7.632306454705577E-4</v>
      </c>
      <c r="K130" s="16">
        <f t="shared" si="5"/>
        <v>-3.7511028271541825E-4</v>
      </c>
      <c r="L130" s="16">
        <f t="shared" si="6"/>
        <v>-3.4174349741913778E-3</v>
      </c>
    </row>
    <row r="131" spans="1:12" x14ac:dyDescent="0.35">
      <c r="A131" s="18">
        <v>42444</v>
      </c>
      <c r="B131" s="15">
        <v>172.32960510253909</v>
      </c>
      <c r="C131" s="15">
        <v>62.372268676757813</v>
      </c>
      <c r="D131" s="15">
        <v>117.9599990844727</v>
      </c>
      <c r="E131" s="15">
        <v>99.4190673828125</v>
      </c>
      <c r="F131" s="15">
        <v>87.620513916015625</v>
      </c>
      <c r="H131" s="16">
        <f t="shared" si="4"/>
        <v>5.7702157483729586E-3</v>
      </c>
      <c r="I131" s="16">
        <f t="shared" si="4"/>
        <v>3.903014427665082E-3</v>
      </c>
      <c r="J131" s="16">
        <f t="shared" si="4"/>
        <v>2.2050755561494367E-2</v>
      </c>
      <c r="K131" s="16">
        <f t="shared" si="5"/>
        <v>8.8699538088011474E-3</v>
      </c>
      <c r="L131" s="16">
        <f t="shared" si="6"/>
        <v>6.2402651204882913E-3</v>
      </c>
    </row>
    <row r="132" spans="1:12" x14ac:dyDescent="0.35">
      <c r="A132" s="18">
        <v>42445</v>
      </c>
      <c r="B132" s="15">
        <v>173.32685852050781</v>
      </c>
      <c r="C132" s="15">
        <v>62.616184234619141</v>
      </c>
      <c r="D132" s="15">
        <v>120.5899963378906</v>
      </c>
      <c r="E132" s="15">
        <v>100.30483245849609</v>
      </c>
      <c r="F132" s="15">
        <v>88.168998718261719</v>
      </c>
      <c r="H132" s="16">
        <f t="shared" ref="H132:J195" si="7">LN(B133/B132)</f>
        <v>6.3242728548241547E-3</v>
      </c>
      <c r="I132" s="16">
        <f t="shared" si="7"/>
        <v>2.1882947394648408E-3</v>
      </c>
      <c r="J132" s="16">
        <f t="shared" si="7"/>
        <v>-3.8218648773641955E-3</v>
      </c>
      <c r="K132" s="16">
        <f t="shared" ref="K132:K195" si="8">LN(E133/E132)</f>
        <v>-5.57842760786894E-4</v>
      </c>
      <c r="L132" s="16">
        <f t="shared" ref="L132:L195" si="9">LN(F133/F132)</f>
        <v>7.6493862930857E-3</v>
      </c>
    </row>
    <row r="133" spans="1:12" x14ac:dyDescent="0.35">
      <c r="A133" s="18">
        <v>42446</v>
      </c>
      <c r="B133" s="15">
        <v>174.42649841308591</v>
      </c>
      <c r="C133" s="15">
        <v>62.75335693359375</v>
      </c>
      <c r="D133" s="15">
        <v>120.129997253418</v>
      </c>
      <c r="E133" s="15">
        <v>100.248893737793</v>
      </c>
      <c r="F133" s="15">
        <v>88.846023559570313</v>
      </c>
      <c r="H133" s="16">
        <f t="shared" si="7"/>
        <v>3.9219774980420912E-3</v>
      </c>
      <c r="I133" s="16">
        <f t="shared" si="7"/>
        <v>8.5098406200045647E-4</v>
      </c>
      <c r="J133" s="16">
        <f t="shared" si="7"/>
        <v>-2.7507557147488809E-3</v>
      </c>
      <c r="K133" s="16">
        <f t="shared" si="8"/>
        <v>1.5658417228087535E-3</v>
      </c>
      <c r="L133" s="16">
        <f t="shared" si="9"/>
        <v>4.4271968413680633E-3</v>
      </c>
    </row>
    <row r="134" spans="1:12" x14ac:dyDescent="0.35">
      <c r="A134" s="18">
        <v>42447</v>
      </c>
      <c r="B134" s="15">
        <v>175.1119384765625</v>
      </c>
      <c r="C134" s="15">
        <v>62.806781768798828</v>
      </c>
      <c r="D134" s="15">
        <v>119.8000030517578</v>
      </c>
      <c r="E134" s="15">
        <v>100.40599060058589</v>
      </c>
      <c r="F134" s="15">
        <v>89.240234375</v>
      </c>
      <c r="H134" s="16">
        <f t="shared" si="7"/>
        <v>1.4177647166914689E-3</v>
      </c>
      <c r="I134" s="16">
        <f t="shared" si="7"/>
        <v>-1.823772904551963E-3</v>
      </c>
      <c r="J134" s="16">
        <f t="shared" si="7"/>
        <v>-7.0364166993140149E-3</v>
      </c>
      <c r="K134" s="16">
        <f t="shared" si="8"/>
        <v>3.9041758074322718E-3</v>
      </c>
      <c r="L134" s="16">
        <f t="shared" si="9"/>
        <v>9.6013564804689542E-4</v>
      </c>
    </row>
    <row r="135" spans="1:12" x14ac:dyDescent="0.35">
      <c r="A135" s="18">
        <v>42450</v>
      </c>
      <c r="B135" s="15">
        <v>175.3603820800781</v>
      </c>
      <c r="C135" s="15">
        <v>62.692340850830078</v>
      </c>
      <c r="D135" s="15">
        <v>118.9599990844727</v>
      </c>
      <c r="E135" s="15">
        <v>100.7987594604492</v>
      </c>
      <c r="F135" s="15">
        <v>89.325958251953125</v>
      </c>
      <c r="H135" s="16">
        <f t="shared" si="7"/>
        <v>-5.3762929758278824E-4</v>
      </c>
      <c r="I135" s="16">
        <f t="shared" si="7"/>
        <v>-2.4159534346037399E-4</v>
      </c>
      <c r="J135" s="16">
        <f t="shared" si="7"/>
        <v>2.9378329691906891E-3</v>
      </c>
      <c r="K135" s="16">
        <f t="shared" si="8"/>
        <v>3.0568822703026764E-3</v>
      </c>
      <c r="L135" s="16">
        <f t="shared" si="9"/>
        <v>-2.8813186917719556E-4</v>
      </c>
    </row>
    <row r="136" spans="1:12" x14ac:dyDescent="0.35">
      <c r="A136" s="18">
        <v>42451</v>
      </c>
      <c r="B136" s="15">
        <v>175.26612854003909</v>
      </c>
      <c r="C136" s="15">
        <v>62.677196502685547</v>
      </c>
      <c r="D136" s="15">
        <v>119.30999755859381</v>
      </c>
      <c r="E136" s="15">
        <v>101.10736083984381</v>
      </c>
      <c r="F136" s="15">
        <v>89.300224304199219</v>
      </c>
      <c r="H136" s="16">
        <f t="shared" si="7"/>
        <v>-6.6211584923138618E-3</v>
      </c>
      <c r="I136" s="16">
        <f t="shared" si="7"/>
        <v>2.1868349267239176E-3</v>
      </c>
      <c r="J136" s="16">
        <f t="shared" si="7"/>
        <v>-2.2890088658627544E-2</v>
      </c>
      <c r="K136" s="16">
        <f t="shared" si="8"/>
        <v>-8.2656670873194563E-3</v>
      </c>
      <c r="L136" s="16">
        <f t="shared" si="9"/>
        <v>-8.190646818371625E-3</v>
      </c>
    </row>
    <row r="137" spans="1:12" x14ac:dyDescent="0.35">
      <c r="A137" s="18">
        <v>42452</v>
      </c>
      <c r="B137" s="15">
        <v>174.1094970703125</v>
      </c>
      <c r="C137" s="15">
        <v>62.814411163330078</v>
      </c>
      <c r="D137" s="15">
        <v>116.61000061035161</v>
      </c>
      <c r="E137" s="15">
        <v>100.27508544921881</v>
      </c>
      <c r="F137" s="15">
        <v>88.571784973144531</v>
      </c>
      <c r="H137" s="16">
        <f t="shared" si="7"/>
        <v>-4.4311350413235438E-4</v>
      </c>
      <c r="I137" s="16">
        <f t="shared" si="7"/>
        <v>-1.2147232004097001E-3</v>
      </c>
      <c r="J137" s="16">
        <f t="shared" si="7"/>
        <v>-2.4040431975178439E-3</v>
      </c>
      <c r="K137" s="16">
        <f t="shared" si="8"/>
        <v>2.7964805911199624E-4</v>
      </c>
      <c r="L137" s="16">
        <f t="shared" si="9"/>
        <v>-2.9006864026839011E-4</v>
      </c>
    </row>
    <row r="138" spans="1:12" x14ac:dyDescent="0.35">
      <c r="A138" s="18">
        <v>42453</v>
      </c>
      <c r="B138" s="15">
        <v>174.03236389160159</v>
      </c>
      <c r="C138" s="15">
        <v>62.738155364990227</v>
      </c>
      <c r="D138" s="15">
        <v>116.3300018310547</v>
      </c>
      <c r="E138" s="15">
        <v>100.3031311035156</v>
      </c>
      <c r="F138" s="15">
        <v>88.546096801757813</v>
      </c>
      <c r="H138" s="16">
        <f t="shared" si="7"/>
        <v>5.9068675690620415E-4</v>
      </c>
      <c r="I138" s="16">
        <f t="shared" si="7"/>
        <v>4.8564094327034678E-4</v>
      </c>
      <c r="J138" s="16">
        <f t="shared" si="7"/>
        <v>2.3182652611006813E-3</v>
      </c>
      <c r="K138" s="16">
        <f t="shared" si="8"/>
        <v>-1.3997846815457873E-3</v>
      </c>
      <c r="L138" s="16">
        <f t="shared" si="9"/>
        <v>6.7709781128690656E-4</v>
      </c>
    </row>
    <row r="139" spans="1:12" x14ac:dyDescent="0.35">
      <c r="A139" s="18">
        <v>42457</v>
      </c>
      <c r="B139" s="15">
        <v>174.13519287109381</v>
      </c>
      <c r="C139" s="15">
        <v>62.768630981445313</v>
      </c>
      <c r="D139" s="15">
        <v>116.59999847412109</v>
      </c>
      <c r="E139" s="15">
        <v>100.16282653808589</v>
      </c>
      <c r="F139" s="15">
        <v>88.606071472167969</v>
      </c>
      <c r="H139" s="16">
        <f t="shared" si="7"/>
        <v>9.2078152798540838E-3</v>
      </c>
      <c r="I139" s="16">
        <f t="shared" si="7"/>
        <v>4.1207229997177039E-3</v>
      </c>
      <c r="J139" s="16">
        <f t="shared" si="7"/>
        <v>1.8355407053401579E-2</v>
      </c>
      <c r="K139" s="16">
        <f t="shared" si="8"/>
        <v>1.5930949350372606E-2</v>
      </c>
      <c r="L139" s="16">
        <f t="shared" si="9"/>
        <v>1.1061422398651141E-2</v>
      </c>
    </row>
    <row r="140" spans="1:12" x14ac:dyDescent="0.35">
      <c r="A140" s="18">
        <v>42458</v>
      </c>
      <c r="B140" s="15">
        <v>175.7460021972656</v>
      </c>
      <c r="C140" s="15">
        <v>63.027816772460938</v>
      </c>
      <c r="D140" s="15">
        <v>118.7600021362305</v>
      </c>
      <c r="E140" s="15">
        <v>101.7712936401367</v>
      </c>
      <c r="F140" s="15">
        <v>89.591621398925781</v>
      </c>
      <c r="H140" s="16">
        <f t="shared" si="7"/>
        <v>4.3779146636146148E-3</v>
      </c>
      <c r="I140" s="16">
        <f t="shared" si="7"/>
        <v>-3.6224137730138357E-4</v>
      </c>
      <c r="J140" s="16">
        <f t="shared" si="7"/>
        <v>-1.4076410310244803E-2</v>
      </c>
      <c r="K140" s="16">
        <f t="shared" si="8"/>
        <v>4.8583502068105236E-3</v>
      </c>
      <c r="L140" s="16">
        <f t="shared" si="9"/>
        <v>3.8188234878449895E-3</v>
      </c>
    </row>
    <row r="141" spans="1:12" x14ac:dyDescent="0.35">
      <c r="A141" s="18">
        <v>42459</v>
      </c>
      <c r="B141" s="15">
        <v>176.51708984375</v>
      </c>
      <c r="C141" s="15">
        <v>63.004989624023438</v>
      </c>
      <c r="D141" s="15">
        <v>117.09999847412109</v>
      </c>
      <c r="E141" s="15">
        <v>102.2669372558594</v>
      </c>
      <c r="F141" s="15">
        <v>89.934410095214844</v>
      </c>
      <c r="H141" s="16">
        <f t="shared" si="7"/>
        <v>-2.4297697286612854E-3</v>
      </c>
      <c r="I141" s="16">
        <f t="shared" si="7"/>
        <v>1.9337832162971843E-3</v>
      </c>
      <c r="J141" s="16">
        <f t="shared" si="7"/>
        <v>4.6008509243856202E-3</v>
      </c>
      <c r="K141" s="16">
        <f t="shared" si="8"/>
        <v>-1.464628752136066E-3</v>
      </c>
      <c r="L141" s="16">
        <f t="shared" si="9"/>
        <v>-1.1438617782359786E-3</v>
      </c>
    </row>
    <row r="142" spans="1:12" x14ac:dyDescent="0.35">
      <c r="A142" s="18">
        <v>42460</v>
      </c>
      <c r="B142" s="15">
        <v>176.0887145996094</v>
      </c>
      <c r="C142" s="15">
        <v>63.126945495605469</v>
      </c>
      <c r="D142" s="15">
        <v>117.63999938964839</v>
      </c>
      <c r="E142" s="15">
        <v>102.1172637939453</v>
      </c>
      <c r="F142" s="15">
        <v>89.831596374511719</v>
      </c>
      <c r="H142" s="16">
        <f t="shared" si="7"/>
        <v>6.7886878349477228E-3</v>
      </c>
      <c r="I142" s="16">
        <f t="shared" si="7"/>
        <v>1.12455515829403E-3</v>
      </c>
      <c r="J142" s="16">
        <f t="shared" si="7"/>
        <v>-6.0536407353655921E-3</v>
      </c>
      <c r="K142" s="16">
        <f t="shared" si="8"/>
        <v>1.0567207695906099E-2</v>
      </c>
      <c r="L142" s="16">
        <f t="shared" si="9"/>
        <v>6.2766287350859993E-3</v>
      </c>
    </row>
    <row r="143" spans="1:12" x14ac:dyDescent="0.35">
      <c r="A143" s="18">
        <v>42461</v>
      </c>
      <c r="B143" s="15">
        <v>177.28819274902341</v>
      </c>
      <c r="C143" s="15">
        <v>63.197975158691413</v>
      </c>
      <c r="D143" s="15">
        <v>116.9300003051758</v>
      </c>
      <c r="E143" s="15">
        <v>103.2020797729492</v>
      </c>
      <c r="F143" s="15">
        <v>90.397209167480469</v>
      </c>
      <c r="H143" s="16">
        <f t="shared" si="7"/>
        <v>-3.2431205493569657E-3</v>
      </c>
      <c r="I143" s="16">
        <f t="shared" si="7"/>
        <v>0</v>
      </c>
      <c r="J143" s="16">
        <f t="shared" si="7"/>
        <v>-6.692995408569811E-3</v>
      </c>
      <c r="K143" s="16">
        <f t="shared" si="8"/>
        <v>-3.813083678988043E-3</v>
      </c>
      <c r="L143" s="16">
        <f t="shared" si="9"/>
        <v>-4.1801235199269687E-3</v>
      </c>
    </row>
    <row r="144" spans="1:12" x14ac:dyDescent="0.35">
      <c r="A144" s="18">
        <v>42464</v>
      </c>
      <c r="B144" s="15">
        <v>176.71415710449219</v>
      </c>
      <c r="C144" s="15">
        <v>63.197975158691413</v>
      </c>
      <c r="D144" s="15">
        <v>116.15000152587891</v>
      </c>
      <c r="E144" s="15">
        <v>102.80931091308589</v>
      </c>
      <c r="F144" s="15">
        <v>90.020126342773438</v>
      </c>
      <c r="H144" s="16">
        <f t="shared" si="7"/>
        <v>-1.003817840301858E-2</v>
      </c>
      <c r="I144" s="16">
        <f t="shared" si="7"/>
        <v>1.8113032717951402E-3</v>
      </c>
      <c r="J144" s="16">
        <f t="shared" si="7"/>
        <v>1.2916668207256876E-2</v>
      </c>
      <c r="K144" s="16">
        <f t="shared" si="8"/>
        <v>-9.6887087095765736E-3</v>
      </c>
      <c r="L144" s="16">
        <f t="shared" si="9"/>
        <v>-9.7578400761974635E-3</v>
      </c>
    </row>
    <row r="145" spans="1:12" x14ac:dyDescent="0.35">
      <c r="A145" s="18">
        <v>42465</v>
      </c>
      <c r="B145" s="15">
        <v>174.94914245605469</v>
      </c>
      <c r="C145" s="15">
        <v>63.312549591064453</v>
      </c>
      <c r="D145" s="15">
        <v>117.6600036621094</v>
      </c>
      <c r="E145" s="15">
        <v>101.8180313110352</v>
      </c>
      <c r="F145" s="15">
        <v>89.14599609375</v>
      </c>
      <c r="H145" s="16">
        <f t="shared" si="7"/>
        <v>1.086228268727937E-2</v>
      </c>
      <c r="I145" s="16">
        <f t="shared" si="7"/>
        <v>-4.8297481599065135E-4</v>
      </c>
      <c r="J145" s="16">
        <f t="shared" si="7"/>
        <v>-6.138136935865502E-3</v>
      </c>
      <c r="K145" s="16">
        <f t="shared" si="8"/>
        <v>1.63064070032879E-2</v>
      </c>
      <c r="L145" s="16">
        <f t="shared" si="9"/>
        <v>1.0899730898016153E-2</v>
      </c>
    </row>
    <row r="146" spans="1:12" x14ac:dyDescent="0.35">
      <c r="A146" s="18">
        <v>42466</v>
      </c>
      <c r="B146" s="15">
        <v>176.85984802246091</v>
      </c>
      <c r="C146" s="15">
        <v>63.281978607177727</v>
      </c>
      <c r="D146" s="15">
        <v>116.94000244140619</v>
      </c>
      <c r="E146" s="15">
        <v>103.49192810058589</v>
      </c>
      <c r="F146" s="15">
        <v>90.122978210449219</v>
      </c>
      <c r="H146" s="16">
        <f t="shared" si="7"/>
        <v>-1.2038242164537373E-2</v>
      </c>
      <c r="I146" s="16">
        <f t="shared" si="7"/>
        <v>3.2545108162716531E-3</v>
      </c>
      <c r="J146" s="16">
        <f t="shared" si="7"/>
        <v>1.4179801562103824E-2</v>
      </c>
      <c r="K146" s="16">
        <f t="shared" si="8"/>
        <v>-1.4470843207334404E-2</v>
      </c>
      <c r="L146" s="16">
        <f t="shared" si="9"/>
        <v>-1.2054057644449589E-2</v>
      </c>
    </row>
    <row r="147" spans="1:12" x14ac:dyDescent="0.35">
      <c r="A147" s="18">
        <v>42467</v>
      </c>
      <c r="B147" s="15">
        <v>174.7435302734375</v>
      </c>
      <c r="C147" s="15">
        <v>63.488265991210938</v>
      </c>
      <c r="D147" s="15">
        <v>118.61000061035161</v>
      </c>
      <c r="E147" s="15">
        <v>102.0050964355469</v>
      </c>
      <c r="F147" s="15">
        <v>89.04315185546875</v>
      </c>
      <c r="H147" s="16">
        <f t="shared" si="7"/>
        <v>2.6934547548129279E-3</v>
      </c>
      <c r="I147" s="16">
        <f t="shared" si="7"/>
        <v>-8.4304845163971586E-4</v>
      </c>
      <c r="J147" s="16">
        <f t="shared" si="7"/>
        <v>-1.5187338768051055E-3</v>
      </c>
      <c r="K147" s="16">
        <f t="shared" si="8"/>
        <v>-7.3370149393509889E-4</v>
      </c>
      <c r="L147" s="16">
        <f t="shared" si="9"/>
        <v>2.8828951465647815E-3</v>
      </c>
    </row>
    <row r="148" spans="1:12" x14ac:dyDescent="0.35">
      <c r="A148" s="18">
        <v>42468</v>
      </c>
      <c r="B148" s="15">
        <v>175.21482849121091</v>
      </c>
      <c r="C148" s="15">
        <v>63.434764862060547</v>
      </c>
      <c r="D148" s="15">
        <v>118.4300003051758</v>
      </c>
      <c r="E148" s="15">
        <v>101.93028259277339</v>
      </c>
      <c r="F148" s="15">
        <v>89.300224304199219</v>
      </c>
      <c r="H148" s="16">
        <f t="shared" si="7"/>
        <v>-2.350341886609094E-3</v>
      </c>
      <c r="I148" s="16">
        <f t="shared" si="7"/>
        <v>-1.2015845053113597E-4</v>
      </c>
      <c r="J148" s="16">
        <f t="shared" si="7"/>
        <v>1.3419630057020864E-2</v>
      </c>
      <c r="K148" s="16">
        <f t="shared" si="8"/>
        <v>-3.6765289018953554E-3</v>
      </c>
      <c r="L148" s="16">
        <f t="shared" si="9"/>
        <v>-2.7866788996618952E-3</v>
      </c>
    </row>
    <row r="149" spans="1:12" x14ac:dyDescent="0.35">
      <c r="A149" s="18">
        <v>42471</v>
      </c>
      <c r="B149" s="15">
        <v>174.8034973144531</v>
      </c>
      <c r="C149" s="15">
        <v>63.427143096923828</v>
      </c>
      <c r="D149" s="15">
        <v>120.0299987792969</v>
      </c>
      <c r="E149" s="15">
        <v>101.5562210083008</v>
      </c>
      <c r="F149" s="15">
        <v>89.051719665527344</v>
      </c>
      <c r="H149" s="16">
        <f t="shared" si="7"/>
        <v>9.2697282852438959E-3</v>
      </c>
      <c r="I149" s="16">
        <f t="shared" si="7"/>
        <v>-1.5673507973411845E-3</v>
      </c>
      <c r="J149" s="16">
        <f t="shared" si="7"/>
        <v>1.6664672071482761E-4</v>
      </c>
      <c r="K149" s="16">
        <f t="shared" si="8"/>
        <v>8.3443628173204241E-3</v>
      </c>
      <c r="L149" s="16">
        <f t="shared" si="9"/>
        <v>9.6730088955793627E-3</v>
      </c>
    </row>
    <row r="150" spans="1:12" x14ac:dyDescent="0.35">
      <c r="A150" s="18">
        <v>42472</v>
      </c>
      <c r="B150" s="15">
        <v>176.43141174316409</v>
      </c>
      <c r="C150" s="15">
        <v>63.327808380126953</v>
      </c>
      <c r="D150" s="15">
        <v>120.0500030517578</v>
      </c>
      <c r="E150" s="15">
        <v>102.4071884155273</v>
      </c>
      <c r="F150" s="15">
        <v>89.91729736328125</v>
      </c>
      <c r="H150" s="16">
        <f t="shared" si="7"/>
        <v>1.0049990775613615E-2</v>
      </c>
      <c r="I150" s="16">
        <f t="shared" si="7"/>
        <v>6.0327543405821657E-4</v>
      </c>
      <c r="J150" s="16">
        <f t="shared" si="7"/>
        <v>-1.0719526565990614E-2</v>
      </c>
      <c r="K150" s="16">
        <f t="shared" si="8"/>
        <v>1.2703122456562216E-2</v>
      </c>
      <c r="L150" s="16">
        <f t="shared" si="9"/>
        <v>1.1654980874322367E-2</v>
      </c>
    </row>
    <row r="151" spans="1:12" x14ac:dyDescent="0.35">
      <c r="A151" s="18">
        <v>42473</v>
      </c>
      <c r="B151" s="15">
        <v>178.21348571777341</v>
      </c>
      <c r="C151" s="15">
        <v>63.366024017333977</v>
      </c>
      <c r="D151" s="15">
        <v>118.76999664306641</v>
      </c>
      <c r="E151" s="15">
        <v>103.7163772583008</v>
      </c>
      <c r="F151" s="15">
        <v>90.971412658691406</v>
      </c>
      <c r="H151" s="16">
        <f t="shared" si="7"/>
        <v>4.8460223498707294E-5</v>
      </c>
      <c r="I151" s="16">
        <f t="shared" si="7"/>
        <v>-8.4425373482735239E-4</v>
      </c>
      <c r="J151" s="16">
        <f t="shared" si="7"/>
        <v>-1.4075152256168016E-2</v>
      </c>
      <c r="K151" s="16">
        <f t="shared" si="8"/>
        <v>9.025425777971269E-5</v>
      </c>
      <c r="L151" s="16">
        <f t="shared" si="9"/>
        <v>-3.7696415629712528E-4</v>
      </c>
    </row>
    <row r="152" spans="1:12" x14ac:dyDescent="0.35">
      <c r="A152" s="18">
        <v>42474</v>
      </c>
      <c r="B152" s="15">
        <v>178.22212219238281</v>
      </c>
      <c r="C152" s="15">
        <v>63.312549591064453</v>
      </c>
      <c r="D152" s="15">
        <v>117.11000061035161</v>
      </c>
      <c r="E152" s="15">
        <v>103.7257385253906</v>
      </c>
      <c r="F152" s="15">
        <v>90.937126159667969</v>
      </c>
      <c r="H152" s="16">
        <f t="shared" si="7"/>
        <v>-1.1062656844059594E-3</v>
      </c>
      <c r="I152" s="16">
        <f t="shared" si="7"/>
        <v>2.2896577789735854E-3</v>
      </c>
      <c r="J152" s="16">
        <f t="shared" si="7"/>
        <v>6.8927436472599832E-3</v>
      </c>
      <c r="K152" s="16">
        <f t="shared" si="8"/>
        <v>-2.5276225541281646E-3</v>
      </c>
      <c r="L152" s="16">
        <f t="shared" si="9"/>
        <v>-4.7136314568809568E-4</v>
      </c>
    </row>
    <row r="153" spans="1:12" x14ac:dyDescent="0.35">
      <c r="A153" s="18">
        <v>42475</v>
      </c>
      <c r="B153" s="15">
        <v>178.02507019042969</v>
      </c>
      <c r="C153" s="15">
        <v>63.457679748535163</v>
      </c>
      <c r="D153" s="15">
        <v>117.9199981689453</v>
      </c>
      <c r="E153" s="15">
        <v>103.46389007568359</v>
      </c>
      <c r="F153" s="15">
        <v>90.894271850585938</v>
      </c>
      <c r="H153" s="16">
        <f t="shared" si="7"/>
        <v>7.0018837417204927E-3</v>
      </c>
      <c r="I153" s="16">
        <f t="shared" si="7"/>
        <v>-3.6117023033216053E-4</v>
      </c>
      <c r="J153" s="16">
        <f t="shared" si="7"/>
        <v>-1.5276274565967807E-3</v>
      </c>
      <c r="K153" s="16">
        <f t="shared" si="8"/>
        <v>5.3185379174272036E-3</v>
      </c>
      <c r="L153" s="16">
        <f t="shared" si="9"/>
        <v>6.671922489367264E-3</v>
      </c>
    </row>
    <row r="154" spans="1:12" x14ac:dyDescent="0.35">
      <c r="A154" s="18">
        <v>42478</v>
      </c>
      <c r="B154" s="15">
        <v>179.27595520019531</v>
      </c>
      <c r="C154" s="15">
        <v>63.434764862060547</v>
      </c>
      <c r="D154" s="15">
        <v>117.7399978637695</v>
      </c>
      <c r="E154" s="15">
        <v>104.0156326293945</v>
      </c>
      <c r="F154" s="15">
        <v>91.502738952636719</v>
      </c>
      <c r="H154" s="16">
        <f t="shared" si="7"/>
        <v>3.1493388417362434E-3</v>
      </c>
      <c r="I154" s="16">
        <f t="shared" si="7"/>
        <v>6.0189796857411371E-4</v>
      </c>
      <c r="J154" s="16">
        <f t="shared" si="7"/>
        <v>1.5506833308651317E-2</v>
      </c>
      <c r="K154" s="16">
        <f t="shared" si="8"/>
        <v>-6.1320699770450711E-3</v>
      </c>
      <c r="L154" s="16">
        <f t="shared" si="9"/>
        <v>2.8061768919853966E-3</v>
      </c>
    </row>
    <row r="155" spans="1:12" x14ac:dyDescent="0.35">
      <c r="A155" s="18">
        <v>42479</v>
      </c>
      <c r="B155" s="15">
        <v>179.84144592285159</v>
      </c>
      <c r="C155" s="15">
        <v>63.472957611083977</v>
      </c>
      <c r="D155" s="15">
        <v>119.5800018310547</v>
      </c>
      <c r="E155" s="15">
        <v>103.379753112793</v>
      </c>
      <c r="F155" s="15">
        <v>91.759872436523438</v>
      </c>
      <c r="H155" s="16">
        <f t="shared" si="7"/>
        <v>9.5236454788853091E-4</v>
      </c>
      <c r="I155" s="16">
        <f t="shared" si="7"/>
        <v>-2.7723861647359575E-3</v>
      </c>
      <c r="J155" s="16">
        <f t="shared" si="7"/>
        <v>-5.1142480161102582E-3</v>
      </c>
      <c r="K155" s="16">
        <f t="shared" si="8"/>
        <v>8.1353205961774884E-4</v>
      </c>
      <c r="L155" s="16">
        <f t="shared" si="9"/>
        <v>1.0268980096315254E-3</v>
      </c>
    </row>
    <row r="156" spans="1:12" x14ac:dyDescent="0.35">
      <c r="A156" s="18">
        <v>42480</v>
      </c>
      <c r="B156" s="15">
        <v>180.01280212402341</v>
      </c>
      <c r="C156" s="15">
        <v>63.297229766845703</v>
      </c>
      <c r="D156" s="15">
        <v>118.9700012207031</v>
      </c>
      <c r="E156" s="15">
        <v>103.46389007568359</v>
      </c>
      <c r="F156" s="15">
        <v>91.854148864746094</v>
      </c>
      <c r="H156" s="16">
        <f t="shared" si="7"/>
        <v>-5.3929411876258637E-3</v>
      </c>
      <c r="I156" s="16">
        <f t="shared" si="7"/>
        <v>-1.2069000876550123E-3</v>
      </c>
      <c r="J156" s="16">
        <f t="shared" si="7"/>
        <v>3.7753050369176162E-3</v>
      </c>
      <c r="K156" s="16">
        <f t="shared" si="8"/>
        <v>9.0474498990645802E-5</v>
      </c>
      <c r="L156" s="16">
        <f t="shared" si="9"/>
        <v>-4.9574036879311426E-3</v>
      </c>
    </row>
    <row r="157" spans="1:12" x14ac:dyDescent="0.35">
      <c r="A157" s="18">
        <v>42481</v>
      </c>
      <c r="B157" s="15">
        <v>179.04461669921881</v>
      </c>
      <c r="C157" s="15">
        <v>63.220882415771477</v>
      </c>
      <c r="D157" s="15">
        <v>119.4199981689453</v>
      </c>
      <c r="E157" s="15">
        <v>103.47325134277339</v>
      </c>
      <c r="F157" s="15">
        <v>91.399917602539063</v>
      </c>
      <c r="H157" s="16">
        <f t="shared" si="7"/>
        <v>0</v>
      </c>
      <c r="I157" s="16">
        <f t="shared" si="7"/>
        <v>-3.6240253661973428E-4</v>
      </c>
      <c r="J157" s="16">
        <f t="shared" si="7"/>
        <v>-1.2894694659209558E-2</v>
      </c>
      <c r="K157" s="16">
        <f t="shared" si="8"/>
        <v>-1.5207534659709138E-2</v>
      </c>
      <c r="L157" s="16">
        <f t="shared" si="9"/>
        <v>1.4054428033247121E-3</v>
      </c>
    </row>
    <row r="158" spans="1:12" x14ac:dyDescent="0.35">
      <c r="A158" s="18">
        <v>42482</v>
      </c>
      <c r="B158" s="15">
        <v>179.04461669921881</v>
      </c>
      <c r="C158" s="15">
        <v>63.197975158691413</v>
      </c>
      <c r="D158" s="15">
        <v>117.88999938964839</v>
      </c>
      <c r="E158" s="15">
        <v>101.9115829467773</v>
      </c>
      <c r="F158" s="15">
        <v>91.528465270996094</v>
      </c>
      <c r="H158" s="16">
        <f t="shared" si="7"/>
        <v>-1.7239350426547233E-3</v>
      </c>
      <c r="I158" s="16">
        <f t="shared" si="7"/>
        <v>-1.2097032236697937E-3</v>
      </c>
      <c r="J158" s="16">
        <f t="shared" si="7"/>
        <v>2.8799271415300984E-3</v>
      </c>
      <c r="K158" s="16">
        <f t="shared" si="8"/>
        <v>0</v>
      </c>
      <c r="L158" s="16">
        <f t="shared" si="9"/>
        <v>-2.4375303933772967E-3</v>
      </c>
    </row>
    <row r="159" spans="1:12" x14ac:dyDescent="0.35">
      <c r="A159" s="18">
        <v>42485</v>
      </c>
      <c r="B159" s="15">
        <v>178.73622131347659</v>
      </c>
      <c r="C159" s="15">
        <v>63.121570587158203</v>
      </c>
      <c r="D159" s="15">
        <v>118.23000335693359</v>
      </c>
      <c r="E159" s="15">
        <v>101.9115829467773</v>
      </c>
      <c r="F159" s="15">
        <v>91.305633544921875</v>
      </c>
      <c r="H159" s="16">
        <f t="shared" si="7"/>
        <v>1.4846843708634383E-3</v>
      </c>
      <c r="I159" s="16">
        <f t="shared" si="7"/>
        <v>-1.4531061129712014E-3</v>
      </c>
      <c r="J159" s="16">
        <f t="shared" si="7"/>
        <v>3.9673676375151902E-3</v>
      </c>
      <c r="K159" s="16">
        <f t="shared" si="8"/>
        <v>-4.8753320938557717E-3</v>
      </c>
      <c r="L159" s="16">
        <f t="shared" si="9"/>
        <v>2.7183154114535772E-3</v>
      </c>
    </row>
    <row r="160" spans="1:12" x14ac:dyDescent="0.35">
      <c r="A160" s="18">
        <v>42486</v>
      </c>
      <c r="B160" s="15">
        <v>179.00178527832031</v>
      </c>
      <c r="C160" s="15">
        <v>63.029914855957031</v>
      </c>
      <c r="D160" s="15">
        <v>118.6999969482422</v>
      </c>
      <c r="E160" s="15">
        <v>101.4159393310547</v>
      </c>
      <c r="F160" s="15">
        <v>91.554168701171875</v>
      </c>
      <c r="H160" s="16">
        <f t="shared" si="7"/>
        <v>2.0561809570764766E-3</v>
      </c>
      <c r="I160" s="16">
        <f t="shared" si="7"/>
        <v>3.0252118732608207E-3</v>
      </c>
      <c r="J160" s="16">
        <f t="shared" si="7"/>
        <v>2.8603028699195183E-3</v>
      </c>
      <c r="K160" s="16">
        <f t="shared" si="8"/>
        <v>-8.0545191330433398E-3</v>
      </c>
      <c r="L160" s="16">
        <f t="shared" si="9"/>
        <v>2.4307551912772177E-3</v>
      </c>
    </row>
    <row r="161" spans="1:12" x14ac:dyDescent="0.35">
      <c r="A161" s="18">
        <v>42487</v>
      </c>
      <c r="B161" s="15">
        <v>179.37022399902341</v>
      </c>
      <c r="C161" s="15">
        <v>63.220882415771477</v>
      </c>
      <c r="D161" s="15">
        <v>119.0400009155273</v>
      </c>
      <c r="E161" s="15">
        <v>100.6023635864258</v>
      </c>
      <c r="F161" s="15">
        <v>91.776985168457031</v>
      </c>
      <c r="H161" s="16">
        <f t="shared" si="7"/>
        <v>-9.1171580498368883E-3</v>
      </c>
      <c r="I161" s="16">
        <f t="shared" si="7"/>
        <v>1.8110089438226618E-3</v>
      </c>
      <c r="J161" s="16">
        <f t="shared" si="7"/>
        <v>1.8724801093336303E-2</v>
      </c>
      <c r="K161" s="16">
        <f t="shared" si="8"/>
        <v>-1.2157875852300104E-2</v>
      </c>
      <c r="L161" s="16">
        <f t="shared" si="9"/>
        <v>-9.0047976108049311E-3</v>
      </c>
    </row>
    <row r="162" spans="1:12" x14ac:dyDescent="0.35">
      <c r="A162" s="18">
        <v>42488</v>
      </c>
      <c r="B162" s="15">
        <v>177.7423095703125</v>
      </c>
      <c r="C162" s="15">
        <v>63.335479736328118</v>
      </c>
      <c r="D162" s="15">
        <v>121.2900009155273</v>
      </c>
      <c r="E162" s="15">
        <v>99.38665771484375</v>
      </c>
      <c r="F162" s="15">
        <v>90.954261779785156</v>
      </c>
      <c r="H162" s="16">
        <f t="shared" si="7"/>
        <v>-5.4133373031617369E-3</v>
      </c>
      <c r="I162" s="16">
        <f t="shared" si="7"/>
        <v>7.2346216876440308E-4</v>
      </c>
      <c r="J162" s="16">
        <f t="shared" si="7"/>
        <v>1.9270626438692002E-2</v>
      </c>
      <c r="K162" s="16">
        <f t="shared" si="8"/>
        <v>-5.2826792226340511E-3</v>
      </c>
      <c r="L162" s="16">
        <f t="shared" si="9"/>
        <v>-5.8587316376225535E-3</v>
      </c>
    </row>
    <row r="163" spans="1:12" x14ac:dyDescent="0.35">
      <c r="A163" s="18">
        <v>42489</v>
      </c>
      <c r="B163" s="15">
        <v>176.78273010253909</v>
      </c>
      <c r="C163" s="15">
        <v>63.381317138671882</v>
      </c>
      <c r="D163" s="15">
        <v>123.65000152587891</v>
      </c>
      <c r="E163" s="15">
        <v>98.863014221191406</v>
      </c>
      <c r="F163" s="15">
        <v>90.422943115234375</v>
      </c>
      <c r="H163" s="16">
        <f t="shared" si="7"/>
        <v>7.9167855873875752E-3</v>
      </c>
      <c r="I163" s="16">
        <f t="shared" si="7"/>
        <v>-1.7644774475284021E-3</v>
      </c>
      <c r="J163" s="16">
        <f t="shared" si="7"/>
        <v>-3.3213499131700156E-3</v>
      </c>
      <c r="K163" s="16">
        <f t="shared" si="8"/>
        <v>9.4144399327073143E-3</v>
      </c>
      <c r="L163" s="16">
        <f t="shared" si="9"/>
        <v>7.7416947849085847E-3</v>
      </c>
    </row>
    <row r="164" spans="1:12" x14ac:dyDescent="0.35">
      <c r="A164" s="18">
        <v>42492</v>
      </c>
      <c r="B164" s="15">
        <v>178.1878356933594</v>
      </c>
      <c r="C164" s="15">
        <v>63.269580841064453</v>
      </c>
      <c r="D164" s="15">
        <v>123.2399978637695</v>
      </c>
      <c r="E164" s="15">
        <v>99.798149108886719</v>
      </c>
      <c r="F164" s="15">
        <v>91.125686645507813</v>
      </c>
      <c r="H164" s="16">
        <f t="shared" si="7"/>
        <v>-8.7414222888470075E-3</v>
      </c>
      <c r="I164" s="16">
        <f t="shared" si="7"/>
        <v>2.7780453202774103E-3</v>
      </c>
      <c r="J164" s="16">
        <f t="shared" si="7"/>
        <v>-2.274564609954028E-3</v>
      </c>
      <c r="K164" s="16">
        <f t="shared" si="8"/>
        <v>-9.3197551409703976E-3</v>
      </c>
      <c r="L164" s="16">
        <f t="shared" si="9"/>
        <v>-1.011408134451414E-2</v>
      </c>
    </row>
    <row r="165" spans="1:12" x14ac:dyDescent="0.35">
      <c r="A165" s="18">
        <v>42493</v>
      </c>
      <c r="B165" s="15">
        <v>176.63700866699219</v>
      </c>
      <c r="C165" s="15">
        <v>63.445590972900391</v>
      </c>
      <c r="D165" s="15">
        <v>122.9599990844727</v>
      </c>
      <c r="E165" s="15">
        <v>98.87237548828125</v>
      </c>
      <c r="F165" s="15">
        <v>90.20867919921875</v>
      </c>
      <c r="H165" s="16">
        <f t="shared" si="7"/>
        <v>-5.5936680423850655E-3</v>
      </c>
      <c r="I165" s="16">
        <f t="shared" si="7"/>
        <v>3.6195006536305887E-4</v>
      </c>
      <c r="J165" s="16">
        <f t="shared" si="7"/>
        <v>-6.1182228261255191E-3</v>
      </c>
      <c r="K165" s="16">
        <f t="shared" si="8"/>
        <v>-6.4526299242998759E-3</v>
      </c>
      <c r="L165" s="16">
        <f t="shared" si="9"/>
        <v>-5.9078083258094233E-3</v>
      </c>
    </row>
    <row r="166" spans="1:12" x14ac:dyDescent="0.35">
      <c r="A166" s="18">
        <v>42494</v>
      </c>
      <c r="B166" s="15">
        <v>175.65171813964841</v>
      </c>
      <c r="C166" s="15">
        <v>63.468559265136719</v>
      </c>
      <c r="D166" s="15">
        <v>122.2099990844727</v>
      </c>
      <c r="E166" s="15">
        <v>98.236442565917969</v>
      </c>
      <c r="F166" s="15">
        <v>89.677314758300781</v>
      </c>
      <c r="H166" s="16">
        <f t="shared" si="7"/>
        <v>-1.9512808839484199E-4</v>
      </c>
      <c r="I166" s="16">
        <f t="shared" si="7"/>
        <v>1.8081477841840432E-3</v>
      </c>
      <c r="J166" s="16">
        <f t="shared" si="7"/>
        <v>-1.1462207767803316E-3</v>
      </c>
      <c r="K166" s="16">
        <f t="shared" si="8"/>
        <v>-2.8553210725221396E-4</v>
      </c>
      <c r="L166" s="16">
        <f t="shared" si="9"/>
        <v>-3.8231990873063262E-4</v>
      </c>
    </row>
    <row r="167" spans="1:12" x14ac:dyDescent="0.35">
      <c r="A167" s="18">
        <v>42495</v>
      </c>
      <c r="B167" s="15">
        <v>175.61744689941409</v>
      </c>
      <c r="C167" s="15">
        <v>63.583423614501953</v>
      </c>
      <c r="D167" s="15">
        <v>122.0699996948242</v>
      </c>
      <c r="E167" s="15">
        <v>98.208396911621094</v>
      </c>
      <c r="F167" s="15">
        <v>89.643035888671875</v>
      </c>
      <c r="H167" s="16">
        <f t="shared" si="7"/>
        <v>3.6522874611819378E-3</v>
      </c>
      <c r="I167" s="16">
        <f t="shared" si="7"/>
        <v>-4.8235736017720907E-4</v>
      </c>
      <c r="J167" s="16">
        <f t="shared" si="7"/>
        <v>9.0520545546738159E-3</v>
      </c>
      <c r="K167" s="16">
        <f t="shared" si="8"/>
        <v>5.3184161473083802E-3</v>
      </c>
      <c r="L167" s="16">
        <f t="shared" si="9"/>
        <v>3.626363083496187E-3</v>
      </c>
    </row>
    <row r="168" spans="1:12" x14ac:dyDescent="0.35">
      <c r="A168" s="18">
        <v>42496</v>
      </c>
      <c r="B168" s="15">
        <v>176.26002502441409</v>
      </c>
      <c r="C168" s="15">
        <v>63.552761077880859</v>
      </c>
      <c r="D168" s="15">
        <v>123.1800003051758</v>
      </c>
      <c r="E168" s="15">
        <v>98.732101440429688</v>
      </c>
      <c r="F168" s="15">
        <v>89.968704223632813</v>
      </c>
      <c r="H168" s="16">
        <f t="shared" si="7"/>
        <v>8.2614020499233794E-4</v>
      </c>
      <c r="I168" s="16">
        <f t="shared" si="7"/>
        <v>7.2158941443026367E-4</v>
      </c>
      <c r="J168" s="16">
        <f t="shared" si="7"/>
        <v>-2.0752898018182853E-2</v>
      </c>
      <c r="K168" s="16">
        <f t="shared" si="8"/>
        <v>2.8372477832047582E-3</v>
      </c>
      <c r="L168" s="16">
        <f t="shared" si="9"/>
        <v>1.0471621826067994E-3</v>
      </c>
    </row>
    <row r="169" spans="1:12" x14ac:dyDescent="0.35">
      <c r="A169" s="18">
        <v>42499</v>
      </c>
      <c r="B169" s="15">
        <v>176.40570068359381</v>
      </c>
      <c r="C169" s="15">
        <v>63.598636627197273</v>
      </c>
      <c r="D169" s="15">
        <v>120.65000152587891</v>
      </c>
      <c r="E169" s="15">
        <v>99.012626647949219</v>
      </c>
      <c r="F169" s="15">
        <v>90.062965393066406</v>
      </c>
      <c r="H169" s="16">
        <f t="shared" si="7"/>
        <v>1.2357287491731289E-2</v>
      </c>
      <c r="I169" s="16">
        <f t="shared" si="7"/>
        <v>0</v>
      </c>
      <c r="J169" s="16">
        <f t="shared" si="7"/>
        <v>2.7314657084142511E-3</v>
      </c>
      <c r="K169" s="16">
        <f t="shared" si="8"/>
        <v>1.3601710800986648E-2</v>
      </c>
      <c r="L169" s="16">
        <f t="shared" si="9"/>
        <v>1.1824785507636906E-2</v>
      </c>
    </row>
    <row r="170" spans="1:12" x14ac:dyDescent="0.35">
      <c r="A170" s="18">
        <v>42500</v>
      </c>
      <c r="B170" s="15">
        <v>178.59912109375</v>
      </c>
      <c r="C170" s="15">
        <v>63.598636627197273</v>
      </c>
      <c r="D170" s="15">
        <v>120.98000335693359</v>
      </c>
      <c r="E170" s="15">
        <v>100.3685684204102</v>
      </c>
      <c r="F170" s="15">
        <v>91.134262084960938</v>
      </c>
      <c r="H170" s="16">
        <f t="shared" si="7"/>
        <v>-9.3988425460143077E-3</v>
      </c>
      <c r="I170" s="16">
        <f t="shared" si="7"/>
        <v>2.4157349142275356E-4</v>
      </c>
      <c r="J170" s="16">
        <f t="shared" si="7"/>
        <v>9.3789199309148932E-3</v>
      </c>
      <c r="K170" s="16">
        <f t="shared" si="8"/>
        <v>-9.0785926383600817E-3</v>
      </c>
      <c r="L170" s="16">
        <f t="shared" si="9"/>
        <v>-9.1637200980637379E-3</v>
      </c>
    </row>
    <row r="171" spans="1:12" x14ac:dyDescent="0.35">
      <c r="A171" s="18">
        <v>42501</v>
      </c>
      <c r="B171" s="15">
        <v>176.92835998535159</v>
      </c>
      <c r="C171" s="15">
        <v>63.614002227783203</v>
      </c>
      <c r="D171" s="15">
        <v>122.120002746582</v>
      </c>
      <c r="E171" s="15">
        <v>99.46148681640625</v>
      </c>
      <c r="F171" s="15">
        <v>90.302947998046875</v>
      </c>
      <c r="H171" s="16">
        <f t="shared" si="7"/>
        <v>2.9050963691262398E-4</v>
      </c>
      <c r="I171" s="16">
        <f t="shared" si="7"/>
        <v>1.2028519237830288E-4</v>
      </c>
      <c r="J171" s="16">
        <f t="shared" si="7"/>
        <v>-7.8921739730862858E-3</v>
      </c>
      <c r="K171" s="16">
        <f t="shared" si="8"/>
        <v>-4.4289616744737307E-3</v>
      </c>
      <c r="L171" s="16">
        <f t="shared" si="9"/>
        <v>-3.796706324745413E-4</v>
      </c>
    </row>
    <row r="172" spans="1:12" x14ac:dyDescent="0.35">
      <c r="A172" s="18">
        <v>42502</v>
      </c>
      <c r="B172" s="15">
        <v>176.9797668457031</v>
      </c>
      <c r="C172" s="15">
        <v>63.621654510498047</v>
      </c>
      <c r="D172" s="15">
        <v>121.1600036621094</v>
      </c>
      <c r="E172" s="15">
        <v>99.021949768066406</v>
      </c>
      <c r="F172" s="15">
        <v>90.268669128417969</v>
      </c>
      <c r="H172" s="16">
        <f t="shared" si="7"/>
        <v>-8.7523863601938496E-3</v>
      </c>
      <c r="I172" s="16">
        <f t="shared" si="7"/>
        <v>1.0819760375066607E-3</v>
      </c>
      <c r="J172" s="16">
        <f t="shared" si="7"/>
        <v>4.5291419798270914E-3</v>
      </c>
      <c r="K172" s="16">
        <f t="shared" si="8"/>
        <v>-3.6894373826653819E-3</v>
      </c>
      <c r="L172" s="16">
        <f t="shared" si="9"/>
        <v>-8.6772134039713577E-3</v>
      </c>
    </row>
    <row r="173" spans="1:12" x14ac:dyDescent="0.35">
      <c r="A173" s="18">
        <v>42503</v>
      </c>
      <c r="B173" s="15">
        <v>175.4375305175781</v>
      </c>
      <c r="C173" s="15">
        <v>63.690528869628913</v>
      </c>
      <c r="D173" s="15">
        <v>121.7099990844727</v>
      </c>
      <c r="E173" s="15">
        <v>98.65728759765625</v>
      </c>
      <c r="F173" s="15">
        <v>89.488777160644531</v>
      </c>
      <c r="H173" s="16">
        <f t="shared" si="7"/>
        <v>9.8167807650032766E-3</v>
      </c>
      <c r="I173" s="16">
        <f t="shared" si="7"/>
        <v>-2.1654241357379569E-3</v>
      </c>
      <c r="J173" s="16">
        <f t="shared" si="7"/>
        <v>7.39221967016247E-4</v>
      </c>
      <c r="K173" s="16">
        <f t="shared" si="8"/>
        <v>1.2434045308349436E-2</v>
      </c>
      <c r="L173" s="16">
        <f t="shared" si="9"/>
        <v>9.9105951747806634E-3</v>
      </c>
    </row>
    <row r="174" spans="1:12" x14ac:dyDescent="0.35">
      <c r="A174" s="18">
        <v>42506</v>
      </c>
      <c r="B174" s="15">
        <v>177.1682434082031</v>
      </c>
      <c r="C174" s="15">
        <v>63.552761077880859</v>
      </c>
      <c r="D174" s="15">
        <v>121.8000030517578</v>
      </c>
      <c r="E174" s="15">
        <v>99.891654968261719</v>
      </c>
      <c r="F174" s="15">
        <v>90.380073547363281</v>
      </c>
      <c r="H174" s="16">
        <f t="shared" si="7"/>
        <v>-9.3773025352755449E-3</v>
      </c>
      <c r="I174" s="16">
        <f t="shared" si="7"/>
        <v>-7.2277122400364461E-4</v>
      </c>
      <c r="J174" s="16">
        <f t="shared" si="7"/>
        <v>3.4423291232427719E-3</v>
      </c>
      <c r="K174" s="16">
        <f t="shared" si="8"/>
        <v>-1.2623914118080122E-2</v>
      </c>
      <c r="L174" s="16">
        <f t="shared" si="9"/>
        <v>-9.0487795710163868E-3</v>
      </c>
    </row>
    <row r="175" spans="1:12" x14ac:dyDescent="0.35">
      <c r="A175" s="18">
        <v>42507</v>
      </c>
      <c r="B175" s="15">
        <v>175.5146484375</v>
      </c>
      <c r="C175" s="15">
        <v>63.506843566894531</v>
      </c>
      <c r="D175" s="15">
        <v>122.2200012207031</v>
      </c>
      <c r="E175" s="15">
        <v>98.638557434082031</v>
      </c>
      <c r="F175" s="15">
        <v>89.565933227539063</v>
      </c>
      <c r="H175" s="16">
        <f t="shared" si="7"/>
        <v>2.9302307577307965E-4</v>
      </c>
      <c r="I175" s="16">
        <f t="shared" si="7"/>
        <v>-4.7113025103770736E-3</v>
      </c>
      <c r="J175" s="16">
        <f t="shared" si="7"/>
        <v>-1.7497993073653972E-2</v>
      </c>
      <c r="K175" s="16">
        <f t="shared" si="8"/>
        <v>3.5961935730218541E-3</v>
      </c>
      <c r="L175" s="16">
        <f t="shared" si="9"/>
        <v>-9.6004586486268036E-5</v>
      </c>
    </row>
    <row r="176" spans="1:12" x14ac:dyDescent="0.35">
      <c r="A176" s="18">
        <v>42508</v>
      </c>
      <c r="B176" s="15">
        <v>175.56608581542969</v>
      </c>
      <c r="C176" s="15">
        <v>63.208347320556641</v>
      </c>
      <c r="D176" s="15">
        <v>120.09999847412109</v>
      </c>
      <c r="E176" s="15">
        <v>98.993919372558594</v>
      </c>
      <c r="F176" s="15">
        <v>89.557334899902344</v>
      </c>
      <c r="H176" s="16">
        <f t="shared" si="7"/>
        <v>-3.4711094597639288E-3</v>
      </c>
      <c r="I176" s="16">
        <f t="shared" si="7"/>
        <v>1.0888058771556526E-3</v>
      </c>
      <c r="J176" s="16">
        <f t="shared" si="7"/>
        <v>-1.916871248853855E-3</v>
      </c>
      <c r="K176" s="16">
        <f t="shared" si="8"/>
        <v>-5.2089403320228229E-3</v>
      </c>
      <c r="L176" s="16">
        <f t="shared" si="9"/>
        <v>-3.9309738930278539E-3</v>
      </c>
    </row>
    <row r="177" spans="1:12" x14ac:dyDescent="0.35">
      <c r="A177" s="18">
        <v>42509</v>
      </c>
      <c r="B177" s="15">
        <v>174.9577331542969</v>
      </c>
      <c r="C177" s="15">
        <v>63.277206420898438</v>
      </c>
      <c r="D177" s="15">
        <v>119.870002746582</v>
      </c>
      <c r="E177" s="15">
        <v>98.479606628417969</v>
      </c>
      <c r="F177" s="15">
        <v>89.205978393554688</v>
      </c>
      <c r="H177" s="16">
        <f t="shared" si="7"/>
        <v>6.2975723873546913E-3</v>
      </c>
      <c r="I177" s="16">
        <f t="shared" si="7"/>
        <v>0</v>
      </c>
      <c r="J177" s="16">
        <f t="shared" si="7"/>
        <v>-1.3357015166120913E-3</v>
      </c>
      <c r="K177" s="16">
        <f t="shared" si="8"/>
        <v>1.0954644327207393E-2</v>
      </c>
      <c r="L177" s="16">
        <f t="shared" si="9"/>
        <v>7.6565425256433783E-3</v>
      </c>
    </row>
    <row r="178" spans="1:12" x14ac:dyDescent="0.35">
      <c r="A178" s="18">
        <v>42510</v>
      </c>
      <c r="B178" s="15">
        <v>176.0630187988281</v>
      </c>
      <c r="C178" s="15">
        <v>63.277206420898438</v>
      </c>
      <c r="D178" s="15">
        <v>119.7099990844727</v>
      </c>
      <c r="E178" s="15">
        <v>99.564346313476563</v>
      </c>
      <c r="F178" s="15">
        <v>89.891609191894531</v>
      </c>
      <c r="H178" s="16">
        <f t="shared" si="7"/>
        <v>-1.363762307599391E-3</v>
      </c>
      <c r="I178" s="16">
        <f t="shared" si="7"/>
        <v>2.4225802925194776E-4</v>
      </c>
      <c r="J178" s="16">
        <f t="shared" si="7"/>
        <v>-2.8442074994747728E-3</v>
      </c>
      <c r="K178" s="16">
        <f t="shared" si="8"/>
        <v>-1.3154142934199207E-3</v>
      </c>
      <c r="L178" s="16">
        <f t="shared" si="9"/>
        <v>-1.2405979050625704E-3</v>
      </c>
    </row>
    <row r="179" spans="1:12" x14ac:dyDescent="0.35">
      <c r="A179" s="18">
        <v>42513</v>
      </c>
      <c r="B179" s="15">
        <v>175.82307434082031</v>
      </c>
      <c r="C179" s="15">
        <v>63.292537689208977</v>
      </c>
      <c r="D179" s="15">
        <v>119.370002746582</v>
      </c>
      <c r="E179" s="15">
        <v>99.433464050292969</v>
      </c>
      <c r="F179" s="15">
        <v>89.780158996582031</v>
      </c>
      <c r="H179" s="16">
        <f t="shared" si="7"/>
        <v>1.2879160399551675E-2</v>
      </c>
      <c r="I179" s="16">
        <f t="shared" si="7"/>
        <v>-4.8433356131587099E-4</v>
      </c>
      <c r="J179" s="16">
        <f t="shared" si="7"/>
        <v>-1.7493154439807278E-2</v>
      </c>
      <c r="K179" s="16">
        <f t="shared" si="8"/>
        <v>1.9833930587127159E-2</v>
      </c>
      <c r="L179" s="16">
        <f t="shared" si="9"/>
        <v>1.3275650871500852E-2</v>
      </c>
    </row>
    <row r="180" spans="1:12" x14ac:dyDescent="0.35">
      <c r="A180" s="18">
        <v>42514</v>
      </c>
      <c r="B180" s="15">
        <v>178.1021728515625</v>
      </c>
      <c r="C180" s="15">
        <v>63.261890411376953</v>
      </c>
      <c r="D180" s="15">
        <v>117.3000030517578</v>
      </c>
      <c r="E180" s="15">
        <v>101.42530822753911</v>
      </c>
      <c r="F180" s="15">
        <v>90.979995727539063</v>
      </c>
      <c r="H180" s="16">
        <f t="shared" si="7"/>
        <v>6.7600239483493535E-3</v>
      </c>
      <c r="I180" s="16">
        <f t="shared" si="7"/>
        <v>-3.6295176071193613E-4</v>
      </c>
      <c r="J180" s="16">
        <f t="shared" si="7"/>
        <v>-2.7317729645951225E-3</v>
      </c>
      <c r="K180" s="16">
        <f t="shared" si="8"/>
        <v>7.1656203000187114E-3</v>
      </c>
      <c r="L180" s="16">
        <f t="shared" si="9"/>
        <v>7.2266971708264127E-3</v>
      </c>
    </row>
    <row r="181" spans="1:12" x14ac:dyDescent="0.35">
      <c r="A181" s="18">
        <v>42515</v>
      </c>
      <c r="B181" s="15">
        <v>179.31022644042969</v>
      </c>
      <c r="C181" s="15">
        <v>63.238933563232422</v>
      </c>
      <c r="D181" s="15">
        <v>116.98000335693359</v>
      </c>
      <c r="E181" s="15">
        <v>102.1546936035156</v>
      </c>
      <c r="F181" s="15">
        <v>91.639862060546875</v>
      </c>
      <c r="H181" s="16">
        <f t="shared" si="7"/>
        <v>2.8665120670796868E-4</v>
      </c>
      <c r="I181" s="16">
        <f t="shared" si="7"/>
        <v>1.6926489609501345E-3</v>
      </c>
      <c r="J181" s="16">
        <f t="shared" si="7"/>
        <v>-3.4252603876990576E-3</v>
      </c>
      <c r="K181" s="16">
        <f t="shared" si="8"/>
        <v>2.9250765016795048E-3</v>
      </c>
      <c r="L181" s="16">
        <f t="shared" si="9"/>
        <v>-1.8700620030840837E-4</v>
      </c>
    </row>
    <row r="182" spans="1:12" x14ac:dyDescent="0.35">
      <c r="A182" s="18">
        <v>42516</v>
      </c>
      <c r="B182" s="15">
        <v>179.36163330078119</v>
      </c>
      <c r="C182" s="15">
        <v>63.346065521240227</v>
      </c>
      <c r="D182" s="15">
        <v>116.5800018310547</v>
      </c>
      <c r="E182" s="15">
        <v>102.4539413452148</v>
      </c>
      <c r="F182" s="15">
        <v>91.622726440429688</v>
      </c>
      <c r="H182" s="16">
        <f t="shared" si="7"/>
        <v>4.289936940695023E-3</v>
      </c>
      <c r="I182" s="16">
        <f t="shared" si="7"/>
        <v>-3.6222841095528453E-4</v>
      </c>
      <c r="J182" s="16">
        <f t="shared" si="7"/>
        <v>-8.2687729142460527E-3</v>
      </c>
      <c r="K182" s="16">
        <f t="shared" si="8"/>
        <v>5.1893429898001615E-3</v>
      </c>
      <c r="L182" s="16">
        <f t="shared" si="9"/>
        <v>4.4797683717923663E-3</v>
      </c>
    </row>
    <row r="183" spans="1:12" x14ac:dyDescent="0.35">
      <c r="A183" s="18">
        <v>42517</v>
      </c>
      <c r="B183" s="15">
        <v>180.13273620605469</v>
      </c>
      <c r="C183" s="15">
        <v>63.323123931884773</v>
      </c>
      <c r="D183" s="15">
        <v>115.620002746582</v>
      </c>
      <c r="E183" s="15">
        <v>102.9869918823242</v>
      </c>
      <c r="F183" s="15">
        <v>92.034095764160156</v>
      </c>
      <c r="H183" s="16">
        <f t="shared" si="7"/>
        <v>-1.9042820886170945E-3</v>
      </c>
      <c r="I183" s="16">
        <f t="shared" si="7"/>
        <v>8.4555739382329281E-4</v>
      </c>
      <c r="J183" s="16">
        <f t="shared" si="7"/>
        <v>3.7983023171577006E-3</v>
      </c>
      <c r="K183" s="16">
        <f t="shared" si="8"/>
        <v>1.9049590670483982E-3</v>
      </c>
      <c r="L183" s="16">
        <f t="shared" si="9"/>
        <v>-4.6566064578746811E-4</v>
      </c>
    </row>
    <row r="184" spans="1:12" x14ac:dyDescent="0.35">
      <c r="A184" s="18">
        <v>42521</v>
      </c>
      <c r="B184" s="15">
        <v>179.7900390625</v>
      </c>
      <c r="C184" s="15">
        <v>63.376689910888672</v>
      </c>
      <c r="D184" s="15">
        <v>116.05999755859381</v>
      </c>
      <c r="E184" s="15">
        <v>103.18336486816411</v>
      </c>
      <c r="F184" s="15">
        <v>91.991249084472656</v>
      </c>
      <c r="H184" s="16">
        <f t="shared" si="7"/>
        <v>2.0472599570217302E-3</v>
      </c>
      <c r="I184" s="16">
        <f t="shared" si="7"/>
        <v>3.5169351560775954E-4</v>
      </c>
      <c r="J184" s="16">
        <f t="shared" si="7"/>
        <v>-1.0344407576538968E-3</v>
      </c>
      <c r="K184" s="16">
        <f t="shared" si="8"/>
        <v>9.0498660991527815E-5</v>
      </c>
      <c r="L184" s="16">
        <f t="shared" si="9"/>
        <v>2.6981656852325779E-3</v>
      </c>
    </row>
    <row r="185" spans="1:12" x14ac:dyDescent="0.35">
      <c r="A185" s="18">
        <v>42522</v>
      </c>
      <c r="B185" s="15">
        <v>180.15849304199219</v>
      </c>
      <c r="C185" s="15">
        <v>63.398983001708977</v>
      </c>
      <c r="D185" s="15">
        <v>115.94000244140619</v>
      </c>
      <c r="E185" s="15">
        <v>103.1927032470703</v>
      </c>
      <c r="F185" s="15">
        <v>92.239791870117188</v>
      </c>
      <c r="H185" s="16">
        <f t="shared" si="7"/>
        <v>3.0387766264047523E-3</v>
      </c>
      <c r="I185" s="16">
        <f t="shared" si="7"/>
        <v>1.9334276895606151E-3</v>
      </c>
      <c r="J185" s="16">
        <f t="shared" si="7"/>
        <v>-2.3315434917613362E-3</v>
      </c>
      <c r="K185" s="16">
        <f t="shared" si="8"/>
        <v>2.0821631523509558E-3</v>
      </c>
      <c r="L185" s="16">
        <f t="shared" si="9"/>
        <v>3.3391516090026121E-3</v>
      </c>
    </row>
    <row r="186" spans="1:12" x14ac:dyDescent="0.35">
      <c r="A186" s="18">
        <v>42523</v>
      </c>
      <c r="B186" s="15">
        <v>180.706787109375</v>
      </c>
      <c r="C186" s="15">
        <v>63.521678924560547</v>
      </c>
      <c r="D186" s="15">
        <v>115.6699981689453</v>
      </c>
      <c r="E186" s="15">
        <v>103.4077911376953</v>
      </c>
      <c r="F186" s="15">
        <v>92.548309326171875</v>
      </c>
      <c r="H186" s="16">
        <f t="shared" si="7"/>
        <v>-2.9914324183776728E-3</v>
      </c>
      <c r="I186" s="16">
        <f t="shared" si="7"/>
        <v>6.2584249894724756E-3</v>
      </c>
      <c r="J186" s="16">
        <f t="shared" si="7"/>
        <v>2.7373264388307679E-2</v>
      </c>
      <c r="K186" s="16">
        <f t="shared" si="8"/>
        <v>-4.7137357282734244E-3</v>
      </c>
      <c r="L186" s="16">
        <f t="shared" si="9"/>
        <v>-2.7820719093370107E-3</v>
      </c>
    </row>
    <row r="187" spans="1:12" x14ac:dyDescent="0.35">
      <c r="A187" s="18">
        <v>42524</v>
      </c>
      <c r="B187" s="15">
        <v>180.1670227050781</v>
      </c>
      <c r="C187" s="15">
        <v>63.92047119140625</v>
      </c>
      <c r="D187" s="15">
        <v>118.879997253418</v>
      </c>
      <c r="E187" s="15">
        <v>102.921501159668</v>
      </c>
      <c r="F187" s="15">
        <v>92.291191101074219</v>
      </c>
      <c r="H187" s="16">
        <f t="shared" si="7"/>
        <v>5.0759270423239612E-3</v>
      </c>
      <c r="I187" s="16">
        <f t="shared" si="7"/>
        <v>-1.5606242868211359E-3</v>
      </c>
      <c r="J187" s="16">
        <f t="shared" si="7"/>
        <v>3.3642486690156062E-4</v>
      </c>
      <c r="K187" s="16">
        <f t="shared" si="8"/>
        <v>3.6278471592206081E-3</v>
      </c>
      <c r="L187" s="16">
        <f t="shared" si="9"/>
        <v>5.1867476467777089E-3</v>
      </c>
    </row>
    <row r="188" spans="1:12" x14ac:dyDescent="0.35">
      <c r="A188" s="18">
        <v>42527</v>
      </c>
      <c r="B188" s="15">
        <v>181.0838623046875</v>
      </c>
      <c r="C188" s="15">
        <v>63.820793151855469</v>
      </c>
      <c r="D188" s="15">
        <v>118.9199981689453</v>
      </c>
      <c r="E188" s="15">
        <v>103.2955627441406</v>
      </c>
      <c r="F188" s="15">
        <v>92.771125793457031</v>
      </c>
      <c r="H188" s="16">
        <f t="shared" si="7"/>
        <v>1.5595989731160456E-3</v>
      </c>
      <c r="I188" s="16">
        <f t="shared" si="7"/>
        <v>1.204333534187344E-4</v>
      </c>
      <c r="J188" s="16">
        <f t="shared" si="7"/>
        <v>-8.4124237332336275E-4</v>
      </c>
      <c r="K188" s="16">
        <f t="shared" si="8"/>
        <v>-2.5380141477027232E-3</v>
      </c>
      <c r="L188" s="16">
        <f t="shared" si="9"/>
        <v>1.9382181261121849E-3</v>
      </c>
    </row>
    <row r="189" spans="1:12" x14ac:dyDescent="0.35">
      <c r="A189" s="18">
        <v>42528</v>
      </c>
      <c r="B189" s="15">
        <v>181.36650085449219</v>
      </c>
      <c r="C189" s="15">
        <v>63.828479766845703</v>
      </c>
      <c r="D189" s="15">
        <v>118.8199996948242</v>
      </c>
      <c r="E189" s="15">
        <v>103.0337295532227</v>
      </c>
      <c r="F189" s="15">
        <v>92.95111083984375</v>
      </c>
      <c r="H189" s="16">
        <f t="shared" si="7"/>
        <v>3.2544902450088484E-3</v>
      </c>
      <c r="I189" s="16">
        <f t="shared" si="7"/>
        <v>1.2004921314650587E-3</v>
      </c>
      <c r="J189" s="16">
        <f t="shared" si="7"/>
        <v>1.4703707887444472E-2</v>
      </c>
      <c r="K189" s="16">
        <f t="shared" si="8"/>
        <v>1.7229340803177489E-3</v>
      </c>
      <c r="L189" s="16">
        <f t="shared" si="9"/>
        <v>3.497364812178049E-3</v>
      </c>
    </row>
    <row r="190" spans="1:12" x14ac:dyDescent="0.35">
      <c r="A190" s="18">
        <v>42529</v>
      </c>
      <c r="B190" s="15">
        <v>181.95771789550781</v>
      </c>
      <c r="C190" s="15">
        <v>63.9051513671875</v>
      </c>
      <c r="D190" s="15">
        <v>120.5800018310547</v>
      </c>
      <c r="E190" s="15">
        <v>103.21140289306641</v>
      </c>
      <c r="F190" s="15">
        <v>93.276763916015625</v>
      </c>
      <c r="H190" s="16">
        <f t="shared" si="7"/>
        <v>-1.3663249483911726E-3</v>
      </c>
      <c r="I190" s="16">
        <f t="shared" si="7"/>
        <v>9.6023974349510684E-4</v>
      </c>
      <c r="J190" s="16">
        <f t="shared" si="7"/>
        <v>5.5410815709401326E-3</v>
      </c>
      <c r="K190" s="16">
        <f t="shared" si="8"/>
        <v>-1.632007831291507E-3</v>
      </c>
      <c r="L190" s="16">
        <f t="shared" si="9"/>
        <v>-2.0233982665935958E-3</v>
      </c>
    </row>
    <row r="191" spans="1:12" x14ac:dyDescent="0.35">
      <c r="A191" s="18">
        <v>42530</v>
      </c>
      <c r="B191" s="15">
        <v>181.70927429199219</v>
      </c>
      <c r="C191" s="15">
        <v>63.966545104980469</v>
      </c>
      <c r="D191" s="15">
        <v>121.25</v>
      </c>
      <c r="E191" s="15">
        <v>103.043098449707</v>
      </c>
      <c r="F191" s="15">
        <v>93.088218688964844</v>
      </c>
      <c r="H191" s="16">
        <f t="shared" si="7"/>
        <v>-9.5226295414164875E-3</v>
      </c>
      <c r="I191" s="16">
        <f t="shared" si="7"/>
        <v>9.5836530897798358E-4</v>
      </c>
      <c r="J191" s="16">
        <f t="shared" si="7"/>
        <v>4.0330757007032512E-3</v>
      </c>
      <c r="K191" s="16">
        <f t="shared" si="8"/>
        <v>-1.1408773937762193E-2</v>
      </c>
      <c r="L191" s="16">
        <f t="shared" si="9"/>
        <v>-1.0364511585841755E-2</v>
      </c>
    </row>
    <row r="192" spans="1:12" x14ac:dyDescent="0.35">
      <c r="A192" s="18">
        <v>42531</v>
      </c>
      <c r="B192" s="15">
        <v>179.98713684082031</v>
      </c>
      <c r="C192" s="15">
        <v>64.027877807617188</v>
      </c>
      <c r="D192" s="15">
        <v>121.7399978637695</v>
      </c>
      <c r="E192" s="15">
        <v>101.8741836547852</v>
      </c>
      <c r="F192" s="15">
        <v>92.128387451171875</v>
      </c>
      <c r="H192" s="16">
        <f t="shared" si="7"/>
        <v>-7.7416389985735072E-3</v>
      </c>
      <c r="I192" s="16">
        <f t="shared" si="7"/>
        <v>2.3959679703044716E-4</v>
      </c>
      <c r="J192" s="16">
        <f t="shared" si="7"/>
        <v>7.3656240684884609E-3</v>
      </c>
      <c r="K192" s="16">
        <f t="shared" si="8"/>
        <v>-8.3885816666015751E-3</v>
      </c>
      <c r="L192" s="16">
        <f t="shared" si="9"/>
        <v>-8.3138230691876605E-3</v>
      </c>
    </row>
    <row r="193" spans="1:12" x14ac:dyDescent="0.35">
      <c r="A193" s="18">
        <v>42534</v>
      </c>
      <c r="B193" s="15">
        <v>178.59912109375</v>
      </c>
      <c r="C193" s="15">
        <v>64.043220520019531</v>
      </c>
      <c r="D193" s="15">
        <v>122.63999938964839</v>
      </c>
      <c r="E193" s="15">
        <v>101.02317810058589</v>
      </c>
      <c r="F193" s="15">
        <v>91.365623474121094</v>
      </c>
      <c r="H193" s="16">
        <f t="shared" si="7"/>
        <v>-1.9691006044756385E-3</v>
      </c>
      <c r="I193" s="16">
        <f t="shared" si="7"/>
        <v>-1.1985079424430795E-4</v>
      </c>
      <c r="J193" s="16">
        <f t="shared" si="7"/>
        <v>1.0594292626910449E-3</v>
      </c>
      <c r="K193" s="16">
        <f t="shared" si="8"/>
        <v>0</v>
      </c>
      <c r="L193" s="16">
        <f t="shared" si="9"/>
        <v>-1.8010484946956976E-3</v>
      </c>
    </row>
    <row r="194" spans="1:12" x14ac:dyDescent="0.35">
      <c r="A194" s="18">
        <v>42535</v>
      </c>
      <c r="B194" s="15">
        <v>178.24778747558591</v>
      </c>
      <c r="C194" s="15">
        <v>64.035545349121094</v>
      </c>
      <c r="D194" s="15">
        <v>122.76999664306641</v>
      </c>
      <c r="E194" s="15">
        <v>101.02317810058589</v>
      </c>
      <c r="F194" s="15">
        <v>91.201217651367188</v>
      </c>
      <c r="H194" s="16">
        <f t="shared" si="7"/>
        <v>-1.3947825648615421E-3</v>
      </c>
      <c r="I194" s="16">
        <f t="shared" si="7"/>
        <v>2.2729293472550905E-3</v>
      </c>
      <c r="J194" s="16">
        <f t="shared" si="7"/>
        <v>7.3849284570991006E-3</v>
      </c>
      <c r="K194" s="16">
        <f t="shared" si="8"/>
        <v>-2.8738567403151474E-3</v>
      </c>
      <c r="L194" s="16">
        <f t="shared" si="9"/>
        <v>-1.0390268733991999E-3</v>
      </c>
    </row>
    <row r="195" spans="1:12" x14ac:dyDescent="0.35">
      <c r="A195" s="18">
        <v>42536</v>
      </c>
      <c r="B195" s="15">
        <v>177.99934387207031</v>
      </c>
      <c r="C195" s="15">
        <v>64.181259155273438</v>
      </c>
      <c r="D195" s="15">
        <v>123.6800003051758</v>
      </c>
      <c r="E195" s="15">
        <v>100.733268737793</v>
      </c>
      <c r="F195" s="15">
        <v>91.10650634765625</v>
      </c>
      <c r="H195" s="16">
        <f t="shared" si="7"/>
        <v>2.9796892574347322E-3</v>
      </c>
      <c r="I195" s="16">
        <f t="shared" si="7"/>
        <v>1.0758126942363106E-3</v>
      </c>
      <c r="J195" s="16">
        <f t="shared" si="7"/>
        <v>-1.0566651715243007E-2</v>
      </c>
      <c r="K195" s="16">
        <f t="shared" si="8"/>
        <v>2.9664414805280885E-3</v>
      </c>
      <c r="L195" s="16">
        <f t="shared" si="9"/>
        <v>2.9250788217244222E-3</v>
      </c>
    </row>
    <row r="196" spans="1:12" x14ac:dyDescent="0.35">
      <c r="A196" s="18">
        <v>42537</v>
      </c>
      <c r="B196" s="15">
        <v>178.530517578125</v>
      </c>
      <c r="C196" s="15">
        <v>64.250343322753906</v>
      </c>
      <c r="D196" s="15">
        <v>122.379997253418</v>
      </c>
      <c r="E196" s="15">
        <v>101.03253173828119</v>
      </c>
      <c r="F196" s="15">
        <v>91.373390197753906</v>
      </c>
      <c r="H196" s="16">
        <f t="shared" ref="H196:J259" si="10">LN(B197/B196)</f>
        <v>-3.7306549164328206E-3</v>
      </c>
      <c r="I196" s="16">
        <f t="shared" si="10"/>
        <v>-1.4340400587785043E-3</v>
      </c>
      <c r="J196" s="16">
        <f t="shared" si="10"/>
        <v>1.2747298268989869E-2</v>
      </c>
      <c r="K196" s="16">
        <f t="shared" ref="K196:K259" si="11">LN(E197/E196)</f>
        <v>-1.1790632481616516E-2</v>
      </c>
      <c r="L196" s="16">
        <f t="shared" ref="L196:L259" si="12">LN(F197/F196)</f>
        <v>-3.3028242755352151E-3</v>
      </c>
    </row>
    <row r="197" spans="1:12" x14ac:dyDescent="0.35">
      <c r="A197" s="18">
        <v>42538</v>
      </c>
      <c r="B197" s="15">
        <v>177.86572265625</v>
      </c>
      <c r="C197" s="15">
        <v>64.158271789550781</v>
      </c>
      <c r="D197" s="15">
        <v>123.9499969482422</v>
      </c>
      <c r="E197" s="15">
        <v>99.848289489746094</v>
      </c>
      <c r="F197" s="15">
        <v>91.072097778320313</v>
      </c>
      <c r="H197" s="16">
        <f t="shared" si="10"/>
        <v>6.4189634927323243E-3</v>
      </c>
      <c r="I197" s="16">
        <f t="shared" si="10"/>
        <v>-2.2737446451395592E-3</v>
      </c>
      <c r="J197" s="16">
        <f t="shared" si="10"/>
        <v>-5.9880246543695687E-3</v>
      </c>
      <c r="K197" s="16">
        <f t="shared" si="11"/>
        <v>6.2718790411492769E-3</v>
      </c>
      <c r="L197" s="16">
        <f t="shared" si="12"/>
        <v>6.782508098098188E-3</v>
      </c>
    </row>
    <row r="198" spans="1:12" x14ac:dyDescent="0.35">
      <c r="A198" s="18">
        <v>42541</v>
      </c>
      <c r="B198" s="15">
        <v>179.0111083984375</v>
      </c>
      <c r="C198" s="15">
        <v>64.012557983398438</v>
      </c>
      <c r="D198" s="15">
        <v>123.2099990844727</v>
      </c>
      <c r="E198" s="15">
        <v>100.4764938354492</v>
      </c>
      <c r="F198" s="15">
        <v>91.69189453125</v>
      </c>
      <c r="H198" s="16">
        <f t="shared" si="10"/>
        <v>2.8347042282798945E-3</v>
      </c>
      <c r="I198" s="16">
        <f t="shared" si="10"/>
        <v>-1.3191850159489185E-3</v>
      </c>
      <c r="J198" s="16">
        <f t="shared" si="10"/>
        <v>-1.9422882992921456E-2</v>
      </c>
      <c r="K198" s="16">
        <f t="shared" si="11"/>
        <v>3.1680284838866584E-3</v>
      </c>
      <c r="L198" s="16">
        <f t="shared" si="12"/>
        <v>2.1564750896486853E-3</v>
      </c>
    </row>
    <row r="199" spans="1:12" x14ac:dyDescent="0.35">
      <c r="A199" s="18">
        <v>42542</v>
      </c>
      <c r="B199" s="15">
        <v>179.51927185058591</v>
      </c>
      <c r="C199" s="15">
        <v>63.928169250488281</v>
      </c>
      <c r="D199" s="15">
        <v>120.8399963378906</v>
      </c>
      <c r="E199" s="15">
        <v>100.79531097412109</v>
      </c>
      <c r="F199" s="15">
        <v>91.889839172363281</v>
      </c>
      <c r="H199" s="16">
        <f t="shared" si="10"/>
        <v>-1.6324444009104956E-3</v>
      </c>
      <c r="I199" s="16">
        <f t="shared" si="10"/>
        <v>3.5987443443576209E-4</v>
      </c>
      <c r="J199" s="16">
        <f t="shared" si="10"/>
        <v>4.9644402871638893E-4</v>
      </c>
      <c r="K199" s="16">
        <f t="shared" si="11"/>
        <v>-2.421666413859267E-3</v>
      </c>
      <c r="L199" s="16">
        <f t="shared" si="12"/>
        <v>-2.2505864754108935E-3</v>
      </c>
    </row>
    <row r="200" spans="1:12" x14ac:dyDescent="0.35">
      <c r="A200" s="18">
        <v>42543</v>
      </c>
      <c r="B200" s="15">
        <v>179.22645568847659</v>
      </c>
      <c r="C200" s="15">
        <v>63.951179504394531</v>
      </c>
      <c r="D200" s="15">
        <v>120.90000152587891</v>
      </c>
      <c r="E200" s="15">
        <v>100.551513671875</v>
      </c>
      <c r="F200" s="15">
        <v>91.683265686035156</v>
      </c>
      <c r="H200" s="16">
        <f t="shared" si="10"/>
        <v>1.2938479541801513E-2</v>
      </c>
      <c r="I200" s="16">
        <f t="shared" si="10"/>
        <v>-1.8005491528727117E-3</v>
      </c>
      <c r="J200" s="16">
        <f t="shared" si="10"/>
        <v>-6.5557755937427856E-3</v>
      </c>
      <c r="K200" s="16">
        <f t="shared" si="11"/>
        <v>1.4166352039751405E-2</v>
      </c>
      <c r="L200" s="16">
        <f t="shared" si="12"/>
        <v>1.3707198059189126E-2</v>
      </c>
    </row>
    <row r="201" spans="1:12" x14ac:dyDescent="0.35">
      <c r="A201" s="18">
        <v>42544</v>
      </c>
      <c r="B201" s="15">
        <v>181.56044006347659</v>
      </c>
      <c r="C201" s="15">
        <v>63.836135864257813</v>
      </c>
      <c r="D201" s="15">
        <v>120.11000061035161</v>
      </c>
      <c r="E201" s="15">
        <v>101.98609924316411</v>
      </c>
      <c r="F201" s="15">
        <v>92.948638916015625</v>
      </c>
      <c r="H201" s="16">
        <f t="shared" si="10"/>
        <v>-3.6569674677608278E-2</v>
      </c>
      <c r="I201" s="16">
        <f t="shared" si="10"/>
        <v>5.6313313941940826E-3</v>
      </c>
      <c r="J201" s="16">
        <f t="shared" si="10"/>
        <v>4.7873912303473772E-2</v>
      </c>
      <c r="K201" s="16">
        <f t="shared" si="11"/>
        <v>-4.2060144124545278E-2</v>
      </c>
      <c r="L201" s="16">
        <f t="shared" si="12"/>
        <v>-3.7074588166702567E-2</v>
      </c>
    </row>
    <row r="202" spans="1:12" x14ac:dyDescent="0.35">
      <c r="A202" s="18">
        <v>42545</v>
      </c>
      <c r="B202" s="15">
        <v>175.040771484375</v>
      </c>
      <c r="C202" s="15">
        <v>64.196632385253906</v>
      </c>
      <c r="D202" s="15">
        <v>126</v>
      </c>
      <c r="E202" s="15">
        <v>97.785507202148438</v>
      </c>
      <c r="F202" s="15">
        <v>89.565704345703125</v>
      </c>
      <c r="H202" s="16">
        <f t="shared" si="10"/>
        <v>-1.8071964444587828E-2</v>
      </c>
      <c r="I202" s="16">
        <f t="shared" si="10"/>
        <v>5.0052905211348626E-3</v>
      </c>
      <c r="J202" s="16">
        <f t="shared" si="10"/>
        <v>5.3823171279899626E-3</v>
      </c>
      <c r="K202" s="16">
        <f t="shared" si="11"/>
        <v>-2.004812159510121E-2</v>
      </c>
      <c r="L202" s="16">
        <f t="shared" si="12"/>
        <v>-2.0094921267103209E-2</v>
      </c>
    </row>
    <row r="203" spans="1:12" x14ac:dyDescent="0.35">
      <c r="A203" s="18">
        <v>42548</v>
      </c>
      <c r="B203" s="15">
        <v>171.9058532714844</v>
      </c>
      <c r="C203" s="15">
        <v>64.518760681152344</v>
      </c>
      <c r="D203" s="15">
        <v>126.6800003051758</v>
      </c>
      <c r="E203" s="15">
        <v>95.844612121582031</v>
      </c>
      <c r="F203" s="15">
        <v>87.783851623535156</v>
      </c>
      <c r="H203" s="16">
        <f t="shared" si="10"/>
        <v>1.7875196143160455E-2</v>
      </c>
      <c r="I203" s="16">
        <f t="shared" si="10"/>
        <v>1.1878329545886364E-3</v>
      </c>
      <c r="J203" s="16">
        <f t="shared" si="10"/>
        <v>-1.0793760430649385E-2</v>
      </c>
      <c r="K203" s="16">
        <f t="shared" si="11"/>
        <v>2.1676980330080677E-2</v>
      </c>
      <c r="L203" s="16">
        <f t="shared" si="12"/>
        <v>1.8171278958644656E-2</v>
      </c>
    </row>
    <row r="204" spans="1:12" x14ac:dyDescent="0.35">
      <c r="A204" s="18">
        <v>42549</v>
      </c>
      <c r="B204" s="15">
        <v>175.00633239746091</v>
      </c>
      <c r="C204" s="15">
        <v>64.595443725585938</v>
      </c>
      <c r="D204" s="15">
        <v>125.3199996948242</v>
      </c>
      <c r="E204" s="15">
        <v>97.944915771484375</v>
      </c>
      <c r="F204" s="15">
        <v>89.393577575683594</v>
      </c>
      <c r="H204" s="16">
        <f t="shared" si="10"/>
        <v>1.6884237737930786E-2</v>
      </c>
      <c r="I204" s="16">
        <f t="shared" si="10"/>
        <v>-3.5593000970257036E-4</v>
      </c>
      <c r="J204" s="16">
        <f t="shared" si="10"/>
        <v>4.1407659998888065E-3</v>
      </c>
      <c r="K204" s="16">
        <f t="shared" si="11"/>
        <v>1.7555305619487736E-2</v>
      </c>
      <c r="L204" s="16">
        <f t="shared" si="12"/>
        <v>1.7751641365942383E-2</v>
      </c>
    </row>
    <row r="205" spans="1:12" x14ac:dyDescent="0.35">
      <c r="A205" s="18">
        <v>42550</v>
      </c>
      <c r="B205" s="15">
        <v>177.98626708984381</v>
      </c>
      <c r="C205" s="15">
        <v>64.572456359863281</v>
      </c>
      <c r="D205" s="15">
        <v>125.8399963378906</v>
      </c>
      <c r="E205" s="15">
        <v>99.679550170898438</v>
      </c>
      <c r="F205" s="15">
        <v>90.99462890625</v>
      </c>
      <c r="H205" s="16">
        <f t="shared" si="10"/>
        <v>1.3553319382039743E-2</v>
      </c>
      <c r="I205" s="16">
        <f t="shared" si="10"/>
        <v>1.3054411324316389E-3</v>
      </c>
      <c r="J205" s="16">
        <f t="shared" si="10"/>
        <v>4.9939058952932335E-3</v>
      </c>
      <c r="K205" s="16">
        <f t="shared" si="11"/>
        <v>1.1503402265071168E-2</v>
      </c>
      <c r="L205" s="16">
        <f t="shared" si="12"/>
        <v>1.3623643326464306E-2</v>
      </c>
    </row>
    <row r="206" spans="1:12" x14ac:dyDescent="0.35">
      <c r="A206" s="18">
        <v>42551</v>
      </c>
      <c r="B206" s="15">
        <v>180.41499328613281</v>
      </c>
      <c r="C206" s="15">
        <v>64.656806945800781</v>
      </c>
      <c r="D206" s="15">
        <v>126.4700012207031</v>
      </c>
      <c r="E206" s="15">
        <v>100.83282470703119</v>
      </c>
      <c r="F206" s="15">
        <v>92.242790222167969</v>
      </c>
      <c r="H206" s="16">
        <f t="shared" si="10"/>
        <v>2.0982435643447845E-3</v>
      </c>
      <c r="I206" s="16">
        <f t="shared" si="10"/>
        <v>2.7777129545855099E-3</v>
      </c>
      <c r="J206" s="16">
        <f t="shared" si="10"/>
        <v>1.52231628180616E-2</v>
      </c>
      <c r="K206" s="16">
        <f t="shared" si="11"/>
        <v>5.0089379503281918E-3</v>
      </c>
      <c r="L206" s="16">
        <f t="shared" si="12"/>
        <v>1.9577287203743168E-3</v>
      </c>
    </row>
    <row r="207" spans="1:12" x14ac:dyDescent="0.35">
      <c r="A207" s="18">
        <v>42552</v>
      </c>
      <c r="B207" s="15">
        <v>180.7939453125</v>
      </c>
      <c r="C207" s="15">
        <v>64.836654663085938</v>
      </c>
      <c r="D207" s="15">
        <v>128.4100036621094</v>
      </c>
      <c r="E207" s="15">
        <v>101.3391571044922</v>
      </c>
      <c r="F207" s="15">
        <v>92.423553466796875</v>
      </c>
      <c r="H207" s="16">
        <f t="shared" si="10"/>
        <v>-7.2192198989779527E-3</v>
      </c>
      <c r="I207" s="16">
        <f t="shared" si="10"/>
        <v>3.4311593171147455E-3</v>
      </c>
      <c r="J207" s="16">
        <f t="shared" si="10"/>
        <v>8.2209051369565214E-3</v>
      </c>
      <c r="K207" s="16">
        <f t="shared" si="11"/>
        <v>-6.1256022158029302E-3</v>
      </c>
      <c r="L207" s="16">
        <f t="shared" si="12"/>
        <v>-7.4790256787371388E-3</v>
      </c>
    </row>
    <row r="208" spans="1:12" x14ac:dyDescent="0.35">
      <c r="A208" s="18">
        <v>42556</v>
      </c>
      <c r="B208" s="15">
        <v>179.49345397949219</v>
      </c>
      <c r="C208" s="15">
        <v>65.059501647949219</v>
      </c>
      <c r="D208" s="15">
        <v>129.4700012207031</v>
      </c>
      <c r="E208" s="15">
        <v>100.7202911376953</v>
      </c>
      <c r="F208" s="15">
        <v>91.734893798828125</v>
      </c>
      <c r="H208" s="16">
        <f t="shared" si="10"/>
        <v>5.9800691172393781E-3</v>
      </c>
      <c r="I208" s="16">
        <f t="shared" si="10"/>
        <v>1.7702337015576997E-3</v>
      </c>
      <c r="J208" s="16">
        <f t="shared" si="10"/>
        <v>5.8528816735519242E-3</v>
      </c>
      <c r="K208" s="16">
        <f t="shared" si="11"/>
        <v>8.1586585719506475E-3</v>
      </c>
      <c r="L208" s="16">
        <f t="shared" si="12"/>
        <v>6.0812517863272925E-3</v>
      </c>
    </row>
    <row r="209" spans="1:12" x14ac:dyDescent="0.35">
      <c r="A209" s="18">
        <v>42557</v>
      </c>
      <c r="B209" s="15">
        <v>180.57005310058591</v>
      </c>
      <c r="C209" s="15">
        <v>65.174774169921875</v>
      </c>
      <c r="D209" s="15">
        <v>130.22999572753909</v>
      </c>
      <c r="E209" s="15">
        <v>101.54539489746089</v>
      </c>
      <c r="F209" s="15">
        <v>92.294456481933594</v>
      </c>
      <c r="H209" s="16">
        <f t="shared" si="10"/>
        <v>-6.2061673474571809E-4</v>
      </c>
      <c r="I209" s="16">
        <f t="shared" si="10"/>
        <v>-1.6522690997132091E-3</v>
      </c>
      <c r="J209" s="16">
        <f t="shared" si="10"/>
        <v>-3.7695950478742334E-3</v>
      </c>
      <c r="K209" s="16">
        <f t="shared" si="11"/>
        <v>2.9503178364383006E-3</v>
      </c>
      <c r="L209" s="16">
        <f t="shared" si="12"/>
        <v>-4.6674508335171314E-4</v>
      </c>
    </row>
    <row r="210" spans="1:12" x14ac:dyDescent="0.35">
      <c r="A210" s="18">
        <v>42558</v>
      </c>
      <c r="B210" s="15">
        <v>180.45802307128909</v>
      </c>
      <c r="C210" s="15">
        <v>65.067176818847656</v>
      </c>
      <c r="D210" s="15">
        <v>129.74000549316409</v>
      </c>
      <c r="E210" s="15">
        <v>101.8454284667969</v>
      </c>
      <c r="F210" s="15">
        <v>92.251388549804688</v>
      </c>
      <c r="H210" s="16">
        <f t="shared" si="10"/>
        <v>1.4780687110671332E-2</v>
      </c>
      <c r="I210" s="16">
        <f t="shared" si="10"/>
        <v>2.595449212126291E-3</v>
      </c>
      <c r="J210" s="16">
        <f t="shared" si="10"/>
        <v>5.9940143345702974E-3</v>
      </c>
      <c r="K210" s="16">
        <f t="shared" si="11"/>
        <v>1.5348658153444824E-2</v>
      </c>
      <c r="L210" s="16">
        <f t="shared" si="12"/>
        <v>1.5462506293705377E-2</v>
      </c>
    </row>
    <row r="211" spans="1:12" x14ac:dyDescent="0.35">
      <c r="A211" s="18">
        <v>42559</v>
      </c>
      <c r="B211" s="15">
        <v>183.14512634277341</v>
      </c>
      <c r="C211" s="15">
        <v>65.236274719238281</v>
      </c>
      <c r="D211" s="15">
        <v>130.52000427246091</v>
      </c>
      <c r="E211" s="15">
        <v>103.42067718505859</v>
      </c>
      <c r="F211" s="15">
        <v>93.688911437988281</v>
      </c>
      <c r="H211" s="16">
        <f t="shared" si="10"/>
        <v>3.5206978618201133E-3</v>
      </c>
      <c r="I211" s="16">
        <f t="shared" si="10"/>
        <v>-2.9493847728109665E-3</v>
      </c>
      <c r="J211" s="16">
        <f t="shared" si="10"/>
        <v>-9.4686131215491551E-3</v>
      </c>
      <c r="K211" s="16">
        <f t="shared" si="11"/>
        <v>5.6955774640111232E-3</v>
      </c>
      <c r="L211" s="16">
        <f t="shared" si="12"/>
        <v>4.1263307528001036E-3</v>
      </c>
    </row>
    <row r="212" spans="1:12" x14ac:dyDescent="0.35">
      <c r="A212" s="18">
        <v>42562</v>
      </c>
      <c r="B212" s="15">
        <v>183.79106140136719</v>
      </c>
      <c r="C212" s="15">
        <v>65.044151306152344</v>
      </c>
      <c r="D212" s="15">
        <v>129.28999328613281</v>
      </c>
      <c r="E212" s="15">
        <v>104.0113983154297</v>
      </c>
      <c r="F212" s="15">
        <v>94.076301574707031</v>
      </c>
      <c r="H212" s="16">
        <f t="shared" si="10"/>
        <v>7.2372184598667039E-3</v>
      </c>
      <c r="I212" s="16">
        <f t="shared" si="10"/>
        <v>-4.0254665656354717E-3</v>
      </c>
      <c r="J212" s="16">
        <f t="shared" si="10"/>
        <v>-1.6690387468968386E-2</v>
      </c>
      <c r="K212" s="16">
        <f t="shared" si="11"/>
        <v>5.0353531536671964E-3</v>
      </c>
      <c r="L212" s="16">
        <f t="shared" si="12"/>
        <v>8.2916118811616861E-3</v>
      </c>
    </row>
    <row r="213" spans="1:12" x14ac:dyDescent="0.35">
      <c r="A213" s="18">
        <v>42563</v>
      </c>
      <c r="B213" s="15">
        <v>185.12602233886719</v>
      </c>
      <c r="C213" s="15">
        <v>64.782844543457031</v>
      </c>
      <c r="D213" s="15">
        <v>127.15000152587891</v>
      </c>
      <c r="E213" s="15">
        <v>104.5364532470703</v>
      </c>
      <c r="F213" s="15">
        <v>94.859588623046875</v>
      </c>
      <c r="H213" s="16">
        <f t="shared" si="10"/>
        <v>-1.3955321972862573E-4</v>
      </c>
      <c r="I213" s="16">
        <f t="shared" si="10"/>
        <v>1.7775517032476125E-3</v>
      </c>
      <c r="J213" s="16">
        <f t="shared" si="10"/>
        <v>9.1596973272185193E-3</v>
      </c>
      <c r="K213" s="16">
        <f t="shared" si="11"/>
        <v>-2.4244428979061307E-3</v>
      </c>
      <c r="L213" s="16">
        <f t="shared" si="12"/>
        <v>-5.4448687481004814E-4</v>
      </c>
    </row>
    <row r="214" spans="1:12" x14ac:dyDescent="0.35">
      <c r="A214" s="18">
        <v>42564</v>
      </c>
      <c r="B214" s="15">
        <v>185.1001892089844</v>
      </c>
      <c r="C214" s="15">
        <v>64.898101806640625</v>
      </c>
      <c r="D214" s="15">
        <v>128.32000732421881</v>
      </c>
      <c r="E214" s="15">
        <v>104.283317565918</v>
      </c>
      <c r="F214" s="15">
        <v>94.807952880859375</v>
      </c>
      <c r="H214" s="16">
        <f t="shared" si="10"/>
        <v>5.5678135805936448E-3</v>
      </c>
      <c r="I214" s="16">
        <f t="shared" si="10"/>
        <v>-1.5405113086530927E-3</v>
      </c>
      <c r="J214" s="16">
        <f t="shared" si="10"/>
        <v>-7.7450452302365103E-3</v>
      </c>
      <c r="K214" s="16">
        <f t="shared" si="11"/>
        <v>6.8097825869192852E-3</v>
      </c>
      <c r="L214" s="16">
        <f t="shared" si="12"/>
        <v>4.800609384823698E-3</v>
      </c>
    </row>
    <row r="215" spans="1:12" x14ac:dyDescent="0.35">
      <c r="A215" s="18">
        <v>42565</v>
      </c>
      <c r="B215" s="15">
        <v>186.1336669921875</v>
      </c>
      <c r="C215" s="15">
        <v>64.798202514648438</v>
      </c>
      <c r="D215" s="15">
        <v>127.3300018310547</v>
      </c>
      <c r="E215" s="15">
        <v>104.9958877563477</v>
      </c>
      <c r="F215" s="15">
        <v>95.264183044433594</v>
      </c>
      <c r="H215" s="16">
        <f t="shared" si="10"/>
        <v>-1.3426281043892455E-3</v>
      </c>
      <c r="I215" s="16">
        <f t="shared" si="10"/>
        <v>-3.206626806754822E-3</v>
      </c>
      <c r="J215" s="16">
        <f t="shared" si="10"/>
        <v>-3.8557351674662222E-3</v>
      </c>
      <c r="K215" s="16">
        <f t="shared" si="11"/>
        <v>-1.6086879727810601E-3</v>
      </c>
      <c r="L215" s="16">
        <f t="shared" si="12"/>
        <v>-1.0851226927962652E-3</v>
      </c>
    </row>
    <row r="216" spans="1:12" x14ac:dyDescent="0.35">
      <c r="A216" s="18">
        <v>42566</v>
      </c>
      <c r="B216" s="15">
        <v>185.88392639160159</v>
      </c>
      <c r="C216" s="15">
        <v>64.590751647949219</v>
      </c>
      <c r="D216" s="15">
        <v>126.8399963378906</v>
      </c>
      <c r="E216" s="15">
        <v>104.8271179199219</v>
      </c>
      <c r="F216" s="15">
        <v>95.160865783691406</v>
      </c>
      <c r="H216" s="16">
        <f t="shared" si="10"/>
        <v>2.6836197108002068E-3</v>
      </c>
      <c r="I216" s="16">
        <f t="shared" si="10"/>
        <v>3.5641959537166681E-4</v>
      </c>
      <c r="J216" s="16">
        <f t="shared" si="10"/>
        <v>1.5755839071671933E-3</v>
      </c>
      <c r="K216" s="16">
        <f t="shared" si="11"/>
        <v>6.5972341228696637E-3</v>
      </c>
      <c r="L216" s="16">
        <f t="shared" si="12"/>
        <v>2.8003094418522674E-3</v>
      </c>
    </row>
    <row r="217" spans="1:12" x14ac:dyDescent="0.35">
      <c r="A217" s="18">
        <v>42569</v>
      </c>
      <c r="B217" s="15">
        <v>186.38343811035159</v>
      </c>
      <c r="C217" s="15">
        <v>64.613777160644531</v>
      </c>
      <c r="D217" s="15">
        <v>127.0400009155273</v>
      </c>
      <c r="E217" s="15">
        <v>105.52097320556641</v>
      </c>
      <c r="F217" s="15">
        <v>95.427719116210938</v>
      </c>
      <c r="H217" s="16">
        <f t="shared" si="10"/>
        <v>-1.0169047453458262E-3</v>
      </c>
      <c r="I217" s="16">
        <f t="shared" si="10"/>
        <v>1.5449049535964765E-3</v>
      </c>
      <c r="J217" s="16">
        <f t="shared" si="10"/>
        <v>1.3372522657114215E-3</v>
      </c>
      <c r="K217" s="16">
        <f t="shared" si="11"/>
        <v>-3.6499589618836908E-3</v>
      </c>
      <c r="L217" s="16">
        <f t="shared" si="12"/>
        <v>-1.9864772150602586E-3</v>
      </c>
    </row>
    <row r="218" spans="1:12" x14ac:dyDescent="0.35">
      <c r="A218" s="18">
        <v>42570</v>
      </c>
      <c r="B218" s="15">
        <v>186.1940002441406</v>
      </c>
      <c r="C218" s="15">
        <v>64.713676452636719</v>
      </c>
      <c r="D218" s="15">
        <v>127.2099990844727</v>
      </c>
      <c r="E218" s="15">
        <v>105.1365280151367</v>
      </c>
      <c r="F218" s="15">
        <v>95.23834228515625</v>
      </c>
      <c r="H218" s="16">
        <f t="shared" si="10"/>
        <v>4.1543886549273339E-3</v>
      </c>
      <c r="I218" s="16">
        <f t="shared" si="10"/>
        <v>-1.0695222878709439E-3</v>
      </c>
      <c r="J218" s="16">
        <f t="shared" si="10"/>
        <v>-1.4410381636323107E-2</v>
      </c>
      <c r="K218" s="16">
        <f t="shared" si="11"/>
        <v>1.1615348416907203E-2</v>
      </c>
      <c r="L218" s="16">
        <f t="shared" si="12"/>
        <v>5.3186493784560624E-3</v>
      </c>
    </row>
    <row r="219" spans="1:12" x14ac:dyDescent="0.35">
      <c r="A219" s="18">
        <v>42571</v>
      </c>
      <c r="B219" s="15">
        <v>186.96913146972659</v>
      </c>
      <c r="C219" s="15">
        <v>64.644500732421875</v>
      </c>
      <c r="D219" s="15">
        <v>125.38999938964839</v>
      </c>
      <c r="E219" s="15">
        <v>106.36484527587891</v>
      </c>
      <c r="F219" s="15">
        <v>95.746231079101563</v>
      </c>
      <c r="H219" s="16">
        <f t="shared" si="10"/>
        <v>-3.7846939782037034E-3</v>
      </c>
      <c r="I219" s="16">
        <f t="shared" si="10"/>
        <v>1.1883530078739062E-3</v>
      </c>
      <c r="J219" s="16">
        <f t="shared" si="10"/>
        <v>1.5117654201499912E-2</v>
      </c>
      <c r="K219" s="16">
        <f t="shared" si="11"/>
        <v>-2.2946442922932471E-3</v>
      </c>
      <c r="L219" s="16">
        <f t="shared" si="12"/>
        <v>-3.9638924344611729E-3</v>
      </c>
    </row>
    <row r="220" spans="1:12" x14ac:dyDescent="0.35">
      <c r="A220" s="18">
        <v>42572</v>
      </c>
      <c r="B220" s="15">
        <v>186.2628479003906</v>
      </c>
      <c r="C220" s="15">
        <v>64.721366882324219</v>
      </c>
      <c r="D220" s="15">
        <v>127.3000030517578</v>
      </c>
      <c r="E220" s="15">
        <v>106.1210556030273</v>
      </c>
      <c r="F220" s="15">
        <v>95.367454528808594</v>
      </c>
      <c r="H220" s="16">
        <f t="shared" si="10"/>
        <v>4.4752133399785995E-3</v>
      </c>
      <c r="I220" s="16">
        <f t="shared" si="10"/>
        <v>1.185808676934628E-4</v>
      </c>
      <c r="J220" s="16">
        <f t="shared" si="10"/>
        <v>-7.4907077787212881E-3</v>
      </c>
      <c r="K220" s="16">
        <f t="shared" si="11"/>
        <v>4.1441746169390342E-3</v>
      </c>
      <c r="L220" s="16">
        <f t="shared" si="12"/>
        <v>4.772591895443835E-3</v>
      </c>
    </row>
    <row r="221" spans="1:12" x14ac:dyDescent="0.35">
      <c r="A221" s="18">
        <v>42573</v>
      </c>
      <c r="B221" s="15">
        <v>187.09828186035159</v>
      </c>
      <c r="C221" s="15">
        <v>64.729042053222656</v>
      </c>
      <c r="D221" s="15">
        <v>126.34999847412109</v>
      </c>
      <c r="E221" s="15">
        <v>106.56175231933589</v>
      </c>
      <c r="F221" s="15">
        <v>95.823692321777344</v>
      </c>
      <c r="H221" s="16">
        <f t="shared" si="10"/>
        <v>-2.7193921286280728E-3</v>
      </c>
      <c r="I221" s="16">
        <f t="shared" si="10"/>
        <v>-5.9387055898144916E-4</v>
      </c>
      <c r="J221" s="16">
        <f t="shared" si="10"/>
        <v>-6.9891258569473192E-3</v>
      </c>
      <c r="K221" s="16">
        <f t="shared" si="11"/>
        <v>8.7916015347927441E-5</v>
      </c>
      <c r="L221" s="16">
        <f t="shared" si="12"/>
        <v>-2.608695329152358E-3</v>
      </c>
    </row>
    <row r="222" spans="1:12" x14ac:dyDescent="0.35">
      <c r="A222" s="18">
        <v>42576</v>
      </c>
      <c r="B222" s="15">
        <v>186.5901794433594</v>
      </c>
      <c r="C222" s="15">
        <v>64.69061279296875</v>
      </c>
      <c r="D222" s="15">
        <v>125.4700012207031</v>
      </c>
      <c r="E222" s="15">
        <v>106.5711212158203</v>
      </c>
      <c r="F222" s="15">
        <v>95.574043273925781</v>
      </c>
      <c r="H222" s="16">
        <f t="shared" si="10"/>
        <v>4.6160650509089471E-4</v>
      </c>
      <c r="I222" s="16">
        <f t="shared" si="10"/>
        <v>-1.1865131447379917E-4</v>
      </c>
      <c r="J222" s="16">
        <f t="shared" si="10"/>
        <v>4.2152110508260135E-3</v>
      </c>
      <c r="K222" s="16">
        <f t="shared" si="11"/>
        <v>1.1429919834367482E-3</v>
      </c>
      <c r="L222" s="16">
        <f t="shared" si="12"/>
        <v>1.0803543760710456E-3</v>
      </c>
    </row>
    <row r="223" spans="1:12" x14ac:dyDescent="0.35">
      <c r="A223" s="18">
        <v>42577</v>
      </c>
      <c r="B223" s="15">
        <v>186.67633056640619</v>
      </c>
      <c r="C223" s="15">
        <v>64.682937622070313</v>
      </c>
      <c r="D223" s="15">
        <v>126</v>
      </c>
      <c r="E223" s="15">
        <v>106.693000793457</v>
      </c>
      <c r="F223" s="15">
        <v>95.677352905273438</v>
      </c>
      <c r="H223" s="16">
        <f t="shared" si="10"/>
        <v>-1.0620300589467199E-3</v>
      </c>
      <c r="I223" s="16">
        <f t="shared" si="10"/>
        <v>2.9657132374374664E-3</v>
      </c>
      <c r="J223" s="16">
        <f t="shared" si="10"/>
        <v>1.5982694972101329E-2</v>
      </c>
      <c r="K223" s="16">
        <f t="shared" si="11"/>
        <v>6.9185012793804481E-3</v>
      </c>
      <c r="L223" s="16">
        <f t="shared" si="12"/>
        <v>-1.1699243444860327E-3</v>
      </c>
    </row>
    <row r="224" spans="1:12" x14ac:dyDescent="0.35">
      <c r="A224" s="18">
        <v>42578</v>
      </c>
      <c r="B224" s="15">
        <v>186.4781799316406</v>
      </c>
      <c r="C224" s="15">
        <v>64.875053405761719</v>
      </c>
      <c r="D224" s="15">
        <v>128.0299987792969</v>
      </c>
      <c r="E224" s="15">
        <v>107.4337158203125</v>
      </c>
      <c r="F224" s="15">
        <v>95.565483093261719</v>
      </c>
      <c r="H224" s="16">
        <f t="shared" si="10"/>
        <v>1.1539007906801865E-3</v>
      </c>
      <c r="I224" s="16">
        <f t="shared" si="10"/>
        <v>-5.9206288112535722E-4</v>
      </c>
      <c r="J224" s="16">
        <f t="shared" si="10"/>
        <v>-2.8940934092404401E-3</v>
      </c>
      <c r="K224" s="16">
        <f t="shared" si="11"/>
        <v>3.4852250451469554E-3</v>
      </c>
      <c r="L224" s="16">
        <f t="shared" si="12"/>
        <v>1.2599477247111387E-3</v>
      </c>
    </row>
    <row r="225" spans="1:12" x14ac:dyDescent="0.35">
      <c r="A225" s="18">
        <v>42579</v>
      </c>
      <c r="B225" s="15">
        <v>186.6934814453125</v>
      </c>
      <c r="C225" s="15">
        <v>64.836654663085938</v>
      </c>
      <c r="D225" s="15">
        <v>127.6600036621094</v>
      </c>
      <c r="E225" s="15">
        <v>107.8087997436523</v>
      </c>
      <c r="F225" s="15">
        <v>95.685966491699219</v>
      </c>
      <c r="H225" s="16">
        <f t="shared" si="10"/>
        <v>1.6133906729974949E-3</v>
      </c>
      <c r="I225" s="16">
        <f t="shared" si="10"/>
        <v>3.1951883582743909E-3</v>
      </c>
      <c r="J225" s="16">
        <f t="shared" si="10"/>
        <v>1.0286811942904156E-2</v>
      </c>
      <c r="K225" s="16">
        <f t="shared" si="11"/>
        <v>2.1721222656255462E-3</v>
      </c>
      <c r="L225" s="16">
        <f t="shared" si="12"/>
        <v>2.336176873165658E-3</v>
      </c>
    </row>
    <row r="226" spans="1:12" x14ac:dyDescent="0.35">
      <c r="A226" s="18">
        <v>42580</v>
      </c>
      <c r="B226" s="15">
        <v>186.99493408203119</v>
      </c>
      <c r="C226" s="15">
        <v>65.044151306152344</v>
      </c>
      <c r="D226" s="15">
        <v>128.97999572753909</v>
      </c>
      <c r="E226" s="15">
        <v>108.04322814941411</v>
      </c>
      <c r="F226" s="15">
        <v>95.909767150878906</v>
      </c>
      <c r="H226" s="16">
        <f t="shared" si="10"/>
        <v>-8.295633252024809E-4</v>
      </c>
      <c r="I226" s="16">
        <f t="shared" si="10"/>
        <v>-3.1420024769011215E-3</v>
      </c>
      <c r="J226" s="16">
        <f t="shared" si="10"/>
        <v>1.8590671194802033E-3</v>
      </c>
      <c r="K226" s="16">
        <f t="shared" si="11"/>
        <v>5.2793565220786536E-3</v>
      </c>
      <c r="L226" s="16">
        <f t="shared" si="12"/>
        <v>-1.3472507480046803E-3</v>
      </c>
    </row>
    <row r="227" spans="1:12" x14ac:dyDescent="0.35">
      <c r="A227" s="18">
        <v>42583</v>
      </c>
      <c r="B227" s="15">
        <v>186.8398742675781</v>
      </c>
      <c r="C227" s="15">
        <v>64.840103149414063</v>
      </c>
      <c r="D227" s="15">
        <v>129.2200012207031</v>
      </c>
      <c r="E227" s="15">
        <v>108.61513519287109</v>
      </c>
      <c r="F227" s="15">
        <v>95.7806396484375</v>
      </c>
      <c r="H227" s="16">
        <f t="shared" si="10"/>
        <v>-6.4275277328774182E-3</v>
      </c>
      <c r="I227" s="16">
        <f t="shared" si="10"/>
        <v>-9.5071230528337815E-4</v>
      </c>
      <c r="J227" s="16">
        <f t="shared" si="10"/>
        <v>8.0928649297159344E-3</v>
      </c>
      <c r="K227" s="16">
        <f t="shared" si="11"/>
        <v>-7.6255120181569986E-3</v>
      </c>
      <c r="L227" s="16">
        <f t="shared" si="12"/>
        <v>-7.5776095171550409E-3</v>
      </c>
    </row>
    <row r="228" spans="1:12" x14ac:dyDescent="0.35">
      <c r="A228" s="18">
        <v>42584</v>
      </c>
      <c r="B228" s="15">
        <v>185.64280700683591</v>
      </c>
      <c r="C228" s="15">
        <v>64.778488159179688</v>
      </c>
      <c r="D228" s="15">
        <v>130.27000427246091</v>
      </c>
      <c r="E228" s="15">
        <v>107.7900390625</v>
      </c>
      <c r="F228" s="15">
        <v>95.057594299316406</v>
      </c>
      <c r="H228" s="16">
        <f t="shared" si="10"/>
        <v>2.9182399497437003E-3</v>
      </c>
      <c r="I228" s="16">
        <f t="shared" si="10"/>
        <v>0</v>
      </c>
      <c r="J228" s="16">
        <f t="shared" si="10"/>
        <v>-4.7707875986324286E-3</v>
      </c>
      <c r="K228" s="16">
        <f t="shared" si="11"/>
        <v>3.3000523567763133E-3</v>
      </c>
      <c r="L228" s="16">
        <f t="shared" si="12"/>
        <v>3.705827056608975E-3</v>
      </c>
    </row>
    <row r="229" spans="1:12" x14ac:dyDescent="0.35">
      <c r="A229" s="18">
        <v>42585</v>
      </c>
      <c r="B229" s="15">
        <v>186.18534851074219</v>
      </c>
      <c r="C229" s="15">
        <v>64.778488159179688</v>
      </c>
      <c r="D229" s="15">
        <v>129.6499938964844</v>
      </c>
      <c r="E229" s="15">
        <v>108.14633941650391</v>
      </c>
      <c r="F229" s="15">
        <v>95.410514831542969</v>
      </c>
      <c r="H229" s="16">
        <f t="shared" si="10"/>
        <v>1.063372055785491E-3</v>
      </c>
      <c r="I229" s="16">
        <f t="shared" si="10"/>
        <v>1.7814332907468079E-3</v>
      </c>
      <c r="J229" s="16">
        <f t="shared" si="10"/>
        <v>1.695447616497409E-3</v>
      </c>
      <c r="K229" s="16">
        <f t="shared" si="11"/>
        <v>2.8569466453442927E-3</v>
      </c>
      <c r="L229" s="16">
        <f t="shared" si="12"/>
        <v>1.171983193817843E-3</v>
      </c>
    </row>
    <row r="230" spans="1:12" x14ac:dyDescent="0.35">
      <c r="A230" s="18">
        <v>42586</v>
      </c>
      <c r="B230" s="15">
        <v>186.38343811035159</v>
      </c>
      <c r="C230" s="15">
        <v>64.893989562988281</v>
      </c>
      <c r="D230" s="15">
        <v>129.8699951171875</v>
      </c>
      <c r="E230" s="15">
        <v>108.45574951171881</v>
      </c>
      <c r="F230" s="15">
        <v>95.52239990234375</v>
      </c>
      <c r="H230" s="16">
        <f t="shared" si="10"/>
        <v>8.1455664831588687E-3</v>
      </c>
      <c r="I230" s="16">
        <f t="shared" si="10"/>
        <v>-3.3278582815625827E-3</v>
      </c>
      <c r="J230" s="16">
        <f t="shared" si="10"/>
        <v>-1.8025444010511645E-2</v>
      </c>
      <c r="K230" s="16">
        <f t="shared" si="11"/>
        <v>9.5507348677165583E-3</v>
      </c>
      <c r="L230" s="16">
        <f t="shared" si="12"/>
        <v>8.2565089917486945E-3</v>
      </c>
    </row>
    <row r="231" spans="1:12" x14ac:dyDescent="0.35">
      <c r="A231" s="18">
        <v>42587</v>
      </c>
      <c r="B231" s="15">
        <v>187.9078369140625</v>
      </c>
      <c r="C231" s="15">
        <v>64.678390502929688</v>
      </c>
      <c r="D231" s="15">
        <v>127.5500030517578</v>
      </c>
      <c r="E231" s="15">
        <v>109.4965438842773</v>
      </c>
      <c r="F231" s="15">
        <v>96.314346313476563</v>
      </c>
      <c r="H231" s="16">
        <f t="shared" si="10"/>
        <v>-5.9564321214757195E-4</v>
      </c>
      <c r="I231" s="16">
        <f t="shared" si="10"/>
        <v>1.1924938014185516E-4</v>
      </c>
      <c r="J231" s="16">
        <f t="shared" si="10"/>
        <v>-8.6278375470073571E-4</v>
      </c>
      <c r="K231" s="16">
        <f t="shared" si="11"/>
        <v>-1.1141291092974081E-3</v>
      </c>
      <c r="L231" s="16">
        <f t="shared" si="12"/>
        <v>-6.2598237693034379E-4</v>
      </c>
    </row>
    <row r="232" spans="1:12" x14ac:dyDescent="0.35">
      <c r="A232" s="18">
        <v>42590</v>
      </c>
      <c r="B232" s="15">
        <v>187.79594421386719</v>
      </c>
      <c r="C232" s="15">
        <v>64.686103820800781</v>
      </c>
      <c r="D232" s="15">
        <v>127.44000244140619</v>
      </c>
      <c r="E232" s="15">
        <v>109.37461853027339</v>
      </c>
      <c r="F232" s="15">
        <v>96.254074096679688</v>
      </c>
      <c r="H232" s="16">
        <f t="shared" si="10"/>
        <v>5.9564321214771734E-4</v>
      </c>
      <c r="I232" s="16">
        <f t="shared" si="10"/>
        <v>2.8521996846049484E-3</v>
      </c>
      <c r="J232" s="16">
        <f t="shared" si="10"/>
        <v>4.0720231674323806E-3</v>
      </c>
      <c r="K232" s="16">
        <f t="shared" si="11"/>
        <v>2.3121349254905809E-3</v>
      </c>
      <c r="L232" s="16">
        <f t="shared" si="12"/>
        <v>8.9408406376312582E-4</v>
      </c>
    </row>
    <row r="233" spans="1:12" x14ac:dyDescent="0.35">
      <c r="A233" s="18">
        <v>42591</v>
      </c>
      <c r="B233" s="15">
        <v>187.9078369140625</v>
      </c>
      <c r="C233" s="15">
        <v>64.870864868164063</v>
      </c>
      <c r="D233" s="15">
        <v>127.9599990844727</v>
      </c>
      <c r="E233" s="15">
        <v>109.627799987793</v>
      </c>
      <c r="F233" s="15">
        <v>96.340171813964844</v>
      </c>
      <c r="H233" s="16">
        <f t="shared" si="10"/>
        <v>-2.4780717992637338E-3</v>
      </c>
      <c r="I233" s="16">
        <f t="shared" si="10"/>
        <v>1.3046080128720362E-3</v>
      </c>
      <c r="J233" s="16">
        <f t="shared" si="10"/>
        <v>4.6779945123296869E-3</v>
      </c>
      <c r="K233" s="16">
        <f t="shared" si="11"/>
        <v>-2.5690745196244656E-3</v>
      </c>
      <c r="L233" s="16">
        <f t="shared" si="12"/>
        <v>-2.9530793083852769E-3</v>
      </c>
    </row>
    <row r="234" spans="1:12" x14ac:dyDescent="0.35">
      <c r="A234" s="18">
        <v>42592</v>
      </c>
      <c r="B234" s="15">
        <v>187.44276428222659</v>
      </c>
      <c r="C234" s="15">
        <v>64.955551147460938</v>
      </c>
      <c r="D234" s="15">
        <v>128.55999755859381</v>
      </c>
      <c r="E234" s="15">
        <v>109.3465194702148</v>
      </c>
      <c r="F234" s="15">
        <v>96.05609130859375</v>
      </c>
      <c r="H234" s="16">
        <f t="shared" si="10"/>
        <v>4.6301665614718384E-3</v>
      </c>
      <c r="I234" s="16">
        <f t="shared" si="10"/>
        <v>-2.6113913022625767E-3</v>
      </c>
      <c r="J234" s="16">
        <f t="shared" si="10"/>
        <v>-6.9469069486853318E-3</v>
      </c>
      <c r="K234" s="16">
        <f t="shared" si="11"/>
        <v>4.2782240638156799E-3</v>
      </c>
      <c r="L234" s="16">
        <f t="shared" si="12"/>
        <v>5.0059303438191403E-3</v>
      </c>
    </row>
    <row r="235" spans="1:12" x14ac:dyDescent="0.35">
      <c r="A235" s="18">
        <v>42593</v>
      </c>
      <c r="B235" s="15">
        <v>188.31266784667969</v>
      </c>
      <c r="C235" s="15">
        <v>64.786148071289063</v>
      </c>
      <c r="D235" s="15">
        <v>127.6699981689453</v>
      </c>
      <c r="E235" s="15">
        <v>109.81533050537109</v>
      </c>
      <c r="F235" s="15">
        <v>96.53814697265625</v>
      </c>
      <c r="H235" s="16">
        <f t="shared" si="10"/>
        <v>-8.6933286451574708E-4</v>
      </c>
      <c r="I235" s="16">
        <f t="shared" si="10"/>
        <v>2.2562599113708473E-3</v>
      </c>
      <c r="J235" s="16">
        <f t="shared" si="10"/>
        <v>-2.1170403750344225E-3</v>
      </c>
      <c r="K235" s="16">
        <f t="shared" si="11"/>
        <v>6.8235673026589155E-4</v>
      </c>
      <c r="L235" s="16">
        <f t="shared" si="12"/>
        <v>-9.8171624774870251E-4</v>
      </c>
    </row>
    <row r="236" spans="1:12" x14ac:dyDescent="0.35">
      <c r="A236" s="18">
        <v>42594</v>
      </c>
      <c r="B236" s="15">
        <v>188.14903259277341</v>
      </c>
      <c r="C236" s="15">
        <v>64.932487487792969</v>
      </c>
      <c r="D236" s="15">
        <v>127.40000152587891</v>
      </c>
      <c r="E236" s="15">
        <v>109.8902893066406</v>
      </c>
      <c r="F236" s="15">
        <v>96.44342041015625</v>
      </c>
      <c r="H236" s="16">
        <f t="shared" si="10"/>
        <v>2.8795045225037466E-3</v>
      </c>
      <c r="I236" s="16">
        <f t="shared" si="10"/>
        <v>-1.661146358682637E-3</v>
      </c>
      <c r="J236" s="16">
        <f t="shared" si="10"/>
        <v>3.4476982567925242E-3</v>
      </c>
      <c r="K236" s="16">
        <f t="shared" si="11"/>
        <v>4.2575139304561723E-3</v>
      </c>
      <c r="L236" s="16">
        <f t="shared" si="12"/>
        <v>3.6532257184913328E-3</v>
      </c>
    </row>
    <row r="237" spans="1:12" x14ac:dyDescent="0.35">
      <c r="A237" s="18">
        <v>42597</v>
      </c>
      <c r="B237" s="15">
        <v>188.69158935546881</v>
      </c>
      <c r="C237" s="15">
        <v>64.824714660644531</v>
      </c>
      <c r="D237" s="15">
        <v>127.8399963378906</v>
      </c>
      <c r="E237" s="15">
        <v>110.35914611816411</v>
      </c>
      <c r="F237" s="15">
        <v>96.796394348144531</v>
      </c>
      <c r="H237" s="16">
        <f t="shared" si="10"/>
        <v>-5.1707548119215513E-3</v>
      </c>
      <c r="I237" s="16">
        <f t="shared" si="10"/>
        <v>-4.7535601386996564E-4</v>
      </c>
      <c r="J237" s="16">
        <f t="shared" si="10"/>
        <v>4.9159701734447191E-3</v>
      </c>
      <c r="K237" s="16">
        <f t="shared" si="11"/>
        <v>-5.5378798050451407E-3</v>
      </c>
      <c r="L237" s="16">
        <f t="shared" si="12"/>
        <v>-5.7078573232065919E-3</v>
      </c>
    </row>
    <row r="238" spans="1:12" x14ac:dyDescent="0.35">
      <c r="A238" s="18">
        <v>42598</v>
      </c>
      <c r="B238" s="15">
        <v>187.71842956542969</v>
      </c>
      <c r="C238" s="15">
        <v>64.793907165527344</v>
      </c>
      <c r="D238" s="15">
        <v>128.4700012207031</v>
      </c>
      <c r="E238" s="15">
        <v>109.7496795654297</v>
      </c>
      <c r="F238" s="15">
        <v>96.245468139648438</v>
      </c>
      <c r="H238" s="16">
        <f t="shared" si="10"/>
        <v>1.8791800320982412E-3</v>
      </c>
      <c r="I238" s="16">
        <f t="shared" si="10"/>
        <v>1.5434349673879816E-3</v>
      </c>
      <c r="J238" s="16">
        <f t="shared" si="10"/>
        <v>2.3348078990290388E-4</v>
      </c>
      <c r="K238" s="16">
        <f t="shared" si="11"/>
        <v>1.7926086972111781E-3</v>
      </c>
      <c r="L238" s="16">
        <f t="shared" si="12"/>
        <v>1.2512891315183093E-3</v>
      </c>
    </row>
    <row r="239" spans="1:12" x14ac:dyDescent="0.35">
      <c r="A239" s="18">
        <v>42599</v>
      </c>
      <c r="B239" s="15">
        <v>188.07151794433591</v>
      </c>
      <c r="C239" s="15">
        <v>64.893989562988281</v>
      </c>
      <c r="D239" s="15">
        <v>128.5</v>
      </c>
      <c r="E239" s="15">
        <v>109.94659423828119</v>
      </c>
      <c r="F239" s="15">
        <v>96.365974426269531</v>
      </c>
      <c r="H239" s="16">
        <f t="shared" si="10"/>
        <v>2.2412171514875089E-3</v>
      </c>
      <c r="I239" s="16">
        <f t="shared" si="10"/>
        <v>1.0671742612360477E-3</v>
      </c>
      <c r="J239" s="16">
        <f t="shared" si="10"/>
        <v>4.7358545787294093E-3</v>
      </c>
      <c r="K239" s="16">
        <f t="shared" si="11"/>
        <v>2.5581492543863186E-4</v>
      </c>
      <c r="L239" s="16">
        <f t="shared" si="12"/>
        <v>3.1219818113426981E-3</v>
      </c>
    </row>
    <row r="240" spans="1:12" x14ac:dyDescent="0.35">
      <c r="A240" s="18">
        <v>42600</v>
      </c>
      <c r="B240" s="15">
        <v>188.4934997558594</v>
      </c>
      <c r="C240" s="15">
        <v>64.963279724121094</v>
      </c>
      <c r="D240" s="15">
        <v>129.11000061035159</v>
      </c>
      <c r="E240" s="15">
        <v>109.974723815918</v>
      </c>
      <c r="F240" s="15">
        <v>96.66729736328125</v>
      </c>
      <c r="H240" s="16">
        <f t="shared" si="10"/>
        <v>-1.4632929645647182E-3</v>
      </c>
      <c r="I240" s="16">
        <f t="shared" si="10"/>
        <v>-2.0169790639613279E-3</v>
      </c>
      <c r="J240" s="16">
        <f t="shared" si="10"/>
        <v>-8.8688879255206226E-3</v>
      </c>
      <c r="K240" s="16">
        <f t="shared" si="11"/>
        <v>-2.5581492543866807E-4</v>
      </c>
      <c r="L240" s="16">
        <f t="shared" si="12"/>
        <v>-1.4261517631140069E-3</v>
      </c>
    </row>
    <row r="241" spans="1:12" x14ac:dyDescent="0.35">
      <c r="A241" s="18">
        <v>42601</v>
      </c>
      <c r="B241" s="15">
        <v>188.21788024902341</v>
      </c>
      <c r="C241" s="15">
        <v>64.832382202148438</v>
      </c>
      <c r="D241" s="15">
        <v>127.9700012207031</v>
      </c>
      <c r="E241" s="15">
        <v>109.94659423828119</v>
      </c>
      <c r="F241" s="15">
        <v>96.529533386230469</v>
      </c>
      <c r="H241" s="16">
        <f t="shared" si="10"/>
        <v>-4.5481201455458144E-5</v>
      </c>
      <c r="I241" s="16">
        <f t="shared" si="10"/>
        <v>1.4243103640898627E-3</v>
      </c>
      <c r="J241" s="16">
        <f t="shared" si="10"/>
        <v>-1.4858453674484061E-3</v>
      </c>
      <c r="K241" s="16">
        <f t="shared" si="11"/>
        <v>7.6704052032313557E-4</v>
      </c>
      <c r="L241" s="16">
        <f t="shared" si="12"/>
        <v>2.6758312068967202E-4</v>
      </c>
    </row>
    <row r="242" spans="1:12" x14ac:dyDescent="0.35">
      <c r="A242" s="18">
        <v>42604</v>
      </c>
      <c r="B242" s="15">
        <v>188.2093200683594</v>
      </c>
      <c r="C242" s="15">
        <v>64.924789428710938</v>
      </c>
      <c r="D242" s="15">
        <v>127.7799987792969</v>
      </c>
      <c r="E242" s="15">
        <v>110.0309600830078</v>
      </c>
      <c r="F242" s="15">
        <v>96.555366516113281</v>
      </c>
      <c r="H242" s="16">
        <f t="shared" si="10"/>
        <v>2.0114361769552145E-3</v>
      </c>
      <c r="I242" s="16">
        <f t="shared" si="10"/>
        <v>4.7369323469190964E-4</v>
      </c>
      <c r="J242" s="16">
        <f t="shared" si="10"/>
        <v>-1.5650499362593369E-4</v>
      </c>
      <c r="K242" s="16">
        <f t="shared" si="11"/>
        <v>1.7879609948693322E-3</v>
      </c>
      <c r="L242" s="16">
        <f t="shared" si="12"/>
        <v>2.6710336733520566E-3</v>
      </c>
    </row>
    <row r="243" spans="1:12" x14ac:dyDescent="0.35">
      <c r="A243" s="18">
        <v>42605</v>
      </c>
      <c r="B243" s="15">
        <v>188.58827209472659</v>
      </c>
      <c r="C243" s="15">
        <v>64.955551147460938</v>
      </c>
      <c r="D243" s="15">
        <v>127.7600021362305</v>
      </c>
      <c r="E243" s="15">
        <v>110.2278671264648</v>
      </c>
      <c r="F243" s="15">
        <v>96.813613891601563</v>
      </c>
      <c r="H243" s="16">
        <f t="shared" si="10"/>
        <v>-5.1281323363837946E-3</v>
      </c>
      <c r="I243" s="16">
        <f t="shared" si="10"/>
        <v>-1.182848046928581E-4</v>
      </c>
      <c r="J243" s="16">
        <f t="shared" si="10"/>
        <v>-1.1176864142998648E-2</v>
      </c>
      <c r="K243" s="16">
        <f t="shared" si="11"/>
        <v>-6.4856442707860867E-3</v>
      </c>
      <c r="L243" s="16">
        <f t="shared" si="12"/>
        <v>-5.6175216943357125E-3</v>
      </c>
    </row>
    <row r="244" spans="1:12" x14ac:dyDescent="0.35">
      <c r="A244" s="18">
        <v>42606</v>
      </c>
      <c r="B244" s="15">
        <v>187.62364196777341</v>
      </c>
      <c r="C244" s="15">
        <v>64.947868347167969</v>
      </c>
      <c r="D244" s="15">
        <v>126.3399963378906</v>
      </c>
      <c r="E244" s="15">
        <v>109.51528167724609</v>
      </c>
      <c r="F244" s="15">
        <v>96.271286010742188</v>
      </c>
      <c r="H244" s="16">
        <f t="shared" si="10"/>
        <v>-6.8882933835180508E-4</v>
      </c>
      <c r="I244" s="16">
        <f t="shared" si="10"/>
        <v>-1.0677804095036744E-3</v>
      </c>
      <c r="J244" s="16">
        <f t="shared" si="10"/>
        <v>-8.7099012585427327E-4</v>
      </c>
      <c r="K244" s="16">
        <f t="shared" si="11"/>
        <v>-1.6280048820081522E-3</v>
      </c>
      <c r="L244" s="16">
        <f t="shared" si="12"/>
        <v>-6.260245589107266E-4</v>
      </c>
    </row>
    <row r="245" spans="1:12" x14ac:dyDescent="0.35">
      <c r="A245" s="18">
        <v>42607</v>
      </c>
      <c r="B245" s="15">
        <v>187.49444580078119</v>
      </c>
      <c r="C245" s="15">
        <v>64.878555297851563</v>
      </c>
      <c r="D245" s="15">
        <v>126.23000335693359</v>
      </c>
      <c r="E245" s="15">
        <v>109.33713531494141</v>
      </c>
      <c r="F245" s="15">
        <v>96.211036682128906</v>
      </c>
      <c r="H245" s="16">
        <f t="shared" si="10"/>
        <v>-1.8850507805179659E-3</v>
      </c>
      <c r="I245" s="16">
        <f t="shared" si="10"/>
        <v>-2.4947123368787832E-3</v>
      </c>
      <c r="J245" s="16">
        <f t="shared" si="10"/>
        <v>-1.4269885139347306E-3</v>
      </c>
      <c r="K245" s="16">
        <f t="shared" si="11"/>
        <v>1.4568927243293042E-3</v>
      </c>
      <c r="L245" s="16">
        <f t="shared" si="12"/>
        <v>-2.0597583058425601E-3</v>
      </c>
    </row>
    <row r="246" spans="1:12" x14ac:dyDescent="0.35">
      <c r="A246" s="18">
        <v>42608</v>
      </c>
      <c r="B246" s="15">
        <v>187.14134216308591</v>
      </c>
      <c r="C246" s="15">
        <v>64.716903686523438</v>
      </c>
      <c r="D246" s="15">
        <v>126.0500030517578</v>
      </c>
      <c r="E246" s="15">
        <v>109.4965438842773</v>
      </c>
      <c r="F246" s="15">
        <v>96.013069152832031</v>
      </c>
      <c r="H246" s="16">
        <f t="shared" si="10"/>
        <v>4.9121298761564984E-3</v>
      </c>
      <c r="I246" s="16">
        <f t="shared" si="10"/>
        <v>3.4440764653212151E-3</v>
      </c>
      <c r="J246" s="16">
        <f t="shared" si="10"/>
        <v>1.9813756745935482E-3</v>
      </c>
      <c r="K246" s="16">
        <f t="shared" si="11"/>
        <v>1.3691218658934633E-3</v>
      </c>
      <c r="L246" s="16">
        <f t="shared" si="12"/>
        <v>5.4539164377644693E-3</v>
      </c>
    </row>
    <row r="247" spans="1:12" x14ac:dyDescent="0.35">
      <c r="A247" s="18">
        <v>42611</v>
      </c>
      <c r="B247" s="15">
        <v>188.0628662109375</v>
      </c>
      <c r="C247" s="15">
        <v>64.940177917480469</v>
      </c>
      <c r="D247" s="15">
        <v>126.3000030517578</v>
      </c>
      <c r="E247" s="15">
        <v>109.6465606689453</v>
      </c>
      <c r="F247" s="15">
        <v>96.53814697265625</v>
      </c>
      <c r="H247" s="16">
        <f t="shared" si="10"/>
        <v>-1.649732036974536E-3</v>
      </c>
      <c r="I247" s="16">
        <f t="shared" si="10"/>
        <v>-8.3024747529381168E-4</v>
      </c>
      <c r="J247" s="16">
        <f t="shared" si="10"/>
        <v>-1.0106354775588014E-2</v>
      </c>
      <c r="K247" s="16">
        <f t="shared" si="11"/>
        <v>-3.2549659816586887E-3</v>
      </c>
      <c r="L247" s="16">
        <f t="shared" si="12"/>
        <v>-1.6064648008498488E-3</v>
      </c>
    </row>
    <row r="248" spans="1:12" x14ac:dyDescent="0.35">
      <c r="A248" s="18">
        <v>42612</v>
      </c>
      <c r="B248" s="15">
        <v>187.75286865234381</v>
      </c>
      <c r="C248" s="15">
        <v>64.886283874511719</v>
      </c>
      <c r="D248" s="15">
        <v>125.0299987792969</v>
      </c>
      <c r="E248" s="15">
        <v>109.2902450561523</v>
      </c>
      <c r="F248" s="15">
        <v>96.383186340332031</v>
      </c>
      <c r="H248" s="16">
        <f t="shared" si="10"/>
        <v>-2.8485243405510386E-3</v>
      </c>
      <c r="I248" s="16">
        <f t="shared" si="10"/>
        <v>-7.11971220471878E-4</v>
      </c>
      <c r="J248" s="16">
        <f t="shared" si="10"/>
        <v>-2.0015218438290436E-3</v>
      </c>
      <c r="K248" s="16">
        <f t="shared" si="11"/>
        <v>-1.0302067275175539E-3</v>
      </c>
      <c r="L248" s="16">
        <f t="shared" si="12"/>
        <v>-2.8614166780754104E-3</v>
      </c>
    </row>
    <row r="249" spans="1:12" x14ac:dyDescent="0.35">
      <c r="A249" s="18">
        <v>42613</v>
      </c>
      <c r="B249" s="15">
        <v>187.21881103515619</v>
      </c>
      <c r="C249" s="15">
        <v>64.840103149414063</v>
      </c>
      <c r="D249" s="15">
        <v>124.7799987792969</v>
      </c>
      <c r="E249" s="15">
        <v>109.17771148681641</v>
      </c>
      <c r="F249" s="15">
        <v>96.1077880859375</v>
      </c>
      <c r="H249" s="16">
        <f t="shared" si="10"/>
        <v>4.6292311833789263E-5</v>
      </c>
      <c r="I249" s="16">
        <f t="shared" si="10"/>
        <v>1.3791384047970078E-3</v>
      </c>
      <c r="J249" s="16">
        <f t="shared" si="10"/>
        <v>4.0788806649290901E-3</v>
      </c>
      <c r="K249" s="16">
        <f t="shared" si="11"/>
        <v>2.573111356545844E-3</v>
      </c>
      <c r="L249" s="16">
        <f t="shared" si="12"/>
        <v>5.368074309278374E-4</v>
      </c>
    </row>
    <row r="250" spans="1:12" x14ac:dyDescent="0.35">
      <c r="A250" s="18">
        <v>42614</v>
      </c>
      <c r="B250" s="15">
        <v>187.22747802734381</v>
      </c>
      <c r="C250" s="15">
        <v>64.929588317871094</v>
      </c>
      <c r="D250" s="15">
        <v>125.2900009155273</v>
      </c>
      <c r="E250" s="15">
        <v>109.45899963378911</v>
      </c>
      <c r="F250" s="15">
        <v>96.159393310546875</v>
      </c>
      <c r="H250" s="16">
        <f t="shared" si="10"/>
        <v>4.497967482366169E-3</v>
      </c>
      <c r="I250" s="16">
        <f t="shared" si="10"/>
        <v>-1.4272644456128892E-3</v>
      </c>
      <c r="J250" s="16">
        <f t="shared" si="10"/>
        <v>1.0164454828507452E-2</v>
      </c>
      <c r="K250" s="16">
        <f t="shared" si="11"/>
        <v>3.2500948471214622E-3</v>
      </c>
      <c r="L250" s="16">
        <f t="shared" si="12"/>
        <v>5.0893755950168354E-3</v>
      </c>
    </row>
    <row r="251" spans="1:12" x14ac:dyDescent="0.35">
      <c r="A251" s="18">
        <v>42615</v>
      </c>
      <c r="B251" s="15">
        <v>188.07151794433591</v>
      </c>
      <c r="C251" s="15">
        <v>64.836982727050781</v>
      </c>
      <c r="D251" s="15">
        <v>126.5699996948242</v>
      </c>
      <c r="E251" s="15">
        <v>109.81533050537109</v>
      </c>
      <c r="F251" s="15">
        <v>96.650032043457031</v>
      </c>
      <c r="H251" s="16">
        <f t="shared" si="10"/>
        <v>3.0176431347713252E-3</v>
      </c>
      <c r="I251" s="16">
        <f t="shared" si="10"/>
        <v>2.9702923499109425E-3</v>
      </c>
      <c r="J251" s="16">
        <f t="shared" si="10"/>
        <v>1.6766351430797802E-2</v>
      </c>
      <c r="K251" s="16">
        <f t="shared" si="11"/>
        <v>6.2135843863784521E-3</v>
      </c>
      <c r="L251" s="16">
        <f t="shared" si="12"/>
        <v>2.8462516989059368E-3</v>
      </c>
    </row>
    <row r="252" spans="1:12" x14ac:dyDescent="0.35">
      <c r="A252" s="18">
        <v>42619</v>
      </c>
      <c r="B252" s="15">
        <v>188.63990783691409</v>
      </c>
      <c r="C252" s="15">
        <v>65.029853820800781</v>
      </c>
      <c r="D252" s="15">
        <v>128.71000671386719</v>
      </c>
      <c r="E252" s="15">
        <v>110.4998016357422</v>
      </c>
      <c r="F252" s="15">
        <v>96.925514221191406</v>
      </c>
      <c r="H252" s="16">
        <f t="shared" si="10"/>
        <v>-9.0922747033066978E-5</v>
      </c>
      <c r="I252" s="16">
        <f t="shared" si="10"/>
        <v>1.1860491771482485E-4</v>
      </c>
      <c r="J252" s="16">
        <f t="shared" si="10"/>
        <v>-3.4244132039323422E-3</v>
      </c>
      <c r="K252" s="16">
        <f t="shared" si="11"/>
        <v>5.9374378587679461E-4</v>
      </c>
      <c r="L252" s="16">
        <f t="shared" si="12"/>
        <v>1.3313477441600095E-3</v>
      </c>
    </row>
    <row r="253" spans="1:12" x14ac:dyDescent="0.35">
      <c r="A253" s="18">
        <v>42620</v>
      </c>
      <c r="B253" s="15">
        <v>188.62275695800781</v>
      </c>
      <c r="C253" s="15">
        <v>65.037567138671875</v>
      </c>
      <c r="D253" s="15">
        <v>128.27000427246091</v>
      </c>
      <c r="E253" s="15">
        <v>110.5654296875</v>
      </c>
      <c r="F253" s="15">
        <v>97.054641723632813</v>
      </c>
      <c r="H253" s="16">
        <f t="shared" si="10"/>
        <v>-2.2858135775895906E-3</v>
      </c>
      <c r="I253" s="16">
        <f t="shared" si="10"/>
        <v>-3.802940860977965E-3</v>
      </c>
      <c r="J253" s="16">
        <f t="shared" si="10"/>
        <v>-5.3154813886147657E-3</v>
      </c>
      <c r="K253" s="16">
        <f t="shared" si="11"/>
        <v>-5.8686784124091698E-3</v>
      </c>
      <c r="L253" s="16">
        <f t="shared" si="12"/>
        <v>-2.5758028929452285E-3</v>
      </c>
    </row>
    <row r="254" spans="1:12" x14ac:dyDescent="0.35">
      <c r="A254" s="18">
        <v>42621</v>
      </c>
      <c r="B254" s="15">
        <v>188.19209289550781</v>
      </c>
      <c r="C254" s="15">
        <v>64.790702819824219</v>
      </c>
      <c r="D254" s="15">
        <v>127.5899963378906</v>
      </c>
      <c r="E254" s="15">
        <v>109.91845703125</v>
      </c>
      <c r="F254" s="15">
        <v>96.804969787597656</v>
      </c>
      <c r="H254" s="16">
        <f t="shared" si="10"/>
        <v>-2.4226021680725445E-2</v>
      </c>
      <c r="I254" s="16">
        <f t="shared" si="10"/>
        <v>-4.4155173631229205E-3</v>
      </c>
      <c r="J254" s="16">
        <f t="shared" si="10"/>
        <v>-6.6053267601925269E-3</v>
      </c>
      <c r="K254" s="16">
        <f t="shared" si="11"/>
        <v>-2.5486341539710806E-2</v>
      </c>
      <c r="L254" s="16">
        <f t="shared" si="12"/>
        <v>-2.5212526739733565E-2</v>
      </c>
    </row>
    <row r="255" spans="1:12" x14ac:dyDescent="0.35">
      <c r="A255" s="18">
        <v>42622</v>
      </c>
      <c r="B255" s="15">
        <v>183.68772888183591</v>
      </c>
      <c r="C255" s="15">
        <v>64.5052490234375</v>
      </c>
      <c r="D255" s="15">
        <v>126.75</v>
      </c>
      <c r="E255" s="15">
        <v>107.1524353027344</v>
      </c>
      <c r="F255" s="15">
        <v>94.394783020019531</v>
      </c>
      <c r="H255" s="16">
        <f t="shared" si="10"/>
        <v>1.4245345019952808E-2</v>
      </c>
      <c r="I255" s="16">
        <f t="shared" si="10"/>
        <v>3.5819251640000692E-4</v>
      </c>
      <c r="J255" s="16">
        <f t="shared" si="10"/>
        <v>-1.2631537514556609E-3</v>
      </c>
      <c r="K255" s="16">
        <f t="shared" si="11"/>
        <v>1.7779604177645229E-2</v>
      </c>
      <c r="L255" s="16">
        <f t="shared" si="12"/>
        <v>1.3855861595778228E-2</v>
      </c>
    </row>
    <row r="256" spans="1:12" x14ac:dyDescent="0.35">
      <c r="A256" s="18">
        <v>42625</v>
      </c>
      <c r="B256" s="15">
        <v>186.3231506347656</v>
      </c>
      <c r="C256" s="15">
        <v>64.528358459472656</v>
      </c>
      <c r="D256" s="15">
        <v>126.5899963378906</v>
      </c>
      <c r="E256" s="15">
        <v>109.07460021972661</v>
      </c>
      <c r="F256" s="15">
        <v>95.711807250976563</v>
      </c>
      <c r="H256" s="16">
        <f t="shared" si="10"/>
        <v>-1.4479876816265558E-2</v>
      </c>
      <c r="I256" s="16">
        <f t="shared" si="10"/>
        <v>-2.8731705180658988E-3</v>
      </c>
      <c r="J256" s="16">
        <f t="shared" si="10"/>
        <v>-6.6576797399882162E-3</v>
      </c>
      <c r="K256" s="16">
        <f t="shared" si="11"/>
        <v>-8.9804248570779302E-3</v>
      </c>
      <c r="L256" s="16">
        <f t="shared" si="12"/>
        <v>-1.5767647496004355E-2</v>
      </c>
    </row>
    <row r="257" spans="1:12" x14ac:dyDescent="0.35">
      <c r="A257" s="18">
        <v>42626</v>
      </c>
      <c r="B257" s="15">
        <v>183.6446533203125</v>
      </c>
      <c r="C257" s="15">
        <v>64.343223571777344</v>
      </c>
      <c r="D257" s="15">
        <v>125.75</v>
      </c>
      <c r="E257" s="15">
        <v>108.0994491577148</v>
      </c>
      <c r="F257" s="15">
        <v>94.214492797851563</v>
      </c>
      <c r="H257" s="16">
        <f t="shared" si="10"/>
        <v>-3.7513258684117594E-4</v>
      </c>
      <c r="I257" s="16">
        <f t="shared" si="10"/>
        <v>1.3184965790087478E-3</v>
      </c>
      <c r="J257" s="16">
        <f t="shared" si="10"/>
        <v>3.4136523813899072E-3</v>
      </c>
      <c r="K257" s="16">
        <f t="shared" si="11"/>
        <v>4.7591352472329913E-3</v>
      </c>
      <c r="L257" s="16">
        <f t="shared" si="12"/>
        <v>9.1664016140058455E-5</v>
      </c>
    </row>
    <row r="258" spans="1:12" x14ac:dyDescent="0.35">
      <c r="A258" s="18">
        <v>42627</v>
      </c>
      <c r="B258" s="15">
        <v>183.5757751464844</v>
      </c>
      <c r="C258" s="15">
        <v>64.428115844726563</v>
      </c>
      <c r="D258" s="15">
        <v>126.1800003051758</v>
      </c>
      <c r="E258" s="15">
        <v>108.61513519287109</v>
      </c>
      <c r="F258" s="15">
        <v>94.223129272460938</v>
      </c>
      <c r="H258" s="16">
        <f t="shared" si="10"/>
        <v>9.9433174892012335E-3</v>
      </c>
      <c r="I258" s="16">
        <f t="shared" si="10"/>
        <v>8.3756896848159745E-4</v>
      </c>
      <c r="J258" s="16">
        <f t="shared" si="10"/>
        <v>-6.44007432549601E-3</v>
      </c>
      <c r="K258" s="16">
        <f t="shared" si="11"/>
        <v>1.5419404612783046E-2</v>
      </c>
      <c r="L258" s="16">
        <f t="shared" si="12"/>
        <v>1.0229672604827253E-2</v>
      </c>
    </row>
    <row r="259" spans="1:12" x14ac:dyDescent="0.35">
      <c r="A259" s="18">
        <v>42628</v>
      </c>
      <c r="B259" s="15">
        <v>185.41023254394531</v>
      </c>
      <c r="C259" s="15">
        <v>64.482101440429688</v>
      </c>
      <c r="D259" s="15">
        <v>125.370002746582</v>
      </c>
      <c r="E259" s="15">
        <v>110.3028945922852</v>
      </c>
      <c r="F259" s="15">
        <v>95.191947937011719</v>
      </c>
      <c r="H259" s="16">
        <f t="shared" si="10"/>
        <v>-3.8731667865352128E-3</v>
      </c>
      <c r="I259" s="16">
        <f t="shared" si="10"/>
        <v>8.3698625278212722E-4</v>
      </c>
      <c r="J259" s="16">
        <f t="shared" si="10"/>
        <v>-2.4757844184697701E-3</v>
      </c>
      <c r="K259" s="16">
        <f t="shared" si="11"/>
        <v>-4.7730166554177362E-4</v>
      </c>
      <c r="L259" s="16">
        <f t="shared" si="12"/>
        <v>-4.0063318643844556E-3</v>
      </c>
    </row>
    <row r="260" spans="1:12" x14ac:dyDescent="0.35">
      <c r="A260" s="18">
        <v>42629</v>
      </c>
      <c r="B260" s="15">
        <v>184.69349670410159</v>
      </c>
      <c r="C260" s="15">
        <v>64.536094665527344</v>
      </c>
      <c r="D260" s="15">
        <v>125.05999755859381</v>
      </c>
      <c r="E260" s="15">
        <v>110.25025939941411</v>
      </c>
      <c r="F260" s="15">
        <v>94.81134033203125</v>
      </c>
      <c r="H260" s="16">
        <f t="shared" ref="H260:J323" si="13">LN(B261/B260)</f>
        <v>1.8785299938499462E-4</v>
      </c>
      <c r="I260" s="16">
        <f t="shared" si="13"/>
        <v>-7.1749219285533968E-4</v>
      </c>
      <c r="J260" s="16">
        <f t="shared" si="13"/>
        <v>2.076861031545924E-3</v>
      </c>
      <c r="K260" s="16">
        <f t="shared" ref="K260:K323" si="14">LN(E261/E260)</f>
        <v>-4.3575676668201509E-3</v>
      </c>
      <c r="L260" s="16">
        <f t="shared" ref="L260:L323" si="15">LN(F261/F260)</f>
        <v>1.4588079973867356E-3</v>
      </c>
    </row>
    <row r="261" spans="1:12" x14ac:dyDescent="0.35">
      <c r="A261" s="18">
        <v>42632</v>
      </c>
      <c r="B261" s="15">
        <v>184.72819519042969</v>
      </c>
      <c r="C261" s="15">
        <v>64.48980712890625</v>
      </c>
      <c r="D261" s="15">
        <v>125.3199996948242</v>
      </c>
      <c r="E261" s="15">
        <v>109.770881652832</v>
      </c>
      <c r="F261" s="15">
        <v>94.949752807617188</v>
      </c>
      <c r="H261" s="16">
        <f t="shared" si="13"/>
        <v>4.6668645480800687E-5</v>
      </c>
      <c r="I261" s="16">
        <f t="shared" si="13"/>
        <v>2.394183942486886E-4</v>
      </c>
      <c r="J261" s="16">
        <f t="shared" si="13"/>
        <v>9.5711241601955104E-4</v>
      </c>
      <c r="K261" s="16">
        <f t="shared" si="14"/>
        <v>1.8818956992187311E-3</v>
      </c>
      <c r="L261" s="16">
        <f t="shared" si="15"/>
        <v>-4.5594034264446673E-4</v>
      </c>
    </row>
    <row r="262" spans="1:12" x14ac:dyDescent="0.35">
      <c r="A262" s="18">
        <v>42633</v>
      </c>
      <c r="B262" s="15">
        <v>184.73681640625</v>
      </c>
      <c r="C262" s="15">
        <v>64.5052490234375</v>
      </c>
      <c r="D262" s="15">
        <v>125.44000244140619</v>
      </c>
      <c r="E262" s="15">
        <v>109.977653503418</v>
      </c>
      <c r="F262" s="15">
        <v>94.906471252441406</v>
      </c>
      <c r="H262" s="16">
        <f t="shared" si="13"/>
        <v>1.1182634983612293E-2</v>
      </c>
      <c r="I262" s="16">
        <f t="shared" si="13"/>
        <v>2.8659639681478111E-3</v>
      </c>
      <c r="J262" s="16">
        <f t="shared" si="13"/>
        <v>1.448321156264518E-2</v>
      </c>
      <c r="K262" s="16">
        <f t="shared" si="14"/>
        <v>9.7809445640445764E-3</v>
      </c>
      <c r="L262" s="16">
        <f t="shared" si="15"/>
        <v>1.1418547629972908E-2</v>
      </c>
    </row>
    <row r="263" spans="1:12" x14ac:dyDescent="0.35">
      <c r="A263" s="18">
        <v>42634</v>
      </c>
      <c r="B263" s="15">
        <v>186.81425476074219</v>
      </c>
      <c r="C263" s="15">
        <v>64.690383911132813</v>
      </c>
      <c r="D263" s="15">
        <v>127.26999664306641</v>
      </c>
      <c r="E263" s="15">
        <v>111.05861663818359</v>
      </c>
      <c r="F263" s="15">
        <v>95.996376037597656</v>
      </c>
      <c r="H263" s="16">
        <f t="shared" si="13"/>
        <v>6.2815145843466398E-3</v>
      </c>
      <c r="I263" s="16">
        <f t="shared" si="13"/>
        <v>2.0259921988199465E-3</v>
      </c>
      <c r="J263" s="16">
        <f t="shared" si="13"/>
        <v>2.3544435304930274E-3</v>
      </c>
      <c r="K263" s="16">
        <f t="shared" si="14"/>
        <v>7.9244561341348333E-3</v>
      </c>
      <c r="L263" s="16">
        <f t="shared" si="15"/>
        <v>7.2721592285664464E-3</v>
      </c>
    </row>
    <row r="264" spans="1:12" x14ac:dyDescent="0.35">
      <c r="A264" s="18">
        <v>42635</v>
      </c>
      <c r="B264" s="15">
        <v>187.9914245605469</v>
      </c>
      <c r="C264" s="15">
        <v>64.821578979492188</v>
      </c>
      <c r="D264" s="15">
        <v>127.5699996948242</v>
      </c>
      <c r="E264" s="15">
        <v>111.9421920776367</v>
      </c>
      <c r="F264" s="15">
        <v>96.697021484375</v>
      </c>
      <c r="H264" s="16">
        <f t="shared" si="13"/>
        <v>-5.4941946477974693E-3</v>
      </c>
      <c r="I264" s="16">
        <f t="shared" si="13"/>
        <v>-2.3801443807644674E-4</v>
      </c>
      <c r="J264" s="16">
        <f t="shared" si="13"/>
        <v>6.269244831310747E-4</v>
      </c>
      <c r="K264" s="16">
        <f t="shared" si="14"/>
        <v>-6.4019847704539197E-3</v>
      </c>
      <c r="L264" s="16">
        <f t="shared" si="15"/>
        <v>-5.7415928955105791E-3</v>
      </c>
    </row>
    <row r="265" spans="1:12" x14ac:dyDescent="0.35">
      <c r="A265" s="18">
        <v>42636</v>
      </c>
      <c r="B265" s="15">
        <v>186.9613952636719</v>
      </c>
      <c r="C265" s="15">
        <v>64.80615234375</v>
      </c>
      <c r="D265" s="15">
        <v>127.65000152587891</v>
      </c>
      <c r="E265" s="15">
        <v>111.2278289794922</v>
      </c>
      <c r="F265" s="15">
        <v>96.143417358398438</v>
      </c>
      <c r="H265" s="16">
        <f t="shared" si="13"/>
        <v>-8.1352964680505898E-3</v>
      </c>
      <c r="I265" s="16">
        <f t="shared" si="13"/>
        <v>1.6645600320911716E-3</v>
      </c>
      <c r="J265" s="16">
        <f t="shared" si="13"/>
        <v>-7.836871273147406E-4</v>
      </c>
      <c r="K265" s="16">
        <f t="shared" si="14"/>
        <v>-8.4016968536815631E-3</v>
      </c>
      <c r="L265" s="16">
        <f t="shared" si="15"/>
        <v>-7.9484468060856909E-3</v>
      </c>
    </row>
    <row r="266" spans="1:12" x14ac:dyDescent="0.35">
      <c r="A266" s="18">
        <v>42639</v>
      </c>
      <c r="B266" s="15">
        <v>185.44657897949219</v>
      </c>
      <c r="C266" s="15">
        <v>64.914115905761719</v>
      </c>
      <c r="D266" s="15">
        <v>127.5500030517578</v>
      </c>
      <c r="E266" s="15">
        <v>110.2972412109375</v>
      </c>
      <c r="F266" s="15">
        <v>95.382255554199219</v>
      </c>
      <c r="H266" s="16">
        <f t="shared" si="13"/>
        <v>6.1888526953208919E-3</v>
      </c>
      <c r="I266" s="16">
        <f t="shared" si="13"/>
        <v>1.1875289027721324E-3</v>
      </c>
      <c r="J266" s="16">
        <f t="shared" si="13"/>
        <v>-7.3179717062786618E-3</v>
      </c>
      <c r="K266" s="16">
        <f t="shared" si="14"/>
        <v>9.837267187560712E-3</v>
      </c>
      <c r="L266" s="16">
        <f t="shared" si="15"/>
        <v>5.6966949562599544E-3</v>
      </c>
    </row>
    <row r="267" spans="1:12" x14ac:dyDescent="0.35">
      <c r="A267" s="18">
        <v>42640</v>
      </c>
      <c r="B267" s="15">
        <v>186.59783935546881</v>
      </c>
      <c r="C267" s="15">
        <v>64.991249084472656</v>
      </c>
      <c r="D267" s="15">
        <v>126.620002746582</v>
      </c>
      <c r="E267" s="15">
        <v>111.3876190185547</v>
      </c>
      <c r="F267" s="15">
        <v>95.927169799804688</v>
      </c>
      <c r="H267" s="16">
        <f t="shared" si="13"/>
        <v>4.9514644351459818E-3</v>
      </c>
      <c r="I267" s="16">
        <f t="shared" si="13"/>
        <v>0</v>
      </c>
      <c r="J267" s="16">
        <f t="shared" si="13"/>
        <v>-3.1640709801869947E-3</v>
      </c>
      <c r="K267" s="16">
        <f t="shared" si="14"/>
        <v>1.6862720270039294E-3</v>
      </c>
      <c r="L267" s="16">
        <f t="shared" si="15"/>
        <v>5.8440099097279543E-3</v>
      </c>
    </row>
    <row r="268" spans="1:12" x14ac:dyDescent="0.35">
      <c r="A268" s="18">
        <v>42641</v>
      </c>
      <c r="B268" s="15">
        <v>187.52406311035159</v>
      </c>
      <c r="C268" s="15">
        <v>64.991249084472656</v>
      </c>
      <c r="D268" s="15">
        <v>126.2200012207031</v>
      </c>
      <c r="E268" s="15">
        <v>111.5756072998047</v>
      </c>
      <c r="F268" s="15">
        <v>96.489410400390625</v>
      </c>
      <c r="H268" s="16">
        <f t="shared" si="13"/>
        <v>-9.0885993481146995E-3</v>
      </c>
      <c r="I268" s="16">
        <f t="shared" si="13"/>
        <v>1.1926225043451019E-4</v>
      </c>
      <c r="J268" s="16">
        <f t="shared" si="13"/>
        <v>-1.1891200048342217E-3</v>
      </c>
      <c r="K268" s="16">
        <f t="shared" si="14"/>
        <v>-7.2715754300227151E-3</v>
      </c>
      <c r="L268" s="16">
        <f t="shared" si="15"/>
        <v>-9.8192552235895278E-3</v>
      </c>
    </row>
    <row r="269" spans="1:12" x14ac:dyDescent="0.35">
      <c r="A269" s="18">
        <v>42642</v>
      </c>
      <c r="B269" s="15">
        <v>185.82745361328119</v>
      </c>
      <c r="C269" s="15">
        <v>64.999000549316406</v>
      </c>
      <c r="D269" s="15">
        <v>126.0699996948242</v>
      </c>
      <c r="E269" s="15">
        <v>110.767219543457</v>
      </c>
      <c r="F269" s="15">
        <v>95.546592712402344</v>
      </c>
      <c r="H269" s="16">
        <f t="shared" si="13"/>
        <v>7.51766192331984E-3</v>
      </c>
      <c r="I269" s="16">
        <f t="shared" si="13"/>
        <v>-1.3067911532066284E-3</v>
      </c>
      <c r="J269" s="16">
        <f t="shared" si="13"/>
        <v>-3.4166360099870735E-3</v>
      </c>
      <c r="K269" s="16">
        <f t="shared" si="14"/>
        <v>7.440319813586835E-3</v>
      </c>
      <c r="L269" s="16">
        <f t="shared" si="15"/>
        <v>7.845308455379724E-3</v>
      </c>
    </row>
    <row r="270" spans="1:12" x14ac:dyDescent="0.35">
      <c r="A270" s="18">
        <v>42643</v>
      </c>
      <c r="B270" s="15">
        <v>187.2297058105469</v>
      </c>
      <c r="C270" s="15">
        <v>64.914115905761719</v>
      </c>
      <c r="D270" s="15">
        <v>125.63999938964839</v>
      </c>
      <c r="E270" s="15">
        <v>111.5944366455078</v>
      </c>
      <c r="F270" s="15">
        <v>96.29913330078125</v>
      </c>
      <c r="H270" s="16">
        <f t="shared" si="13"/>
        <v>-2.406831543641377E-3</v>
      </c>
      <c r="I270" s="16">
        <f t="shared" si="13"/>
        <v>-1.060570623794376E-3</v>
      </c>
      <c r="J270" s="16">
        <f t="shared" si="13"/>
        <v>-2.5502061636868893E-3</v>
      </c>
      <c r="K270" s="16">
        <f t="shared" si="14"/>
        <v>-1.4331817495276801E-3</v>
      </c>
      <c r="L270" s="16">
        <f t="shared" si="15"/>
        <v>-3.0588355294118978E-3</v>
      </c>
    </row>
    <row r="271" spans="1:12" x14ac:dyDescent="0.35">
      <c r="A271" s="18">
        <v>42646</v>
      </c>
      <c r="B271" s="15">
        <v>186.77961730957031</v>
      </c>
      <c r="C271" s="15">
        <v>64.845306396484375</v>
      </c>
      <c r="D271" s="15">
        <v>125.3199996948242</v>
      </c>
      <c r="E271" s="15">
        <v>111.4346160888672</v>
      </c>
      <c r="F271" s="15">
        <v>96.005020141601563</v>
      </c>
      <c r="H271" s="16">
        <f t="shared" si="13"/>
        <v>-5.1108303796785562E-3</v>
      </c>
      <c r="I271" s="16">
        <f t="shared" si="13"/>
        <v>-3.3422837629816867E-3</v>
      </c>
      <c r="J271" s="16">
        <f t="shared" si="13"/>
        <v>-3.5327872586104571E-2</v>
      </c>
      <c r="K271" s="16">
        <f t="shared" si="14"/>
        <v>-1.5193011480073022E-3</v>
      </c>
      <c r="L271" s="16">
        <f t="shared" si="15"/>
        <v>-4.5150996329353836E-3</v>
      </c>
    </row>
    <row r="272" spans="1:12" x14ac:dyDescent="0.35">
      <c r="A272" s="18">
        <v>42647</v>
      </c>
      <c r="B272" s="15">
        <v>185.82745361328119</v>
      </c>
      <c r="C272" s="15">
        <v>64.628936767578125</v>
      </c>
      <c r="D272" s="15">
        <v>120.9700012207031</v>
      </c>
      <c r="E272" s="15">
        <v>111.26544189453119</v>
      </c>
      <c r="F272" s="15">
        <v>95.572525024414063</v>
      </c>
      <c r="H272" s="16">
        <f t="shared" si="13"/>
        <v>4.4152084789947834E-3</v>
      </c>
      <c r="I272" s="16">
        <f t="shared" si="13"/>
        <v>-1.6764045346659667E-3</v>
      </c>
      <c r="J272" s="16">
        <f t="shared" si="13"/>
        <v>-1.5718922897903684E-3</v>
      </c>
      <c r="K272" s="16">
        <f t="shared" si="14"/>
        <v>3.5417025464561632E-3</v>
      </c>
      <c r="L272" s="16">
        <f t="shared" si="15"/>
        <v>3.8842370457721704E-3</v>
      </c>
    </row>
    <row r="273" spans="1:12" x14ac:dyDescent="0.35">
      <c r="A273" s="18">
        <v>42648</v>
      </c>
      <c r="B273" s="15">
        <v>186.64973449707031</v>
      </c>
      <c r="C273" s="15">
        <v>64.520683288574219</v>
      </c>
      <c r="D273" s="15">
        <v>120.7799987792969</v>
      </c>
      <c r="E273" s="15">
        <v>111.6602096557617</v>
      </c>
      <c r="F273" s="15">
        <v>95.944473266601563</v>
      </c>
      <c r="H273" s="16">
        <f t="shared" si="13"/>
        <v>6.9562190068366437E-4</v>
      </c>
      <c r="I273" s="16">
        <f t="shared" si="13"/>
        <v>-3.5929974074160552E-4</v>
      </c>
      <c r="J273" s="16">
        <f t="shared" si="13"/>
        <v>-9.3162802067479188E-3</v>
      </c>
      <c r="K273" s="16">
        <f t="shared" si="14"/>
        <v>-5.0533666378981326E-4</v>
      </c>
      <c r="L273" s="16">
        <f t="shared" si="15"/>
        <v>3.6047350421160751E-4</v>
      </c>
    </row>
    <row r="274" spans="1:12" x14ac:dyDescent="0.35">
      <c r="A274" s="18">
        <v>42649</v>
      </c>
      <c r="B274" s="15">
        <v>186.77961730957031</v>
      </c>
      <c r="C274" s="15">
        <v>64.497505187988281</v>
      </c>
      <c r="D274" s="15">
        <v>119.6600036621094</v>
      </c>
      <c r="E274" s="15">
        <v>111.6037979125977</v>
      </c>
      <c r="F274" s="15">
        <v>95.97906494140625</v>
      </c>
      <c r="H274" s="16">
        <f t="shared" si="13"/>
        <v>-3.4353297928135648E-3</v>
      </c>
      <c r="I274" s="16">
        <f t="shared" si="13"/>
        <v>8.3903206451223233E-4</v>
      </c>
      <c r="J274" s="16">
        <f t="shared" si="13"/>
        <v>6.6828909045471368E-4</v>
      </c>
      <c r="K274" s="16">
        <f t="shared" si="14"/>
        <v>-2.1920171206658745E-3</v>
      </c>
      <c r="L274" s="16">
        <f t="shared" si="15"/>
        <v>-3.792345939592383E-3</v>
      </c>
    </row>
    <row r="275" spans="1:12" x14ac:dyDescent="0.35">
      <c r="A275" s="18">
        <v>42650</v>
      </c>
      <c r="B275" s="15">
        <v>186.1390686035156</v>
      </c>
      <c r="C275" s="15">
        <v>64.551643371582031</v>
      </c>
      <c r="D275" s="15">
        <v>119.7399978637695</v>
      </c>
      <c r="E275" s="15">
        <v>111.3594284057617</v>
      </c>
      <c r="F275" s="15">
        <v>95.615768432617188</v>
      </c>
      <c r="H275" s="16">
        <f t="shared" si="13"/>
        <v>5.1947786503220945E-3</v>
      </c>
      <c r="I275" s="16">
        <f t="shared" si="13"/>
        <v>-1.0787158439656886E-3</v>
      </c>
      <c r="J275" s="16">
        <f t="shared" si="13"/>
        <v>3.5015108361362395E-3</v>
      </c>
      <c r="K275" s="16">
        <f t="shared" si="14"/>
        <v>6.3107759790857658E-3</v>
      </c>
      <c r="L275" s="16">
        <f t="shared" si="15"/>
        <v>5.4131880622930858E-3</v>
      </c>
    </row>
    <row r="276" spans="1:12" x14ac:dyDescent="0.35">
      <c r="A276" s="18">
        <v>42653</v>
      </c>
      <c r="B276" s="15">
        <v>187.10853576660159</v>
      </c>
      <c r="C276" s="15">
        <v>64.482048034667969</v>
      </c>
      <c r="D276" s="15">
        <v>120.1600036621094</v>
      </c>
      <c r="E276" s="15">
        <v>112.0644149780273</v>
      </c>
      <c r="F276" s="15">
        <v>96.134757995605469</v>
      </c>
      <c r="H276" s="16">
        <f t="shared" si="13"/>
        <v>-1.270998900403029E-2</v>
      </c>
      <c r="I276" s="16">
        <f t="shared" si="13"/>
        <v>-1.5599389513240459E-3</v>
      </c>
      <c r="J276" s="16">
        <f t="shared" si="13"/>
        <v>-5.0894990613917666E-3</v>
      </c>
      <c r="K276" s="16">
        <f t="shared" si="14"/>
        <v>-1.4362228859312674E-2</v>
      </c>
      <c r="L276" s="16">
        <f t="shared" si="15"/>
        <v>-1.3405754001891718E-2</v>
      </c>
    </row>
    <row r="277" spans="1:12" x14ac:dyDescent="0.35">
      <c r="A277" s="18">
        <v>42654</v>
      </c>
      <c r="B277" s="15">
        <v>184.74543762207031</v>
      </c>
      <c r="C277" s="15">
        <v>64.381538391113281</v>
      </c>
      <c r="D277" s="15">
        <v>119.5500030517578</v>
      </c>
      <c r="E277" s="15">
        <v>110.466423034668</v>
      </c>
      <c r="F277" s="15">
        <v>94.854598999023438</v>
      </c>
      <c r="H277" s="16">
        <f t="shared" si="13"/>
        <v>1.311304240450839E-3</v>
      </c>
      <c r="I277" s="16">
        <f t="shared" si="13"/>
        <v>6.0003677839941196E-4</v>
      </c>
      <c r="J277" s="16">
        <f t="shared" si="13"/>
        <v>1.5879882252555432E-3</v>
      </c>
      <c r="K277" s="16">
        <f t="shared" si="14"/>
        <v>-8.5110821936323271E-4</v>
      </c>
      <c r="L277" s="16">
        <f t="shared" si="15"/>
        <v>1.1846321090275812E-3</v>
      </c>
    </row>
    <row r="278" spans="1:12" x14ac:dyDescent="0.35">
      <c r="A278" s="18">
        <v>42655</v>
      </c>
      <c r="B278" s="15">
        <v>184.98785400390619</v>
      </c>
      <c r="C278" s="15">
        <v>64.420181274414063</v>
      </c>
      <c r="D278" s="15">
        <v>119.7399978637695</v>
      </c>
      <c r="E278" s="15">
        <v>110.372444152832</v>
      </c>
      <c r="F278" s="15">
        <v>94.967033386230469</v>
      </c>
      <c r="H278" s="16">
        <f t="shared" si="13"/>
        <v>-3.2811179427362021E-3</v>
      </c>
      <c r="I278" s="16">
        <f t="shared" si="13"/>
        <v>1.1995859523780523E-3</v>
      </c>
      <c r="J278" s="16">
        <f t="shared" si="13"/>
        <v>2.4189937106395541E-3</v>
      </c>
      <c r="K278" s="16">
        <f t="shared" si="14"/>
        <v>-3.5833074370480106E-3</v>
      </c>
      <c r="L278" s="16">
        <f t="shared" si="15"/>
        <v>-3.5583565883180483E-3</v>
      </c>
    </row>
    <row r="279" spans="1:12" x14ac:dyDescent="0.35">
      <c r="A279" s="18">
        <v>42656</v>
      </c>
      <c r="B279" s="15">
        <v>184.38188171386719</v>
      </c>
      <c r="C279" s="15">
        <v>64.497505187988281</v>
      </c>
      <c r="D279" s="15">
        <v>120.0299987792969</v>
      </c>
      <c r="E279" s="15">
        <v>109.977653503418</v>
      </c>
      <c r="F279" s="15">
        <v>94.629707336425781</v>
      </c>
      <c r="H279" s="16">
        <f t="shared" si="13"/>
        <v>5.1634964214063183E-4</v>
      </c>
      <c r="I279" s="16">
        <f t="shared" si="13"/>
        <v>-2.039856822098461E-3</v>
      </c>
      <c r="J279" s="16">
        <f t="shared" si="13"/>
        <v>-5.597559798283685E-3</v>
      </c>
      <c r="K279" s="16">
        <f t="shared" si="14"/>
        <v>1.1958168638967143E-3</v>
      </c>
      <c r="L279" s="16">
        <f t="shared" si="15"/>
        <v>-2.7448064749139363E-4</v>
      </c>
    </row>
    <row r="280" spans="1:12" x14ac:dyDescent="0.35">
      <c r="A280" s="18">
        <v>42657</v>
      </c>
      <c r="B280" s="15">
        <v>184.47711181640619</v>
      </c>
      <c r="C280" s="15">
        <v>64.366073608398438</v>
      </c>
      <c r="D280" s="15">
        <v>119.36000061035161</v>
      </c>
      <c r="E280" s="15">
        <v>110.109245300293</v>
      </c>
      <c r="F280" s="15">
        <v>94.603736877441406</v>
      </c>
      <c r="H280" s="16">
        <f t="shared" si="13"/>
        <v>-3.4780326626411354E-3</v>
      </c>
      <c r="I280" s="16">
        <f t="shared" si="13"/>
        <v>2.1599137232995794E-3</v>
      </c>
      <c r="J280" s="16">
        <f t="shared" si="13"/>
        <v>2.6773752071123816E-3</v>
      </c>
      <c r="K280" s="16">
        <f t="shared" si="14"/>
        <v>-2.7356777934272702E-3</v>
      </c>
      <c r="L280" s="16">
        <f t="shared" si="15"/>
        <v>-2.8384827972150455E-3</v>
      </c>
    </row>
    <row r="281" spans="1:12" x14ac:dyDescent="0.35">
      <c r="A281" s="18">
        <v>42660</v>
      </c>
      <c r="B281" s="15">
        <v>183.83660888671881</v>
      </c>
      <c r="C281" s="15">
        <v>64.5052490234375</v>
      </c>
      <c r="D281" s="15">
        <v>119.6800003051758</v>
      </c>
      <c r="E281" s="15">
        <v>109.8084335327148</v>
      </c>
      <c r="F281" s="15">
        <v>94.335586547851563</v>
      </c>
      <c r="H281" s="16">
        <f t="shared" si="13"/>
        <v>6.2428009632368945E-3</v>
      </c>
      <c r="I281" s="16">
        <f t="shared" si="13"/>
        <v>1.3173130920244834E-3</v>
      </c>
      <c r="J281" s="16">
        <f t="shared" si="13"/>
        <v>6.1641000546333096E-3</v>
      </c>
      <c r="K281" s="16">
        <f t="shared" si="14"/>
        <v>8.8635195766182326E-3</v>
      </c>
      <c r="L281" s="16">
        <f t="shared" si="15"/>
        <v>5.8511416880809419E-3</v>
      </c>
    </row>
    <row r="282" spans="1:12" x14ac:dyDescent="0.35">
      <c r="A282" s="18">
        <v>42661</v>
      </c>
      <c r="B282" s="15">
        <v>184.98785400390619</v>
      </c>
      <c r="C282" s="15">
        <v>64.590278625488281</v>
      </c>
      <c r="D282" s="15">
        <v>120.4199981689453</v>
      </c>
      <c r="E282" s="15">
        <v>110.7860488891602</v>
      </c>
      <c r="F282" s="15">
        <v>94.889175415039063</v>
      </c>
      <c r="H282" s="16">
        <f t="shared" si="13"/>
        <v>2.6635311624358723E-3</v>
      </c>
      <c r="I282" s="16">
        <f t="shared" si="13"/>
        <v>7.1767490590120124E-4</v>
      </c>
      <c r="J282" s="16">
        <f t="shared" si="13"/>
        <v>5.7136117418737442E-3</v>
      </c>
      <c r="K282" s="16">
        <f t="shared" si="14"/>
        <v>-8.484653903871924E-5</v>
      </c>
      <c r="L282" s="16">
        <f t="shared" si="15"/>
        <v>3.185721682391696E-3</v>
      </c>
    </row>
    <row r="283" spans="1:12" x14ac:dyDescent="0.35">
      <c r="A283" s="18">
        <v>42662</v>
      </c>
      <c r="B283" s="15">
        <v>185.4812316894531</v>
      </c>
      <c r="C283" s="15">
        <v>64.636650085449219</v>
      </c>
      <c r="D283" s="15">
        <v>121.11000061035161</v>
      </c>
      <c r="E283" s="15">
        <v>110.7766494750977</v>
      </c>
      <c r="F283" s="15">
        <v>95.191947937011719</v>
      </c>
      <c r="H283" s="16">
        <f t="shared" si="13"/>
        <v>-1.8684410388553269E-3</v>
      </c>
      <c r="I283" s="16">
        <f t="shared" si="13"/>
        <v>-5.982628594933746E-4</v>
      </c>
      <c r="J283" s="16">
        <f t="shared" si="13"/>
        <v>-3.0597728971409085E-3</v>
      </c>
      <c r="K283" s="16">
        <f t="shared" si="14"/>
        <v>-1.1888149166249182E-3</v>
      </c>
      <c r="L283" s="16">
        <f t="shared" si="15"/>
        <v>-1.910214892521291E-3</v>
      </c>
    </row>
    <row r="284" spans="1:12" x14ac:dyDescent="0.35">
      <c r="A284" s="18">
        <v>42663</v>
      </c>
      <c r="B284" s="15">
        <v>185.13499450683591</v>
      </c>
      <c r="C284" s="15">
        <v>64.597991943359375</v>
      </c>
      <c r="D284" s="15">
        <v>120.7399978637695</v>
      </c>
      <c r="E284" s="15">
        <v>110.64503479003911</v>
      </c>
      <c r="F284" s="15">
        <v>95.010284423828125</v>
      </c>
      <c r="H284" s="16">
        <f t="shared" si="13"/>
        <v>4.6696395712979343E-4</v>
      </c>
      <c r="I284" s="16">
        <f t="shared" si="13"/>
        <v>8.3725540966942281E-4</v>
      </c>
      <c r="J284" s="16">
        <f t="shared" si="13"/>
        <v>7.4515851772599402E-4</v>
      </c>
      <c r="K284" s="16">
        <f t="shared" si="14"/>
        <v>3.7309473726203721E-3</v>
      </c>
      <c r="L284" s="16">
        <f t="shared" si="15"/>
        <v>-3.6423010251618798E-4</v>
      </c>
    </row>
    <row r="285" spans="1:12" x14ac:dyDescent="0.35">
      <c r="A285" s="18">
        <v>42664</v>
      </c>
      <c r="B285" s="15">
        <v>185.2214660644531</v>
      </c>
      <c r="C285" s="15">
        <v>64.652099609375</v>
      </c>
      <c r="D285" s="15">
        <v>120.8300018310547</v>
      </c>
      <c r="E285" s="15">
        <v>111.05861663818359</v>
      </c>
      <c r="F285" s="15">
        <v>94.975685119628906</v>
      </c>
      <c r="H285" s="16">
        <f t="shared" si="13"/>
        <v>4.2439995610661658E-3</v>
      </c>
      <c r="I285" s="16">
        <f t="shared" si="13"/>
        <v>-1.4361127548590869E-3</v>
      </c>
      <c r="J285" s="16">
        <f t="shared" si="13"/>
        <v>-2.2370801255000889E-3</v>
      </c>
      <c r="K285" s="16">
        <f t="shared" si="14"/>
        <v>1.1947095805473176E-2</v>
      </c>
      <c r="L285" s="16">
        <f t="shared" si="15"/>
        <v>4.9965524155891217E-3</v>
      </c>
    </row>
    <row r="286" spans="1:12" x14ac:dyDescent="0.35">
      <c r="A286" s="18">
        <v>42667</v>
      </c>
      <c r="B286" s="15">
        <v>186.00921630859381</v>
      </c>
      <c r="C286" s="15">
        <v>64.559318542480469</v>
      </c>
      <c r="D286" s="15">
        <v>120.55999755859381</v>
      </c>
      <c r="E286" s="15">
        <v>112.3934020996094</v>
      </c>
      <c r="F286" s="15">
        <v>95.451423645019531</v>
      </c>
      <c r="H286" s="16">
        <f t="shared" si="13"/>
        <v>-3.3561584050566624E-3</v>
      </c>
      <c r="I286" s="16">
        <f t="shared" si="13"/>
        <v>0</v>
      </c>
      <c r="J286" s="16">
        <f t="shared" si="13"/>
        <v>7.5197946939089527E-3</v>
      </c>
      <c r="K286" s="16">
        <f t="shared" si="14"/>
        <v>-3.1831890132403679E-3</v>
      </c>
      <c r="L286" s="16">
        <f t="shared" si="15"/>
        <v>-4.2682248258233205E-3</v>
      </c>
    </row>
    <row r="287" spans="1:12" x14ac:dyDescent="0.35">
      <c r="A287" s="18">
        <v>42668</v>
      </c>
      <c r="B287" s="15">
        <v>185.385986328125</v>
      </c>
      <c r="C287" s="15">
        <v>64.559318542480469</v>
      </c>
      <c r="D287" s="15">
        <v>121.4700012207031</v>
      </c>
      <c r="E287" s="15">
        <v>112.0362014770508</v>
      </c>
      <c r="F287" s="15">
        <v>95.044883728027344</v>
      </c>
      <c r="H287" s="16">
        <f t="shared" si="13"/>
        <v>-2.0097624352988001E-3</v>
      </c>
      <c r="I287" s="16">
        <f t="shared" si="13"/>
        <v>-1.796595823301146E-3</v>
      </c>
      <c r="J287" s="16">
        <f t="shared" si="13"/>
        <v>-5.6138205649169945E-3</v>
      </c>
      <c r="K287" s="16">
        <f t="shared" si="14"/>
        <v>-6.8191320143535759E-3</v>
      </c>
      <c r="L287" s="16">
        <f t="shared" si="15"/>
        <v>-3.0078769665330398E-3</v>
      </c>
    </row>
    <row r="288" spans="1:12" x14ac:dyDescent="0.35">
      <c r="A288" s="18">
        <v>42669</v>
      </c>
      <c r="B288" s="15">
        <v>185.01377868652341</v>
      </c>
      <c r="C288" s="15">
        <v>64.443435668945313</v>
      </c>
      <c r="D288" s="15">
        <v>120.7900009155273</v>
      </c>
      <c r="E288" s="15">
        <v>111.2748107910156</v>
      </c>
      <c r="F288" s="15">
        <v>94.759429931640625</v>
      </c>
      <c r="H288" s="16">
        <f t="shared" si="13"/>
        <v>-2.6702697927785822E-3</v>
      </c>
      <c r="I288" s="16">
        <f t="shared" si="13"/>
        <v>-2.7634626644503406E-3</v>
      </c>
      <c r="J288" s="16">
        <f t="shared" si="13"/>
        <v>1.8196962666167697E-3</v>
      </c>
      <c r="K288" s="16">
        <f t="shared" si="14"/>
        <v>-4.5720364833380196E-3</v>
      </c>
      <c r="L288" s="16">
        <f t="shared" si="15"/>
        <v>-3.3829265846246053E-3</v>
      </c>
    </row>
    <row r="289" spans="1:12" x14ac:dyDescent="0.35">
      <c r="A289" s="18">
        <v>42670</v>
      </c>
      <c r="B289" s="15">
        <v>184.52040100097659</v>
      </c>
      <c r="C289" s="15">
        <v>64.265594482421875</v>
      </c>
      <c r="D289" s="15">
        <v>121.0100021362305</v>
      </c>
      <c r="E289" s="15">
        <v>110.767219543457</v>
      </c>
      <c r="F289" s="15">
        <v>94.439407348632813</v>
      </c>
      <c r="H289" s="16">
        <f t="shared" si="13"/>
        <v>-2.9598710918852522E-3</v>
      </c>
      <c r="I289" s="16">
        <f t="shared" si="13"/>
        <v>-4.8115550444183816E-4</v>
      </c>
      <c r="J289" s="16">
        <f t="shared" si="13"/>
        <v>4.6992929177695313E-3</v>
      </c>
      <c r="K289" s="16">
        <f t="shared" si="14"/>
        <v>-6.2993127516305231E-3</v>
      </c>
      <c r="L289" s="16">
        <f t="shared" si="15"/>
        <v>-3.3030582624368845E-3</v>
      </c>
    </row>
    <row r="290" spans="1:12" x14ac:dyDescent="0.35">
      <c r="A290" s="18">
        <v>42671</v>
      </c>
      <c r="B290" s="15">
        <v>183.97505187988281</v>
      </c>
      <c r="C290" s="15">
        <v>64.23468017578125</v>
      </c>
      <c r="D290" s="15">
        <v>121.5800018310547</v>
      </c>
      <c r="E290" s="15">
        <v>110.0716552734375</v>
      </c>
      <c r="F290" s="15">
        <v>94.127983093261719</v>
      </c>
      <c r="H290" s="16">
        <f t="shared" si="13"/>
        <v>4.719143180311568E-5</v>
      </c>
      <c r="I290" s="16">
        <f t="shared" si="13"/>
        <v>1.0831050224729278E-3</v>
      </c>
      <c r="J290" s="16">
        <f t="shared" si="13"/>
        <v>2.9566431199735863E-3</v>
      </c>
      <c r="K290" s="16">
        <f t="shared" si="14"/>
        <v>-9.3970158441576538E-4</v>
      </c>
      <c r="L290" s="16">
        <f t="shared" si="15"/>
        <v>6.4327611982445496E-4</v>
      </c>
    </row>
    <row r="291" spans="1:12" x14ac:dyDescent="0.35">
      <c r="A291" s="18">
        <v>42674</v>
      </c>
      <c r="B291" s="15">
        <v>183.9837341308594</v>
      </c>
      <c r="C291" s="15">
        <v>64.304290771484375</v>
      </c>
      <c r="D291" s="15">
        <v>121.94000244140619</v>
      </c>
      <c r="E291" s="15">
        <v>109.9682693481445</v>
      </c>
      <c r="F291" s="15">
        <v>94.188552856445313</v>
      </c>
      <c r="H291" s="16">
        <f t="shared" si="13"/>
        <v>-7.2717895286458015E-3</v>
      </c>
      <c r="I291" s="16">
        <f t="shared" si="13"/>
        <v>-3.2561539698548183E-4</v>
      </c>
      <c r="J291" s="16">
        <f t="shared" si="13"/>
        <v>6.4577074605583658E-3</v>
      </c>
      <c r="K291" s="16">
        <f t="shared" si="14"/>
        <v>-7.5503413222145072E-3</v>
      </c>
      <c r="L291" s="16">
        <f t="shared" si="15"/>
        <v>-7.4664776056680635E-3</v>
      </c>
    </row>
    <row r="292" spans="1:12" x14ac:dyDescent="0.35">
      <c r="A292" s="18">
        <v>42675</v>
      </c>
      <c r="B292" s="15">
        <v>182.65069580078119</v>
      </c>
      <c r="C292" s="15">
        <v>64.283355712890625</v>
      </c>
      <c r="D292" s="15">
        <v>122.73000335693359</v>
      </c>
      <c r="E292" s="15">
        <v>109.14109802246089</v>
      </c>
      <c r="F292" s="15">
        <v>93.4879150390625</v>
      </c>
      <c r="H292" s="16">
        <f t="shared" si="13"/>
        <v>-6.0367997643737785E-3</v>
      </c>
      <c r="I292" s="16">
        <f t="shared" si="13"/>
        <v>9.630114458586684E-4</v>
      </c>
      <c r="J292" s="16">
        <f t="shared" si="13"/>
        <v>7.3872643657924798E-3</v>
      </c>
      <c r="K292" s="16">
        <f t="shared" si="14"/>
        <v>-8.0420558272676999E-3</v>
      </c>
      <c r="L292" s="16">
        <f t="shared" si="15"/>
        <v>-6.963674669245374E-3</v>
      </c>
    </row>
    <row r="293" spans="1:12" x14ac:dyDescent="0.35">
      <c r="A293" s="18">
        <v>42676</v>
      </c>
      <c r="B293" s="15">
        <v>181.5513916015625</v>
      </c>
      <c r="C293" s="15">
        <v>64.345291137695313</v>
      </c>
      <c r="D293" s="15">
        <v>123.63999938964839</v>
      </c>
      <c r="E293" s="15">
        <v>108.2668991088867</v>
      </c>
      <c r="F293" s="15">
        <v>92.839157104492188</v>
      </c>
      <c r="H293" s="16">
        <f t="shared" si="13"/>
        <v>-4.5878576336497272E-3</v>
      </c>
      <c r="I293" s="16">
        <f t="shared" si="13"/>
        <v>-6.0156584464794217E-4</v>
      </c>
      <c r="J293" s="16">
        <f t="shared" si="13"/>
        <v>5.3239107408228955E-3</v>
      </c>
      <c r="K293" s="16">
        <f t="shared" si="14"/>
        <v>-9.859193299242704E-3</v>
      </c>
      <c r="L293" s="16">
        <f t="shared" si="15"/>
        <v>-4.3886686701668743E-3</v>
      </c>
    </row>
    <row r="294" spans="1:12" x14ac:dyDescent="0.35">
      <c r="A294" s="18">
        <v>42677</v>
      </c>
      <c r="B294" s="15">
        <v>180.7203674316406</v>
      </c>
      <c r="C294" s="15">
        <v>64.306594848632813</v>
      </c>
      <c r="D294" s="15">
        <v>124.3000030517578</v>
      </c>
      <c r="E294" s="15">
        <v>107.204719543457</v>
      </c>
      <c r="F294" s="15">
        <v>92.432609558105469</v>
      </c>
      <c r="H294" s="16">
        <f t="shared" si="13"/>
        <v>-1.1020374021272767E-3</v>
      </c>
      <c r="I294" s="16">
        <f t="shared" si="13"/>
        <v>1.804323539435083E-3</v>
      </c>
      <c r="J294" s="16">
        <f t="shared" si="13"/>
        <v>7.2376324689923781E-4</v>
      </c>
      <c r="K294" s="16">
        <f t="shared" si="14"/>
        <v>-3.5132539070033427E-3</v>
      </c>
      <c r="L294" s="16">
        <f t="shared" si="15"/>
        <v>-6.5533526103244279E-4</v>
      </c>
    </row>
    <row r="295" spans="1:12" x14ac:dyDescent="0.35">
      <c r="A295" s="18">
        <v>42678</v>
      </c>
      <c r="B295" s="15">
        <v>180.52131652832031</v>
      </c>
      <c r="C295" s="15">
        <v>64.4227294921875</v>
      </c>
      <c r="D295" s="15">
        <v>124.38999938964839</v>
      </c>
      <c r="E295" s="15">
        <v>106.828742980957</v>
      </c>
      <c r="F295" s="15">
        <v>92.372055053710938</v>
      </c>
      <c r="H295" s="16">
        <f t="shared" si="13"/>
        <v>2.1817301530885846E-2</v>
      </c>
      <c r="I295" s="16">
        <f t="shared" si="13"/>
        <v>-1.3228758993078368E-3</v>
      </c>
      <c r="J295" s="16">
        <f t="shared" si="13"/>
        <v>-1.817197611952074E-2</v>
      </c>
      <c r="K295" s="16">
        <f t="shared" si="14"/>
        <v>2.3479150549004152E-2</v>
      </c>
      <c r="L295" s="16">
        <f t="shared" si="15"/>
        <v>2.1858823724987025E-2</v>
      </c>
    </row>
    <row r="296" spans="1:12" x14ac:dyDescent="0.35">
      <c r="A296" s="18">
        <v>42681</v>
      </c>
      <c r="B296" s="15">
        <v>184.5030822753906</v>
      </c>
      <c r="C296" s="15">
        <v>64.337562561035156</v>
      </c>
      <c r="D296" s="15">
        <v>122.15000152587891</v>
      </c>
      <c r="E296" s="15">
        <v>109.3666687011719</v>
      </c>
      <c r="F296" s="15">
        <v>94.413429260253906</v>
      </c>
      <c r="H296" s="16">
        <f t="shared" si="13"/>
        <v>4.4935959442251932E-3</v>
      </c>
      <c r="I296" s="16">
        <f t="shared" si="13"/>
        <v>-1.8071893671782354E-3</v>
      </c>
      <c r="J296" s="16">
        <f t="shared" si="13"/>
        <v>-4.1839524041191083E-3</v>
      </c>
      <c r="K296" s="16">
        <f t="shared" si="14"/>
        <v>6.5106467235550372E-3</v>
      </c>
      <c r="L296" s="16">
        <f t="shared" si="15"/>
        <v>4.2967102615178417E-3</v>
      </c>
    </row>
    <row r="297" spans="1:12" x14ac:dyDescent="0.35">
      <c r="A297" s="18">
        <v>42682</v>
      </c>
      <c r="B297" s="15">
        <v>185.33403015136719</v>
      </c>
      <c r="C297" s="15">
        <v>64.221397399902344</v>
      </c>
      <c r="D297" s="15">
        <v>121.63999938964839</v>
      </c>
      <c r="E297" s="15">
        <v>110.08103942871089</v>
      </c>
      <c r="F297" s="15">
        <v>94.819969177246094</v>
      </c>
      <c r="H297" s="16">
        <f t="shared" si="13"/>
        <v>1.0546483515122392E-2</v>
      </c>
      <c r="I297" s="16">
        <f t="shared" si="13"/>
        <v>-9.9379913471352773E-3</v>
      </c>
      <c r="J297" s="16">
        <f t="shared" si="13"/>
        <v>-6.5790982684353909E-4</v>
      </c>
      <c r="K297" s="16">
        <f t="shared" si="14"/>
        <v>4.6004704004173856E-3</v>
      </c>
      <c r="L297" s="16">
        <f t="shared" si="15"/>
        <v>1.2330408738980234E-2</v>
      </c>
    </row>
    <row r="298" spans="1:12" x14ac:dyDescent="0.35">
      <c r="A298" s="18">
        <v>42683</v>
      </c>
      <c r="B298" s="15">
        <v>187.29899597167969</v>
      </c>
      <c r="C298" s="15">
        <v>63.586326599121087</v>
      </c>
      <c r="D298" s="15">
        <v>121.55999755859381</v>
      </c>
      <c r="E298" s="15">
        <v>110.5886306762695</v>
      </c>
      <c r="F298" s="15">
        <v>95.996376037597656</v>
      </c>
      <c r="H298" s="16">
        <f t="shared" si="13"/>
        <v>2.4925676916787453E-3</v>
      </c>
      <c r="I298" s="16">
        <f t="shared" si="13"/>
        <v>-4.272956971755483E-3</v>
      </c>
      <c r="J298" s="16">
        <f t="shared" si="13"/>
        <v>-1.5001711673607416E-2</v>
      </c>
      <c r="K298" s="16">
        <f t="shared" si="14"/>
        <v>-1.6281381767279592E-2</v>
      </c>
      <c r="L298" s="16">
        <f t="shared" si="15"/>
        <v>3.5078653845228738E-3</v>
      </c>
    </row>
    <row r="299" spans="1:12" x14ac:dyDescent="0.35">
      <c r="A299" s="18">
        <v>42684</v>
      </c>
      <c r="B299" s="15">
        <v>187.76643371582031</v>
      </c>
      <c r="C299" s="15">
        <v>63.315204620361328</v>
      </c>
      <c r="D299" s="15">
        <v>119.75</v>
      </c>
      <c r="E299" s="15">
        <v>108.80267333984381</v>
      </c>
      <c r="F299" s="15">
        <v>96.333709716796875</v>
      </c>
      <c r="H299" s="16">
        <f t="shared" si="13"/>
        <v>-2.3077349185831979E-3</v>
      </c>
      <c r="I299" s="16">
        <f t="shared" si="13"/>
        <v>-1.8360349130479947E-3</v>
      </c>
      <c r="J299" s="16">
        <f t="shared" si="13"/>
        <v>-2.2377978717915834E-2</v>
      </c>
      <c r="K299" s="16">
        <f t="shared" si="14"/>
        <v>4.3185449081841121E-4</v>
      </c>
      <c r="L299" s="16">
        <f t="shared" si="15"/>
        <v>3.5909644120652736E-4</v>
      </c>
    </row>
    <row r="300" spans="1:12" x14ac:dyDescent="0.35">
      <c r="A300" s="18">
        <v>42685</v>
      </c>
      <c r="B300" s="15">
        <v>187.3336181640625</v>
      </c>
      <c r="C300" s="15">
        <v>63.199062347412109</v>
      </c>
      <c r="D300" s="15">
        <v>117.09999847412109</v>
      </c>
      <c r="E300" s="15">
        <v>108.84967041015619</v>
      </c>
      <c r="F300" s="15">
        <v>96.368309020996094</v>
      </c>
      <c r="H300" s="16">
        <f t="shared" si="13"/>
        <v>7.8513802876150468E-4</v>
      </c>
      <c r="I300" s="16">
        <f t="shared" si="13"/>
        <v>-3.806416193884431E-3</v>
      </c>
      <c r="J300" s="16">
        <f t="shared" si="13"/>
        <v>-8.4902346775269817E-3</v>
      </c>
      <c r="K300" s="16">
        <f t="shared" si="14"/>
        <v>-1.0155022055939954E-2</v>
      </c>
      <c r="L300" s="16">
        <f t="shared" si="15"/>
        <v>2.5994617339863834E-3</v>
      </c>
    </row>
    <row r="301" spans="1:12" x14ac:dyDescent="0.35">
      <c r="A301" s="18">
        <v>42688</v>
      </c>
      <c r="B301" s="15">
        <v>187.48075866699219</v>
      </c>
      <c r="C301" s="15">
        <v>62.958957672119141</v>
      </c>
      <c r="D301" s="15">
        <v>116.11000061035161</v>
      </c>
      <c r="E301" s="15">
        <v>107.74989318847661</v>
      </c>
      <c r="F301" s="15">
        <v>96.619140625</v>
      </c>
      <c r="H301" s="16">
        <f t="shared" si="13"/>
        <v>7.7723567321240491E-3</v>
      </c>
      <c r="I301" s="16">
        <f t="shared" si="13"/>
        <v>1.3524282704509157E-3</v>
      </c>
      <c r="J301" s="16">
        <f t="shared" si="13"/>
        <v>8.6610507684268881E-3</v>
      </c>
      <c r="K301" s="16">
        <f t="shared" si="14"/>
        <v>1.377539531373452E-2</v>
      </c>
      <c r="L301" s="16">
        <f t="shared" si="15"/>
        <v>7.7587130773640409E-3</v>
      </c>
    </row>
    <row r="302" spans="1:12" x14ac:dyDescent="0.35">
      <c r="A302" s="18">
        <v>42689</v>
      </c>
      <c r="B302" s="15">
        <v>188.943603515625</v>
      </c>
      <c r="C302" s="15">
        <v>63.044162750244141</v>
      </c>
      <c r="D302" s="15">
        <v>117.120002746582</v>
      </c>
      <c r="E302" s="15">
        <v>109.2444610595703</v>
      </c>
      <c r="F302" s="15">
        <v>97.371696472167969</v>
      </c>
      <c r="H302" s="16">
        <f t="shared" si="13"/>
        <v>-1.8797221374000526E-3</v>
      </c>
      <c r="I302" s="16">
        <f t="shared" si="13"/>
        <v>2.0862070008028453E-3</v>
      </c>
      <c r="J302" s="16">
        <f t="shared" si="13"/>
        <v>-2.992914324639352E-3</v>
      </c>
      <c r="K302" s="16">
        <f t="shared" si="14"/>
        <v>5.9194975361786433E-3</v>
      </c>
      <c r="L302" s="16">
        <f t="shared" si="15"/>
        <v>-1.4221046601783055E-3</v>
      </c>
    </row>
    <row r="303" spans="1:12" x14ac:dyDescent="0.35">
      <c r="A303" s="18">
        <v>42690</v>
      </c>
      <c r="B303" s="15">
        <v>188.5887756347656</v>
      </c>
      <c r="C303" s="15">
        <v>63.175823211669922</v>
      </c>
      <c r="D303" s="15">
        <v>116.76999664306641</v>
      </c>
      <c r="E303" s="15">
        <v>109.89305114746089</v>
      </c>
      <c r="F303" s="15">
        <v>97.233322143554688</v>
      </c>
      <c r="H303" s="16">
        <f t="shared" si="13"/>
        <v>5.127070377332823E-3</v>
      </c>
      <c r="I303" s="16">
        <f t="shared" si="13"/>
        <v>-4.0542396085801033E-3</v>
      </c>
      <c r="J303" s="16">
        <f t="shared" si="13"/>
        <v>-5.1515395758410919E-3</v>
      </c>
      <c r="K303" s="16">
        <f t="shared" si="14"/>
        <v>7.2444337731332777E-3</v>
      </c>
      <c r="L303" s="16">
        <f t="shared" si="15"/>
        <v>5.0576631737921426E-3</v>
      </c>
    </row>
    <row r="304" spans="1:12" x14ac:dyDescent="0.35">
      <c r="A304" s="18">
        <v>42691</v>
      </c>
      <c r="B304" s="15">
        <v>189.55816650390619</v>
      </c>
      <c r="C304" s="15">
        <v>62.920211791992188</v>
      </c>
      <c r="D304" s="15">
        <v>116.1699981689453</v>
      </c>
      <c r="E304" s="15">
        <v>110.6920547485352</v>
      </c>
      <c r="F304" s="15">
        <v>97.726341247558594</v>
      </c>
      <c r="H304" s="16">
        <f t="shared" si="13"/>
        <v>-2.2398292156984986E-3</v>
      </c>
      <c r="I304" s="16">
        <f t="shared" si="13"/>
        <v>-2.4650592827936556E-3</v>
      </c>
      <c r="J304" s="16">
        <f t="shared" si="13"/>
        <v>-8.818980245606161E-3</v>
      </c>
      <c r="K304" s="16">
        <f t="shared" si="14"/>
        <v>-3.743533281048054E-3</v>
      </c>
      <c r="L304" s="16">
        <f t="shared" si="15"/>
        <v>-1.8604736488102432E-3</v>
      </c>
    </row>
    <row r="305" spans="1:12" x14ac:dyDescent="0.35">
      <c r="A305" s="18">
        <v>42692</v>
      </c>
      <c r="B305" s="15">
        <v>189.1340637207031</v>
      </c>
      <c r="C305" s="15">
        <v>62.765300750732422</v>
      </c>
      <c r="D305" s="15">
        <v>115.15000152587891</v>
      </c>
      <c r="E305" s="15">
        <v>110.278450012207</v>
      </c>
      <c r="F305" s="15">
        <v>97.544692993164063</v>
      </c>
      <c r="H305" s="16">
        <f t="shared" si="13"/>
        <v>7.5230082765304507E-3</v>
      </c>
      <c r="I305" s="16">
        <f t="shared" si="13"/>
        <v>-1.2289898666961065E-4</v>
      </c>
      <c r="J305" s="16">
        <f t="shared" si="13"/>
        <v>3.7273072140241044E-3</v>
      </c>
      <c r="K305" s="16">
        <f t="shared" si="14"/>
        <v>1.0345063904420438E-2</v>
      </c>
      <c r="L305" s="16">
        <f t="shared" si="15"/>
        <v>7.5092515499477356E-3</v>
      </c>
    </row>
    <row r="306" spans="1:12" x14ac:dyDescent="0.35">
      <c r="A306" s="18">
        <v>42695</v>
      </c>
      <c r="B306" s="15">
        <v>190.5622863769531</v>
      </c>
      <c r="C306" s="15">
        <v>62.757587432861328</v>
      </c>
      <c r="D306" s="15">
        <v>115.5800018310547</v>
      </c>
      <c r="E306" s="15">
        <v>111.4252090454102</v>
      </c>
      <c r="F306" s="15">
        <v>98.279937744140625</v>
      </c>
      <c r="H306" s="16">
        <f t="shared" si="13"/>
        <v>1.9512223164747937E-3</v>
      </c>
      <c r="I306" s="16">
        <f t="shared" si="13"/>
        <v>8.6319469949408588E-4</v>
      </c>
      <c r="J306" s="16">
        <f t="shared" si="13"/>
        <v>-3.4614845492771833E-4</v>
      </c>
      <c r="K306" s="16">
        <f t="shared" si="14"/>
        <v>3.0327696803111571E-3</v>
      </c>
      <c r="L306" s="16">
        <f t="shared" si="15"/>
        <v>2.9002098162250779E-3</v>
      </c>
    </row>
    <row r="307" spans="1:12" x14ac:dyDescent="0.35">
      <c r="A307" s="18">
        <v>42696</v>
      </c>
      <c r="B307" s="15">
        <v>190.9344787597656</v>
      </c>
      <c r="C307" s="15">
        <v>62.811782836914063</v>
      </c>
      <c r="D307" s="15">
        <v>115.5400009155273</v>
      </c>
      <c r="E307" s="15">
        <v>111.76364898681641</v>
      </c>
      <c r="F307" s="15">
        <v>98.565383911132813</v>
      </c>
      <c r="H307" s="16">
        <f t="shared" si="13"/>
        <v>5.440025176332334E-4</v>
      </c>
      <c r="I307" s="16">
        <f t="shared" si="13"/>
        <v>-2.592431532967373E-3</v>
      </c>
      <c r="J307" s="16">
        <f t="shared" si="13"/>
        <v>-2.0019033913875096E-2</v>
      </c>
      <c r="K307" s="16">
        <f t="shared" si="14"/>
        <v>-4.0456260541708823E-3</v>
      </c>
      <c r="L307" s="16">
        <f t="shared" si="15"/>
        <v>1.4032855825787042E-3</v>
      </c>
    </row>
    <row r="308" spans="1:12" x14ac:dyDescent="0.35">
      <c r="A308" s="18">
        <v>42697</v>
      </c>
      <c r="B308" s="15">
        <v>191.03837585449219</v>
      </c>
      <c r="C308" s="15">
        <v>62.649158477783203</v>
      </c>
      <c r="D308" s="15">
        <v>113.25</v>
      </c>
      <c r="E308" s="15">
        <v>111.3124084472656</v>
      </c>
      <c r="F308" s="15">
        <v>98.70379638671875</v>
      </c>
      <c r="H308" s="16">
        <f t="shared" si="13"/>
        <v>3.708482878629417E-3</v>
      </c>
      <c r="I308" s="16">
        <f t="shared" si="13"/>
        <v>3.7032432109470481E-4</v>
      </c>
      <c r="J308" s="16">
        <f t="shared" si="13"/>
        <v>-5.6672372341611812E-3</v>
      </c>
      <c r="K308" s="16">
        <f t="shared" si="14"/>
        <v>3.2036491597143744E-3</v>
      </c>
      <c r="L308" s="16">
        <f t="shared" si="15"/>
        <v>3.8484888842372279E-3</v>
      </c>
    </row>
    <row r="309" spans="1:12" x14ac:dyDescent="0.35">
      <c r="A309" s="18">
        <v>42699</v>
      </c>
      <c r="B309" s="15">
        <v>191.74815368652341</v>
      </c>
      <c r="C309" s="15">
        <v>62.67236328125</v>
      </c>
      <c r="D309" s="15">
        <v>112.61000061035161</v>
      </c>
      <c r="E309" s="15">
        <v>111.6695861816406</v>
      </c>
      <c r="F309" s="15">
        <v>99.084388732910156</v>
      </c>
      <c r="H309" s="16">
        <f t="shared" si="13"/>
        <v>-4.7057938180518439E-3</v>
      </c>
      <c r="I309" s="16">
        <f t="shared" si="13"/>
        <v>2.3456895863168715E-3</v>
      </c>
      <c r="J309" s="16">
        <f t="shared" si="13"/>
        <v>1.051202138010039E-2</v>
      </c>
      <c r="K309" s="16">
        <f t="shared" si="14"/>
        <v>-2.2749471751777558E-3</v>
      </c>
      <c r="L309" s="16">
        <f t="shared" si="15"/>
        <v>-5.7784178567959234E-3</v>
      </c>
    </row>
    <row r="310" spans="1:12" x14ac:dyDescent="0.35">
      <c r="A310" s="18">
        <v>42702</v>
      </c>
      <c r="B310" s="15">
        <v>190.84794616699219</v>
      </c>
      <c r="C310" s="15">
        <v>62.819545745849609</v>
      </c>
      <c r="D310" s="15">
        <v>113.8000030517578</v>
      </c>
      <c r="E310" s="15">
        <v>111.41583251953119</v>
      </c>
      <c r="F310" s="15">
        <v>98.51348876953125</v>
      </c>
      <c r="H310" s="16">
        <f t="shared" si="13"/>
        <v>1.9483843815977038E-3</v>
      </c>
      <c r="I310" s="16">
        <f t="shared" si="13"/>
        <v>7.394139809076256E-4</v>
      </c>
      <c r="J310" s="16">
        <f t="shared" si="13"/>
        <v>-4.6682289330247208E-3</v>
      </c>
      <c r="K310" s="16">
        <f t="shared" si="14"/>
        <v>3.4528613179143604E-3</v>
      </c>
      <c r="L310" s="16">
        <f t="shared" si="15"/>
        <v>1.403946953068473E-3</v>
      </c>
    </row>
    <row r="311" spans="1:12" x14ac:dyDescent="0.35">
      <c r="A311" s="18">
        <v>42703</v>
      </c>
      <c r="B311" s="15">
        <v>191.22015380859381</v>
      </c>
      <c r="C311" s="15">
        <v>62.866012573242188</v>
      </c>
      <c r="D311" s="15">
        <v>113.26999664306641</v>
      </c>
      <c r="E311" s="15">
        <v>111.8012008666992</v>
      </c>
      <c r="F311" s="15">
        <v>98.651893615722656</v>
      </c>
      <c r="H311" s="16">
        <f t="shared" si="13"/>
        <v>-2.4020583628516978E-3</v>
      </c>
      <c r="I311" s="16">
        <f t="shared" si="13"/>
        <v>-3.4554278883193192E-3</v>
      </c>
      <c r="J311" s="16">
        <f t="shared" si="13"/>
        <v>-1.3510086082379656E-2</v>
      </c>
      <c r="K311" s="16">
        <f t="shared" si="14"/>
        <v>-1.2180813282686642E-2</v>
      </c>
      <c r="L311" s="16">
        <f t="shared" si="15"/>
        <v>-2.3699998933275524E-3</v>
      </c>
    </row>
    <row r="312" spans="1:12" x14ac:dyDescent="0.35">
      <c r="A312" s="18">
        <v>42704</v>
      </c>
      <c r="B312" s="15">
        <v>190.7613830566406</v>
      </c>
      <c r="C312" s="15">
        <v>62.649158477783203</v>
      </c>
      <c r="D312" s="15">
        <v>111.75</v>
      </c>
      <c r="E312" s="15">
        <v>110.4476318359375</v>
      </c>
      <c r="F312" s="15">
        <v>98.418365478515625</v>
      </c>
      <c r="H312" s="16">
        <f t="shared" si="13"/>
        <v>-3.682179882359032E-3</v>
      </c>
      <c r="I312" s="16">
        <f t="shared" si="13"/>
        <v>-3.7230288433096432E-3</v>
      </c>
      <c r="J312" s="16">
        <f t="shared" si="13"/>
        <v>-1.8809543242080493E-3</v>
      </c>
      <c r="K312" s="16">
        <f t="shared" si="14"/>
        <v>-1.742735073769203E-2</v>
      </c>
      <c r="L312" s="16">
        <f t="shared" si="15"/>
        <v>-4.1398321901186634E-3</v>
      </c>
    </row>
    <row r="313" spans="1:12" x14ac:dyDescent="0.35">
      <c r="A313" s="18">
        <v>42705</v>
      </c>
      <c r="B313" s="15">
        <v>190.06025695800781</v>
      </c>
      <c r="C313" s="15">
        <v>62.416347503662109</v>
      </c>
      <c r="D313" s="15">
        <v>111.5400009155273</v>
      </c>
      <c r="E313" s="15">
        <v>108.5394973754883</v>
      </c>
      <c r="F313" s="15">
        <v>98.011772155761719</v>
      </c>
      <c r="H313" s="16">
        <f t="shared" si="13"/>
        <v>5.008464328972133E-4</v>
      </c>
      <c r="I313" s="16">
        <f t="shared" si="13"/>
        <v>3.5992321351270193E-3</v>
      </c>
      <c r="J313" s="16">
        <f t="shared" si="13"/>
        <v>5.3648060832919026E-3</v>
      </c>
      <c r="K313" s="16">
        <f t="shared" si="14"/>
        <v>1.9898666441623119E-3</v>
      </c>
      <c r="L313" s="16">
        <f t="shared" si="15"/>
        <v>0</v>
      </c>
    </row>
    <row r="314" spans="1:12" x14ac:dyDescent="0.35">
      <c r="A314" s="18">
        <v>42706</v>
      </c>
      <c r="B314" s="15">
        <v>190.15547180175781</v>
      </c>
      <c r="C314" s="15">
        <v>62.641403198242188</v>
      </c>
      <c r="D314" s="15">
        <v>112.13999938964839</v>
      </c>
      <c r="E314" s="15">
        <v>108.7556915283203</v>
      </c>
      <c r="F314" s="15">
        <v>98.011772155761719</v>
      </c>
      <c r="H314" s="16">
        <f t="shared" si="13"/>
        <v>5.9905926346395365E-3</v>
      </c>
      <c r="I314" s="16">
        <f t="shared" si="13"/>
        <v>1.2376429013508715E-3</v>
      </c>
      <c r="J314" s="16">
        <f t="shared" si="13"/>
        <v>-5.3648060832917717E-3</v>
      </c>
      <c r="K314" s="16">
        <f t="shared" si="14"/>
        <v>7.7486008505632236E-3</v>
      </c>
      <c r="L314" s="16">
        <f t="shared" si="15"/>
        <v>6.9480021540237503E-3</v>
      </c>
    </row>
    <row r="315" spans="1:12" x14ac:dyDescent="0.35">
      <c r="A315" s="18">
        <v>42709</v>
      </c>
      <c r="B315" s="15">
        <v>191.29803466796881</v>
      </c>
      <c r="C315" s="15">
        <v>62.718978881835938</v>
      </c>
      <c r="D315" s="15">
        <v>111.5400009155273</v>
      </c>
      <c r="E315" s="15">
        <v>109.60166931152339</v>
      </c>
      <c r="F315" s="15">
        <v>98.69512939453125</v>
      </c>
      <c r="H315" s="16">
        <f t="shared" si="13"/>
        <v>3.1626804104342675E-3</v>
      </c>
      <c r="I315" s="16">
        <f t="shared" si="13"/>
        <v>-1.229897608013425E-4</v>
      </c>
      <c r="J315" s="16">
        <f t="shared" si="13"/>
        <v>-9.8668537178567902E-4</v>
      </c>
      <c r="K315" s="16">
        <f t="shared" si="14"/>
        <v>2.3983256944553849E-3</v>
      </c>
      <c r="L315" s="16">
        <f t="shared" si="15"/>
        <v>5.0705449538836376E-3</v>
      </c>
    </row>
    <row r="316" spans="1:12" x14ac:dyDescent="0.35">
      <c r="A316" s="18">
        <v>42710</v>
      </c>
      <c r="B316" s="15">
        <v>191.90400695800781</v>
      </c>
      <c r="C316" s="15">
        <v>62.711265563964837</v>
      </c>
      <c r="D316" s="15">
        <v>111.4300003051758</v>
      </c>
      <c r="E316" s="15">
        <v>109.86484527587891</v>
      </c>
      <c r="F316" s="15">
        <v>99.19683837890625</v>
      </c>
      <c r="H316" s="16">
        <f t="shared" si="13"/>
        <v>1.2995807475206692E-2</v>
      </c>
      <c r="I316" s="16">
        <f t="shared" si="13"/>
        <v>2.3481808204488799E-3</v>
      </c>
      <c r="J316" s="16">
        <f t="shared" si="13"/>
        <v>3.583283615967707E-3</v>
      </c>
      <c r="K316" s="16">
        <f t="shared" si="14"/>
        <v>1.2583234390511427E-2</v>
      </c>
      <c r="L316" s="16">
        <f t="shared" si="15"/>
        <v>1.2306055654592758E-2</v>
      </c>
    </row>
    <row r="317" spans="1:12" x14ac:dyDescent="0.35">
      <c r="A317" s="18">
        <v>42711</v>
      </c>
      <c r="B317" s="15">
        <v>194.41423034667969</v>
      </c>
      <c r="C317" s="15">
        <v>62.858695983886719</v>
      </c>
      <c r="D317" s="15">
        <v>111.8300018310547</v>
      </c>
      <c r="E317" s="15">
        <v>111.2560348510742</v>
      </c>
      <c r="F317" s="15">
        <v>100.4251022338867</v>
      </c>
      <c r="H317" s="16">
        <f t="shared" si="13"/>
        <v>2.4457688692063584E-3</v>
      </c>
      <c r="I317" s="16">
        <f t="shared" si="13"/>
        <v>-1.977919152885007E-3</v>
      </c>
      <c r="J317" s="16">
        <f t="shared" si="13"/>
        <v>-2.32768354384927E-3</v>
      </c>
      <c r="K317" s="16">
        <f t="shared" si="14"/>
        <v>1.7724662798382512E-3</v>
      </c>
      <c r="L317" s="16">
        <f t="shared" si="15"/>
        <v>3.6110589180181332E-3</v>
      </c>
    </row>
    <row r="318" spans="1:12" x14ac:dyDescent="0.35">
      <c r="A318" s="18">
        <v>42712</v>
      </c>
      <c r="B318" s="15">
        <v>194.89030456542969</v>
      </c>
      <c r="C318" s="15">
        <v>62.734489440917969</v>
      </c>
      <c r="D318" s="15">
        <v>111.5699996948242</v>
      </c>
      <c r="E318" s="15">
        <v>111.4534072875977</v>
      </c>
      <c r="F318" s="15">
        <v>100.7883987426758</v>
      </c>
      <c r="H318" s="16">
        <f t="shared" si="13"/>
        <v>6.0221530132351514E-3</v>
      </c>
      <c r="I318" s="16">
        <f t="shared" si="13"/>
        <v>-2.9729526882267248E-3</v>
      </c>
      <c r="J318" s="16">
        <f t="shared" si="13"/>
        <v>-1.0542046205441233E-2</v>
      </c>
      <c r="K318" s="16">
        <f t="shared" si="14"/>
        <v>7.8130253049115382E-3</v>
      </c>
      <c r="L318" s="16">
        <f t="shared" si="15"/>
        <v>5.3921806596432644E-3</v>
      </c>
    </row>
    <row r="319" spans="1:12" x14ac:dyDescent="0.35">
      <c r="A319" s="18">
        <v>42713</v>
      </c>
      <c r="B319" s="15">
        <v>196.0675048828125</v>
      </c>
      <c r="C319" s="15">
        <v>62.548259735107422</v>
      </c>
      <c r="D319" s="15">
        <v>110.40000152587891</v>
      </c>
      <c r="E319" s="15">
        <v>112.3276062011719</v>
      </c>
      <c r="F319" s="15">
        <v>101.3333358764648</v>
      </c>
      <c r="H319" s="16">
        <f t="shared" si="13"/>
        <v>-1.148487809977174E-3</v>
      </c>
      <c r="I319" s="16">
        <f t="shared" si="13"/>
        <v>-1.1170101344801116E-3</v>
      </c>
      <c r="J319" s="16">
        <f t="shared" si="13"/>
        <v>3.7971130210447479E-3</v>
      </c>
      <c r="K319" s="16">
        <f t="shared" si="14"/>
        <v>-4.5290876843818838E-3</v>
      </c>
      <c r="L319" s="16">
        <f t="shared" si="15"/>
        <v>-2.5640504250334811E-3</v>
      </c>
    </row>
    <row r="320" spans="1:12" x14ac:dyDescent="0.35">
      <c r="A320" s="18">
        <v>42716</v>
      </c>
      <c r="B320" s="15">
        <v>195.84245300292969</v>
      </c>
      <c r="C320" s="15">
        <v>62.478431701660163</v>
      </c>
      <c r="D320" s="15">
        <v>110.8199996948242</v>
      </c>
      <c r="E320" s="15">
        <v>111.8200149536133</v>
      </c>
      <c r="F320" s="15">
        <v>101.073844909668</v>
      </c>
      <c r="H320" s="16">
        <f t="shared" si="13"/>
        <v>6.651905268056842E-3</v>
      </c>
      <c r="I320" s="16">
        <f t="shared" si="13"/>
        <v>1.1170101344801951E-3</v>
      </c>
      <c r="J320" s="16">
        <f t="shared" si="13"/>
        <v>-3.3443584495006541E-3</v>
      </c>
      <c r="K320" s="16">
        <f t="shared" si="14"/>
        <v>1.2530473885916186E-2</v>
      </c>
      <c r="L320" s="16">
        <f t="shared" si="15"/>
        <v>5.8028234255173283E-3</v>
      </c>
    </row>
    <row r="321" spans="1:12" x14ac:dyDescent="0.35">
      <c r="A321" s="18">
        <v>42717</v>
      </c>
      <c r="B321" s="15">
        <v>197.14952087402341</v>
      </c>
      <c r="C321" s="15">
        <v>62.548259735107422</v>
      </c>
      <c r="D321" s="15">
        <v>110.4499969482422</v>
      </c>
      <c r="E321" s="15">
        <v>113.2299880981445</v>
      </c>
      <c r="F321" s="15">
        <v>101.6620635986328</v>
      </c>
      <c r="H321" s="16">
        <f t="shared" si="13"/>
        <v>-8.2884161860659229E-3</v>
      </c>
      <c r="I321" s="16">
        <f t="shared" si="13"/>
        <v>-5.0998134216796946E-3</v>
      </c>
      <c r="J321" s="16">
        <f t="shared" si="13"/>
        <v>-1.4775853703027961E-2</v>
      </c>
      <c r="K321" s="16">
        <f t="shared" si="14"/>
        <v>-2.0776515201304069E-3</v>
      </c>
      <c r="L321" s="16">
        <f t="shared" si="15"/>
        <v>-9.0601729045065721E-3</v>
      </c>
    </row>
    <row r="322" spans="1:12" x14ac:dyDescent="0.35">
      <c r="A322" s="18">
        <v>42718</v>
      </c>
      <c r="B322" s="15">
        <v>195.522216796875</v>
      </c>
      <c r="C322" s="15">
        <v>62.230087280273438</v>
      </c>
      <c r="D322" s="15">
        <v>108.8300018310547</v>
      </c>
      <c r="E322" s="15">
        <v>112.99497985839839</v>
      </c>
      <c r="F322" s="15">
        <v>100.7451477050781</v>
      </c>
      <c r="H322" s="16">
        <f t="shared" si="13"/>
        <v>4.1086117613228189E-3</v>
      </c>
      <c r="I322" s="16">
        <f t="shared" si="13"/>
        <v>-1.4972052741349959E-3</v>
      </c>
      <c r="J322" s="16">
        <f t="shared" si="13"/>
        <v>-1.3785715901108251E-2</v>
      </c>
      <c r="K322" s="16">
        <f t="shared" si="14"/>
        <v>1.5795920546108745E-3</v>
      </c>
      <c r="L322" s="16">
        <f t="shared" si="15"/>
        <v>4.1125876685368318E-3</v>
      </c>
    </row>
    <row r="323" spans="1:12" x14ac:dyDescent="0.35">
      <c r="A323" s="18">
        <v>42719</v>
      </c>
      <c r="B323" s="15">
        <v>196.32719421386719</v>
      </c>
      <c r="C323" s="15">
        <v>62.136985778808587</v>
      </c>
      <c r="D323" s="15">
        <v>107.3399963378906</v>
      </c>
      <c r="E323" s="15">
        <v>113.17360687255859</v>
      </c>
      <c r="F323" s="15">
        <v>101.1603240966797</v>
      </c>
      <c r="H323" s="16">
        <f t="shared" si="13"/>
        <v>-1.9577696834912964E-3</v>
      </c>
      <c r="I323" s="16">
        <f t="shared" si="13"/>
        <v>8.7395905368372814E-4</v>
      </c>
      <c r="J323" s="16">
        <f t="shared" si="13"/>
        <v>6.5927785650656866E-3</v>
      </c>
      <c r="K323" s="16">
        <f t="shared" si="14"/>
        <v>-3.7141427792132826E-3</v>
      </c>
      <c r="L323" s="16">
        <f t="shared" si="15"/>
        <v>-1.5400312982143134E-3</v>
      </c>
    </row>
    <row r="324" spans="1:12" x14ac:dyDescent="0.35">
      <c r="A324" s="18">
        <v>42720</v>
      </c>
      <c r="B324" s="15">
        <v>195.9432067871094</v>
      </c>
      <c r="C324" s="15">
        <v>62.191314697265618</v>
      </c>
      <c r="D324" s="15">
        <v>108.0500030517578</v>
      </c>
      <c r="E324" s="15">
        <v>112.75404357910161</v>
      </c>
      <c r="F324" s="15">
        <v>101.00465393066411</v>
      </c>
      <c r="H324" s="16">
        <f t="shared" ref="H324:J387" si="16">LN(B325/B324)</f>
        <v>2.1751323109923401E-3</v>
      </c>
      <c r="I324" s="16">
        <f t="shared" si="16"/>
        <v>2.6166918808053475E-3</v>
      </c>
      <c r="J324" s="16">
        <f t="shared" si="16"/>
        <v>4.9851773077867244E-3</v>
      </c>
      <c r="K324" s="16">
        <f t="shared" ref="K324:K387" si="17">LN(E325/E324)</f>
        <v>4.0886203701690545E-3</v>
      </c>
      <c r="L324" s="16">
        <f t="shared" ref="L324:L387" si="18">LN(F325/F324)</f>
        <v>2.8223095921438321E-3</v>
      </c>
    </row>
    <row r="325" spans="1:12" x14ac:dyDescent="0.35">
      <c r="A325" s="18">
        <v>42723</v>
      </c>
      <c r="B325" s="15">
        <v>196.369873046875</v>
      </c>
      <c r="C325" s="15">
        <v>62.354263305664063</v>
      </c>
      <c r="D325" s="15">
        <v>108.5899963378906</v>
      </c>
      <c r="E325" s="15">
        <v>113.2159957885742</v>
      </c>
      <c r="F325" s="15">
        <v>101.2901229858398</v>
      </c>
      <c r="H325" s="16">
        <f t="shared" si="16"/>
        <v>3.8502097936035829E-3</v>
      </c>
      <c r="I325" s="16">
        <f t="shared" si="16"/>
        <v>1.2406090256159198E-4</v>
      </c>
      <c r="J325" s="16">
        <f t="shared" si="16"/>
        <v>-7.3943902174650241E-3</v>
      </c>
      <c r="K325" s="16">
        <f t="shared" si="17"/>
        <v>3.8232157648824855E-3</v>
      </c>
      <c r="L325" s="16">
        <f t="shared" si="18"/>
        <v>4.2614496777321634E-3</v>
      </c>
    </row>
    <row r="326" spans="1:12" x14ac:dyDescent="0.35">
      <c r="A326" s="18">
        <v>42724</v>
      </c>
      <c r="B326" s="15">
        <v>197.12739562988281</v>
      </c>
      <c r="C326" s="15">
        <v>62.36199951171875</v>
      </c>
      <c r="D326" s="15">
        <v>107.7900009155273</v>
      </c>
      <c r="E326" s="15">
        <v>113.64967346191411</v>
      </c>
      <c r="F326" s="15">
        <v>101.7226867675781</v>
      </c>
      <c r="H326" s="16">
        <f t="shared" si="16"/>
        <v>-2.786614836696003E-3</v>
      </c>
      <c r="I326" s="16">
        <f t="shared" si="16"/>
        <v>1.4932730013438324E-3</v>
      </c>
      <c r="J326" s="16">
        <f t="shared" si="16"/>
        <v>5.5646039984958838E-4</v>
      </c>
      <c r="K326" s="16">
        <f t="shared" si="17"/>
        <v>-7.467733628085929E-4</v>
      </c>
      <c r="L326" s="16">
        <f t="shared" si="18"/>
        <v>-2.8278159480707343E-3</v>
      </c>
    </row>
    <row r="327" spans="1:12" x14ac:dyDescent="0.35">
      <c r="A327" s="18">
        <v>42725</v>
      </c>
      <c r="B327" s="15">
        <v>196.57884216308591</v>
      </c>
      <c r="C327" s="15">
        <v>62.455192565917969</v>
      </c>
      <c r="D327" s="15">
        <v>107.84999847412109</v>
      </c>
      <c r="E327" s="15">
        <v>113.56483459472661</v>
      </c>
      <c r="F327" s="15">
        <v>101.43544006347661</v>
      </c>
      <c r="H327" s="16">
        <f t="shared" si="16"/>
        <v>-1.7290430720628594E-3</v>
      </c>
      <c r="I327" s="16">
        <f t="shared" si="16"/>
        <v>-6.8590741619643097E-4</v>
      </c>
      <c r="J327" s="16">
        <f t="shared" si="16"/>
        <v>-2.4136861188268563E-3</v>
      </c>
      <c r="K327" s="16">
        <f t="shared" si="17"/>
        <v>-2.8265990750442121E-3</v>
      </c>
      <c r="L327" s="16">
        <f t="shared" si="18"/>
        <v>-2.5774526150526495E-3</v>
      </c>
    </row>
    <row r="328" spans="1:12" x14ac:dyDescent="0.35">
      <c r="A328" s="18">
        <v>42726</v>
      </c>
      <c r="B328" s="15">
        <v>196.23924255371091</v>
      </c>
      <c r="C328" s="15">
        <v>62.412368774414063</v>
      </c>
      <c r="D328" s="15">
        <v>107.5899963378906</v>
      </c>
      <c r="E328" s="15">
        <v>113.24428558349609</v>
      </c>
      <c r="F328" s="15">
        <v>101.17433166503911</v>
      </c>
      <c r="H328" s="16">
        <f t="shared" si="16"/>
        <v>1.4633085990129065E-3</v>
      </c>
      <c r="I328" s="16">
        <f t="shared" si="16"/>
        <v>4.9849965349694678E-4</v>
      </c>
      <c r="J328" s="16">
        <f t="shared" si="16"/>
        <v>3.1551990966094878E-3</v>
      </c>
      <c r="K328" s="16">
        <f t="shared" si="17"/>
        <v>6.6574188141586127E-4</v>
      </c>
      <c r="L328" s="16">
        <f t="shared" si="18"/>
        <v>1.5473890901881097E-3</v>
      </c>
    </row>
    <row r="329" spans="1:12" x14ac:dyDescent="0.35">
      <c r="A329" s="18">
        <v>42727</v>
      </c>
      <c r="B329" s="15">
        <v>196.526611328125</v>
      </c>
      <c r="C329" s="15">
        <v>62.443489074707031</v>
      </c>
      <c r="D329" s="15">
        <v>107.9300003051758</v>
      </c>
      <c r="E329" s="15">
        <v>113.3197021484375</v>
      </c>
      <c r="F329" s="15">
        <v>101.3310089111328</v>
      </c>
      <c r="H329" s="16">
        <f t="shared" si="16"/>
        <v>2.4779887249785633E-3</v>
      </c>
      <c r="I329" s="16">
        <f t="shared" si="16"/>
        <v>-7.4814837996506106E-4</v>
      </c>
      <c r="J329" s="16">
        <f t="shared" si="16"/>
        <v>5.8201213728208013E-3</v>
      </c>
      <c r="K329" s="16">
        <f t="shared" si="17"/>
        <v>5.1448783643410038E-3</v>
      </c>
      <c r="L329" s="16">
        <f t="shared" si="18"/>
        <v>2.4880069918752326E-3</v>
      </c>
    </row>
    <row r="330" spans="1:12" x14ac:dyDescent="0.35">
      <c r="A330" s="18">
        <v>42731</v>
      </c>
      <c r="B330" s="15">
        <v>197.01420593261719</v>
      </c>
      <c r="C330" s="15">
        <v>62.39678955078125</v>
      </c>
      <c r="D330" s="15">
        <v>108.55999755859381</v>
      </c>
      <c r="E330" s="15">
        <v>113.9042205810547</v>
      </c>
      <c r="F330" s="15">
        <v>101.58343505859381</v>
      </c>
      <c r="H330" s="16">
        <f t="shared" si="16"/>
        <v>-8.2988964003542966E-3</v>
      </c>
      <c r="I330" s="16">
        <f t="shared" si="16"/>
        <v>2.490698876183175E-3</v>
      </c>
      <c r="J330" s="16">
        <f t="shared" si="16"/>
        <v>2.7596655752010505E-3</v>
      </c>
      <c r="K330" s="16">
        <f t="shared" si="17"/>
        <v>-7.8104417956242874E-3</v>
      </c>
      <c r="L330" s="16">
        <f t="shared" si="18"/>
        <v>-8.3461199020538699E-3</v>
      </c>
    </row>
    <row r="331" spans="1:12" x14ac:dyDescent="0.35">
      <c r="A331" s="18">
        <v>42732</v>
      </c>
      <c r="B331" s="15">
        <v>195.38597106933591</v>
      </c>
      <c r="C331" s="15">
        <v>62.552394866943359</v>
      </c>
      <c r="D331" s="15">
        <v>108.86000061035161</v>
      </c>
      <c r="E331" s="15">
        <v>113.01804351806641</v>
      </c>
      <c r="F331" s="15">
        <v>100.7391357421875</v>
      </c>
      <c r="H331" s="16">
        <f t="shared" si="16"/>
        <v>-2.2298786253462306E-4</v>
      </c>
      <c r="I331" s="16">
        <f t="shared" si="16"/>
        <v>2.732738162398155E-3</v>
      </c>
      <c r="J331" s="16">
        <f t="shared" si="16"/>
        <v>1.3050610006334971E-2</v>
      </c>
      <c r="K331" s="16">
        <f t="shared" si="17"/>
        <v>-1.4193075190281396E-3</v>
      </c>
      <c r="L331" s="16">
        <f t="shared" si="18"/>
        <v>8.6484678823617821E-5</v>
      </c>
    </row>
    <row r="332" spans="1:12" x14ac:dyDescent="0.35">
      <c r="A332" s="18">
        <v>42733</v>
      </c>
      <c r="B332" s="15">
        <v>195.3424072265625</v>
      </c>
      <c r="C332" s="15">
        <v>62.723567962646477</v>
      </c>
      <c r="D332" s="15">
        <v>110.2900009155273</v>
      </c>
      <c r="E332" s="15">
        <v>112.8577499389648</v>
      </c>
      <c r="F332" s="15">
        <v>100.7478485107422</v>
      </c>
      <c r="H332" s="16">
        <f t="shared" si="16"/>
        <v>-3.6614477924022198E-3</v>
      </c>
      <c r="I332" s="16">
        <f t="shared" si="16"/>
        <v>2.1065086172037707E-3</v>
      </c>
      <c r="J332" s="16">
        <f t="shared" si="16"/>
        <v>-6.1846518231208486E-3</v>
      </c>
      <c r="K332" s="16">
        <f t="shared" si="17"/>
        <v>-1.0327957892993763E-2</v>
      </c>
      <c r="L332" s="16">
        <f t="shared" si="18"/>
        <v>-3.7218113573133358E-3</v>
      </c>
    </row>
    <row r="333" spans="1:12" x14ac:dyDescent="0.35">
      <c r="A333" s="18">
        <v>42734</v>
      </c>
      <c r="B333" s="15">
        <v>194.62847900390619</v>
      </c>
      <c r="C333" s="15">
        <v>62.8558349609375</v>
      </c>
      <c r="D333" s="15">
        <v>109.61000061035161</v>
      </c>
      <c r="E333" s="15">
        <v>111.6981582641602</v>
      </c>
      <c r="F333" s="15">
        <v>100.3735809326172</v>
      </c>
      <c r="H333" s="16">
        <f t="shared" si="16"/>
        <v>7.6208042074644346E-3</v>
      </c>
      <c r="I333" s="16">
        <f t="shared" si="16"/>
        <v>1.2367781423278261E-4</v>
      </c>
      <c r="J333" s="16">
        <f t="shared" si="16"/>
        <v>7.8153851382451282E-3</v>
      </c>
      <c r="K333" s="16">
        <f t="shared" si="17"/>
        <v>8.9071746606327329E-3</v>
      </c>
      <c r="L333" s="16">
        <f t="shared" si="18"/>
        <v>7.6019781889161663E-3</v>
      </c>
    </row>
    <row r="334" spans="1:12" x14ac:dyDescent="0.35">
      <c r="A334" s="18">
        <v>42738</v>
      </c>
      <c r="B334" s="15">
        <v>196.11737060546881</v>
      </c>
      <c r="C334" s="15">
        <v>62.863609313964837</v>
      </c>
      <c r="D334" s="15">
        <v>110.4700012207031</v>
      </c>
      <c r="E334" s="15">
        <v>112.6975173950195</v>
      </c>
      <c r="F334" s="15">
        <v>101.1395263671875</v>
      </c>
      <c r="H334" s="16">
        <f t="shared" si="16"/>
        <v>5.931529422048271E-3</v>
      </c>
      <c r="I334" s="16">
        <f t="shared" si="16"/>
        <v>7.4198838569801385E-4</v>
      </c>
      <c r="J334" s="16">
        <f t="shared" si="16"/>
        <v>3.5241475629952689E-3</v>
      </c>
      <c r="K334" s="16">
        <f t="shared" si="17"/>
        <v>5.422772091556078E-3</v>
      </c>
      <c r="L334" s="16">
        <f t="shared" si="18"/>
        <v>7.6300438681572913E-3</v>
      </c>
    </row>
    <row r="335" spans="1:12" x14ac:dyDescent="0.35">
      <c r="A335" s="18">
        <v>42739</v>
      </c>
      <c r="B335" s="15">
        <v>197.28410339355469</v>
      </c>
      <c r="C335" s="15">
        <v>62.910270690917969</v>
      </c>
      <c r="D335" s="15">
        <v>110.86000061035161</v>
      </c>
      <c r="E335" s="15">
        <v>113.3103103637695</v>
      </c>
      <c r="F335" s="15">
        <v>101.914176940918</v>
      </c>
      <c r="H335" s="16">
        <f t="shared" si="16"/>
        <v>-7.9464098945403986E-4</v>
      </c>
      <c r="I335" s="16">
        <f t="shared" si="16"/>
        <v>5.0577845764336821E-3</v>
      </c>
      <c r="J335" s="16">
        <f t="shared" si="16"/>
        <v>1.5395946803090579E-2</v>
      </c>
      <c r="K335" s="16">
        <f t="shared" si="17"/>
        <v>5.641683032666411E-3</v>
      </c>
      <c r="L335" s="16">
        <f t="shared" si="18"/>
        <v>-1.9664338391506874E-3</v>
      </c>
    </row>
    <row r="336" spans="1:12" x14ac:dyDescent="0.35">
      <c r="A336" s="18">
        <v>42740</v>
      </c>
      <c r="B336" s="15">
        <v>197.12739562988281</v>
      </c>
      <c r="C336" s="15">
        <v>63.229263305664063</v>
      </c>
      <c r="D336" s="15">
        <v>112.5800018310547</v>
      </c>
      <c r="E336" s="15">
        <v>113.9513778686523</v>
      </c>
      <c r="F336" s="15">
        <v>101.71396636962891</v>
      </c>
      <c r="H336" s="16">
        <f t="shared" si="16"/>
        <v>3.5712307815433044E-3</v>
      </c>
      <c r="I336" s="16">
        <f t="shared" si="16"/>
        <v>-3.9452881255471091E-3</v>
      </c>
      <c r="J336" s="16">
        <f t="shared" si="16"/>
        <v>-7.3998628066781289E-3</v>
      </c>
      <c r="K336" s="16">
        <f t="shared" si="17"/>
        <v>8.7313505814212659E-3</v>
      </c>
      <c r="L336" s="16">
        <f t="shared" si="18"/>
        <v>3.1613242859225934E-3</v>
      </c>
    </row>
    <row r="337" spans="1:12" x14ac:dyDescent="0.35">
      <c r="A337" s="18">
        <v>42741</v>
      </c>
      <c r="B337" s="15">
        <v>197.8326416015625</v>
      </c>
      <c r="C337" s="15">
        <v>62.980297088623047</v>
      </c>
      <c r="D337" s="15">
        <v>111.75</v>
      </c>
      <c r="E337" s="15">
        <v>114.95068359375</v>
      </c>
      <c r="F337" s="15">
        <v>102.03602600097661</v>
      </c>
      <c r="H337" s="16">
        <f t="shared" si="16"/>
        <v>-3.3063060790157178E-3</v>
      </c>
      <c r="I337" s="16">
        <f t="shared" si="16"/>
        <v>2.4674699326100906E-3</v>
      </c>
      <c r="J337" s="16">
        <f t="shared" si="16"/>
        <v>8.1989424309121314E-3</v>
      </c>
      <c r="K337" s="16">
        <f t="shared" si="17"/>
        <v>3.275217568046987E-3</v>
      </c>
      <c r="L337" s="16">
        <f t="shared" si="18"/>
        <v>-3.845934560911033E-3</v>
      </c>
    </row>
    <row r="338" spans="1:12" x14ac:dyDescent="0.35">
      <c r="A338" s="18">
        <v>42744</v>
      </c>
      <c r="B338" s="15">
        <v>197.17962646484381</v>
      </c>
      <c r="C338" s="15">
        <v>63.135890960693359</v>
      </c>
      <c r="D338" s="15">
        <v>112.6699981689453</v>
      </c>
      <c r="E338" s="15">
        <v>115.3277893066406</v>
      </c>
      <c r="F338" s="15">
        <v>101.6443557739258</v>
      </c>
      <c r="H338" s="16">
        <f t="shared" si="16"/>
        <v>0</v>
      </c>
      <c r="I338" s="16">
        <f t="shared" si="16"/>
        <v>-2.4618310563766303E-4</v>
      </c>
      <c r="J338" s="16">
        <f t="shared" si="16"/>
        <v>4.2512096404080102E-3</v>
      </c>
      <c r="K338" s="16">
        <f t="shared" si="17"/>
        <v>2.2047298397369942E-3</v>
      </c>
      <c r="L338" s="16">
        <f t="shared" si="18"/>
        <v>7.7034111866911795E-4</v>
      </c>
    </row>
    <row r="339" spans="1:12" x14ac:dyDescent="0.35">
      <c r="A339" s="18">
        <v>42745</v>
      </c>
      <c r="B339" s="15">
        <v>197.17962646484381</v>
      </c>
      <c r="C339" s="15">
        <v>63.120349884033203</v>
      </c>
      <c r="D339" s="15">
        <v>113.15000152587891</v>
      </c>
      <c r="E339" s="15">
        <v>115.58233642578119</v>
      </c>
      <c r="F339" s="15">
        <v>101.7226867675781</v>
      </c>
      <c r="H339" s="16">
        <f t="shared" si="16"/>
        <v>2.8220451847820018E-3</v>
      </c>
      <c r="I339" s="16">
        <f t="shared" si="16"/>
        <v>4.9345332494582451E-4</v>
      </c>
      <c r="J339" s="16">
        <f t="shared" si="16"/>
        <v>3.0884513564589221E-3</v>
      </c>
      <c r="K339" s="16">
        <f t="shared" si="17"/>
        <v>2.688070706554782E-3</v>
      </c>
      <c r="L339" s="16">
        <f t="shared" si="18"/>
        <v>3.1609041720463112E-3</v>
      </c>
    </row>
    <row r="340" spans="1:12" x14ac:dyDescent="0.35">
      <c r="A340" s="18">
        <v>42746</v>
      </c>
      <c r="B340" s="15">
        <v>197.73686218261719</v>
      </c>
      <c r="C340" s="15">
        <v>63.151504516601563</v>
      </c>
      <c r="D340" s="15">
        <v>113.5</v>
      </c>
      <c r="E340" s="15">
        <v>115.89344787597661</v>
      </c>
      <c r="F340" s="15">
        <v>102.0447311401367</v>
      </c>
      <c r="H340" s="16">
        <f t="shared" si="16"/>
        <v>-2.512939003265427E-3</v>
      </c>
      <c r="I340" s="16">
        <f t="shared" si="16"/>
        <v>2.4551815491515152E-4</v>
      </c>
      <c r="J340" s="16">
        <f t="shared" si="16"/>
        <v>3.6058581395103208E-3</v>
      </c>
      <c r="K340" s="16">
        <f t="shared" si="17"/>
        <v>-1.5467784896094196E-3</v>
      </c>
      <c r="L340" s="16">
        <f t="shared" si="18"/>
        <v>-2.6474979950434018E-3</v>
      </c>
    </row>
    <row r="341" spans="1:12" x14ac:dyDescent="0.35">
      <c r="A341" s="18">
        <v>42747</v>
      </c>
      <c r="B341" s="15">
        <v>197.24058532714841</v>
      </c>
      <c r="C341" s="15">
        <v>63.167011260986328</v>
      </c>
      <c r="D341" s="15">
        <v>113.9100036621094</v>
      </c>
      <c r="E341" s="15">
        <v>115.7143249511719</v>
      </c>
      <c r="F341" s="15">
        <v>101.77492523193359</v>
      </c>
      <c r="H341" s="16">
        <f t="shared" si="16"/>
        <v>2.2929112693135635E-3</v>
      </c>
      <c r="I341" s="16">
        <f t="shared" si="16"/>
        <v>-1.6021787105896265E-3</v>
      </c>
      <c r="J341" s="16">
        <f t="shared" si="16"/>
        <v>2.6301559853734065E-3</v>
      </c>
      <c r="K341" s="16">
        <f t="shared" si="17"/>
        <v>3.4160821137858752E-3</v>
      </c>
      <c r="L341" s="16">
        <f t="shared" si="18"/>
        <v>2.4768692568918949E-3</v>
      </c>
    </row>
    <row r="342" spans="1:12" x14ac:dyDescent="0.35">
      <c r="A342" s="18">
        <v>42748</v>
      </c>
      <c r="B342" s="15">
        <v>197.693359375</v>
      </c>
      <c r="C342" s="15">
        <v>63.065887451171882</v>
      </c>
      <c r="D342" s="15">
        <v>114.2099990844727</v>
      </c>
      <c r="E342" s="15">
        <v>116.11029052734381</v>
      </c>
      <c r="F342" s="15">
        <v>102.02732086181641</v>
      </c>
      <c r="H342" s="16">
        <f t="shared" si="16"/>
        <v>-3.5297547748722362E-3</v>
      </c>
      <c r="I342" s="16">
        <f t="shared" si="16"/>
        <v>3.0797517808000504E-3</v>
      </c>
      <c r="J342" s="16">
        <f t="shared" si="16"/>
        <v>1.4257386660883824E-2</v>
      </c>
      <c r="K342" s="16">
        <f t="shared" si="17"/>
        <v>-3.0088308740275856E-3</v>
      </c>
      <c r="L342" s="16">
        <f t="shared" si="18"/>
        <v>-4.4460713956424001E-3</v>
      </c>
    </row>
    <row r="343" spans="1:12" x14ac:dyDescent="0.35">
      <c r="A343" s="18">
        <v>42752</v>
      </c>
      <c r="B343" s="15">
        <v>196.99678039550781</v>
      </c>
      <c r="C343" s="15">
        <v>63.260414123535163</v>
      </c>
      <c r="D343" s="15">
        <v>115.84999847412109</v>
      </c>
      <c r="E343" s="15">
        <v>115.76145935058589</v>
      </c>
      <c r="F343" s="15">
        <v>101.57470703125</v>
      </c>
      <c r="H343" s="16">
        <f t="shared" si="16"/>
        <v>2.2074887375819461E-3</v>
      </c>
      <c r="I343" s="16">
        <f t="shared" si="16"/>
        <v>-5.1790550710840658E-3</v>
      </c>
      <c r="J343" s="16">
        <f t="shared" si="16"/>
        <v>-8.4951596395615777E-3</v>
      </c>
      <c r="K343" s="16">
        <f t="shared" si="17"/>
        <v>2.0339036484507736E-3</v>
      </c>
      <c r="L343" s="16">
        <f t="shared" si="18"/>
        <v>2.3110517734366716E-3</v>
      </c>
    </row>
    <row r="344" spans="1:12" x14ac:dyDescent="0.35">
      <c r="A344" s="18">
        <v>42753</v>
      </c>
      <c r="B344" s="15">
        <v>197.43212890625</v>
      </c>
      <c r="C344" s="15">
        <v>62.933631896972663</v>
      </c>
      <c r="D344" s="15">
        <v>114.870002746582</v>
      </c>
      <c r="E344" s="15">
        <v>115.9971466064453</v>
      </c>
      <c r="F344" s="15">
        <v>101.8097229003906</v>
      </c>
      <c r="H344" s="16">
        <f t="shared" si="16"/>
        <v>-3.7113631771130717E-3</v>
      </c>
      <c r="I344" s="16">
        <f t="shared" si="16"/>
        <v>-1.7320461112093871E-3</v>
      </c>
      <c r="J344" s="16">
        <f t="shared" si="16"/>
        <v>-8.7098162431216083E-4</v>
      </c>
      <c r="K344" s="16">
        <f t="shared" si="17"/>
        <v>-4.8775447141609119E-4</v>
      </c>
      <c r="L344" s="16">
        <f t="shared" si="18"/>
        <v>-3.9403377191156242E-3</v>
      </c>
    </row>
    <row r="345" spans="1:12" x14ac:dyDescent="0.35">
      <c r="A345" s="18">
        <v>42754</v>
      </c>
      <c r="B345" s="15">
        <v>196.70074462890619</v>
      </c>
      <c r="C345" s="15">
        <v>62.824722290039063</v>
      </c>
      <c r="D345" s="15">
        <v>114.76999664306641</v>
      </c>
      <c r="E345" s="15">
        <v>115.9405822753906</v>
      </c>
      <c r="F345" s="15">
        <v>101.4093475341797</v>
      </c>
      <c r="H345" s="16">
        <f t="shared" si="16"/>
        <v>3.6674636229957263E-3</v>
      </c>
      <c r="I345" s="16">
        <f t="shared" si="16"/>
        <v>7.4256883781912862E-4</v>
      </c>
      <c r="J345" s="16">
        <f t="shared" si="16"/>
        <v>2.4367465635147297E-3</v>
      </c>
      <c r="K345" s="16">
        <f t="shared" si="17"/>
        <v>2.1930240573064114E-3</v>
      </c>
      <c r="L345" s="16">
        <f t="shared" si="18"/>
        <v>3.4274069698228618E-3</v>
      </c>
    </row>
    <row r="346" spans="1:12" x14ac:dyDescent="0.35">
      <c r="A346" s="18">
        <v>42755</v>
      </c>
      <c r="B346" s="15">
        <v>197.4234619140625</v>
      </c>
      <c r="C346" s="15">
        <v>62.871391296386719</v>
      </c>
      <c r="D346" s="15">
        <v>115.0500030517578</v>
      </c>
      <c r="E346" s="15">
        <v>116.1951217651367</v>
      </c>
      <c r="F346" s="15">
        <v>101.7575149536133</v>
      </c>
      <c r="H346" s="16">
        <f t="shared" si="16"/>
        <v>-2.605889270399907E-3</v>
      </c>
      <c r="I346" s="16">
        <f t="shared" si="16"/>
        <v>2.7184680773556509E-3</v>
      </c>
      <c r="J346" s="16">
        <f t="shared" si="16"/>
        <v>6.411370524106441E-3</v>
      </c>
      <c r="K346" s="16">
        <f t="shared" si="17"/>
        <v>8.1116528541406703E-4</v>
      </c>
      <c r="L346" s="16">
        <f t="shared" si="18"/>
        <v>-2.6555068615715053E-3</v>
      </c>
    </row>
    <row r="347" spans="1:12" x14ac:dyDescent="0.35">
      <c r="A347" s="18">
        <v>42758</v>
      </c>
      <c r="B347" s="15">
        <v>196.90966796875</v>
      </c>
      <c r="C347" s="15">
        <v>63.042537689208977</v>
      </c>
      <c r="D347" s="15">
        <v>115.7900009155273</v>
      </c>
      <c r="E347" s="15">
        <v>116.28941345214839</v>
      </c>
      <c r="F347" s="15">
        <v>101.48765563964839</v>
      </c>
      <c r="H347" s="16">
        <f t="shared" si="16"/>
        <v>6.3913953070151176E-3</v>
      </c>
      <c r="I347" s="16">
        <f t="shared" si="16"/>
        <v>-1.48153199045835E-3</v>
      </c>
      <c r="J347" s="16">
        <f t="shared" si="16"/>
        <v>-4.5010400404043053E-3</v>
      </c>
      <c r="K347" s="16">
        <f t="shared" si="17"/>
        <v>6.7064390116739359E-3</v>
      </c>
      <c r="L347" s="16">
        <f t="shared" si="18"/>
        <v>7.7745797303521878E-3</v>
      </c>
    </row>
    <row r="348" spans="1:12" x14ac:dyDescent="0.35">
      <c r="A348" s="18">
        <v>42759</v>
      </c>
      <c r="B348" s="15">
        <v>198.17222595214841</v>
      </c>
      <c r="C348" s="15">
        <v>62.949207305908203</v>
      </c>
      <c r="D348" s="15">
        <v>115.26999664306641</v>
      </c>
      <c r="E348" s="15">
        <v>117.07192230224609</v>
      </c>
      <c r="F348" s="15">
        <v>102.2797546386719</v>
      </c>
      <c r="H348" s="16">
        <f t="shared" si="16"/>
        <v>8.6184413743091957E-3</v>
      </c>
      <c r="I348" s="16">
        <f t="shared" si="16"/>
        <v>-2.9705160141366978E-3</v>
      </c>
      <c r="J348" s="16">
        <f t="shared" si="16"/>
        <v>-8.2756425384434926E-3</v>
      </c>
      <c r="K348" s="16">
        <f t="shared" si="17"/>
        <v>1.0015399745987323E-2</v>
      </c>
      <c r="L348" s="16">
        <f t="shared" si="18"/>
        <v>8.5579276666568529E-3</v>
      </c>
    </row>
    <row r="349" spans="1:12" x14ac:dyDescent="0.35">
      <c r="A349" s="18">
        <v>42760</v>
      </c>
      <c r="B349" s="15">
        <v>199.8875427246094</v>
      </c>
      <c r="C349" s="15">
        <v>62.762493133544922</v>
      </c>
      <c r="D349" s="15">
        <v>114.3199996948242</v>
      </c>
      <c r="E349" s="15">
        <v>118.2503356933594</v>
      </c>
      <c r="F349" s="15">
        <v>103.1588134765625</v>
      </c>
      <c r="H349" s="16">
        <f t="shared" si="16"/>
        <v>-1.0460566774541113E-3</v>
      </c>
      <c r="I349" s="16">
        <f t="shared" si="16"/>
        <v>3.7099238639290086E-4</v>
      </c>
      <c r="J349" s="16">
        <f t="shared" si="16"/>
        <v>-9.3154514051688331E-3</v>
      </c>
      <c r="K349" s="16">
        <f t="shared" si="17"/>
        <v>1.0358966422674141E-3</v>
      </c>
      <c r="L349" s="16">
        <f t="shared" si="18"/>
        <v>-1.4352923344079457E-3</v>
      </c>
    </row>
    <row r="350" spans="1:12" x14ac:dyDescent="0.35">
      <c r="A350" s="18">
        <v>42761</v>
      </c>
      <c r="B350" s="15">
        <v>199.6785583496094</v>
      </c>
      <c r="C350" s="15">
        <v>62.785781860351563</v>
      </c>
      <c r="D350" s="15">
        <v>113.2600021362305</v>
      </c>
      <c r="E350" s="15">
        <v>118.3728942871094</v>
      </c>
      <c r="F350" s="15">
        <v>103.010856628418</v>
      </c>
      <c r="H350" s="16">
        <f t="shared" si="16"/>
        <v>-1.5710630350711254E-3</v>
      </c>
      <c r="I350" s="16">
        <f t="shared" si="16"/>
        <v>1.1151258574595149E-3</v>
      </c>
      <c r="J350" s="16">
        <f t="shared" si="16"/>
        <v>2.0286289430190871E-3</v>
      </c>
      <c r="K350" s="16">
        <f t="shared" si="17"/>
        <v>1.9098919680003586E-3</v>
      </c>
      <c r="L350" s="16">
        <f t="shared" si="18"/>
        <v>-1.6066268069415577E-3</v>
      </c>
    </row>
    <row r="351" spans="1:12" x14ac:dyDescent="0.35">
      <c r="A351" s="18">
        <v>42762</v>
      </c>
      <c r="B351" s="15">
        <v>199.36509704589841</v>
      </c>
      <c r="C351" s="15">
        <v>62.8558349609375</v>
      </c>
      <c r="D351" s="15">
        <v>113.4899978637695</v>
      </c>
      <c r="E351" s="15">
        <v>118.5991897583008</v>
      </c>
      <c r="F351" s="15">
        <v>102.8454895019531</v>
      </c>
      <c r="H351" s="16">
        <f t="shared" si="16"/>
        <v>-6.221019993680273E-3</v>
      </c>
      <c r="I351" s="16">
        <f t="shared" si="16"/>
        <v>-2.4770504980332084E-4</v>
      </c>
      <c r="J351" s="16">
        <f t="shared" si="16"/>
        <v>4.2205580884094093E-3</v>
      </c>
      <c r="K351" s="16">
        <f t="shared" si="17"/>
        <v>-7.8207075641626173E-3</v>
      </c>
      <c r="L351" s="16">
        <f t="shared" si="18"/>
        <v>-6.7935648675790218E-3</v>
      </c>
    </row>
    <row r="352" spans="1:12" x14ac:dyDescent="0.35">
      <c r="A352" s="18">
        <v>42765</v>
      </c>
      <c r="B352" s="15">
        <v>198.1286926269531</v>
      </c>
      <c r="C352" s="15">
        <v>62.840267181396477</v>
      </c>
      <c r="D352" s="15">
        <v>113.9700012207031</v>
      </c>
      <c r="E352" s="15">
        <v>117.67527770996089</v>
      </c>
      <c r="F352" s="15">
        <v>102.149169921875</v>
      </c>
      <c r="H352" s="16">
        <f t="shared" si="16"/>
        <v>-8.7800423839499081E-5</v>
      </c>
      <c r="I352" s="16">
        <f t="shared" si="16"/>
        <v>2.1026613552776949E-3</v>
      </c>
      <c r="J352" s="16">
        <f t="shared" si="16"/>
        <v>1.3768096552717312E-2</v>
      </c>
      <c r="K352" s="16">
        <f t="shared" si="17"/>
        <v>-2.0050645694854826E-3</v>
      </c>
      <c r="L352" s="16">
        <f t="shared" si="18"/>
        <v>8.5191042750542602E-4</v>
      </c>
    </row>
    <row r="353" spans="1:12" x14ac:dyDescent="0.35">
      <c r="A353" s="18">
        <v>42766</v>
      </c>
      <c r="B353" s="15">
        <v>198.1112976074219</v>
      </c>
      <c r="C353" s="15">
        <v>62.972537994384773</v>
      </c>
      <c r="D353" s="15">
        <v>115.5500030517578</v>
      </c>
      <c r="E353" s="15">
        <v>117.439567565918</v>
      </c>
      <c r="F353" s="15">
        <v>102.23622894287109</v>
      </c>
      <c r="H353" s="16">
        <f t="shared" si="16"/>
        <v>3.9542616809507068E-4</v>
      </c>
      <c r="I353" s="16">
        <f t="shared" si="16"/>
        <v>-1.7599208634337547E-3</v>
      </c>
      <c r="J353" s="16">
        <f t="shared" si="16"/>
        <v>-3.0336413602642647E-3</v>
      </c>
      <c r="K353" s="16">
        <f t="shared" si="17"/>
        <v>6.879983523380425E-3</v>
      </c>
      <c r="L353" s="16">
        <f t="shared" si="18"/>
        <v>-8.522555971928062E-5</v>
      </c>
    </row>
    <row r="354" spans="1:12" x14ac:dyDescent="0.35">
      <c r="A354" s="18">
        <v>42767</v>
      </c>
      <c r="B354" s="15">
        <v>198.18965148925781</v>
      </c>
      <c r="C354" s="15">
        <v>62.861808776855469</v>
      </c>
      <c r="D354" s="15">
        <v>115.1999969482422</v>
      </c>
      <c r="E354" s="15">
        <v>118.2503356933594</v>
      </c>
      <c r="F354" s="15">
        <v>102.22751617431641</v>
      </c>
      <c r="H354" s="16">
        <f t="shared" si="16"/>
        <v>6.585937541727212E-4</v>
      </c>
      <c r="I354" s="16">
        <f t="shared" si="16"/>
        <v>6.2048199147218992E-4</v>
      </c>
      <c r="J354" s="16">
        <f t="shared" si="16"/>
        <v>5.5401752530548406E-3</v>
      </c>
      <c r="K354" s="16">
        <f t="shared" si="17"/>
        <v>-8.7726254031567812E-4</v>
      </c>
      <c r="L354" s="16">
        <f t="shared" si="18"/>
        <v>6.8100454379359536E-4</v>
      </c>
    </row>
    <row r="355" spans="1:12" x14ac:dyDescent="0.35">
      <c r="A355" s="18">
        <v>42768</v>
      </c>
      <c r="B355" s="15">
        <v>198.3202209472656</v>
      </c>
      <c r="C355" s="15">
        <v>62.900825500488281</v>
      </c>
      <c r="D355" s="15">
        <v>115.8399963378906</v>
      </c>
      <c r="E355" s="15">
        <v>118.1466445922852</v>
      </c>
      <c r="F355" s="15">
        <v>102.2971572875977</v>
      </c>
      <c r="H355" s="16">
        <f t="shared" si="16"/>
        <v>6.8694965500417024E-3</v>
      </c>
      <c r="I355" s="16">
        <f t="shared" si="16"/>
        <v>2.4740596789346825E-4</v>
      </c>
      <c r="J355" s="16">
        <f t="shared" si="16"/>
        <v>2.5003325828481921E-3</v>
      </c>
      <c r="K355" s="16">
        <f t="shared" si="17"/>
        <v>2.8684645414342705E-3</v>
      </c>
      <c r="L355" s="16">
        <f t="shared" si="18"/>
        <v>7.5440244546619755E-3</v>
      </c>
    </row>
    <row r="356" spans="1:12" x14ac:dyDescent="0.35">
      <c r="A356" s="18">
        <v>42769</v>
      </c>
      <c r="B356" s="15">
        <v>199.68727111816409</v>
      </c>
      <c r="C356" s="15">
        <v>62.916389465332031</v>
      </c>
      <c r="D356" s="15">
        <v>116.129997253418</v>
      </c>
      <c r="E356" s="15">
        <v>118.4860305786133</v>
      </c>
      <c r="F356" s="15">
        <v>103.0718078613281</v>
      </c>
      <c r="H356" s="16">
        <f t="shared" si="16"/>
        <v>-1.7894450946023645E-3</v>
      </c>
      <c r="I356" s="16">
        <f t="shared" si="16"/>
        <v>3.0929819375083768E-3</v>
      </c>
      <c r="J356" s="16">
        <f t="shared" si="16"/>
        <v>1.3428758731216638E-2</v>
      </c>
      <c r="K356" s="16">
        <f t="shared" si="17"/>
        <v>1.1928980071161752E-3</v>
      </c>
      <c r="L356" s="16">
        <f t="shared" si="18"/>
        <v>-2.3674491033843703E-3</v>
      </c>
    </row>
    <row r="357" spans="1:12" x14ac:dyDescent="0.35">
      <c r="A357" s="18">
        <v>42772</v>
      </c>
      <c r="B357" s="15">
        <v>199.33026123046881</v>
      </c>
      <c r="C357" s="15">
        <v>63.111289978027337</v>
      </c>
      <c r="D357" s="15">
        <v>117.6999969482422</v>
      </c>
      <c r="E357" s="15">
        <v>118.62745666503911</v>
      </c>
      <c r="F357" s="15">
        <v>102.8280792236328</v>
      </c>
      <c r="H357" s="16">
        <f t="shared" si="16"/>
        <v>4.3632712691477155E-5</v>
      </c>
      <c r="I357" s="16">
        <f t="shared" si="16"/>
        <v>1.6049495842315863E-3</v>
      </c>
      <c r="J357" s="16">
        <f t="shared" si="16"/>
        <v>-2.0411460379588385E-3</v>
      </c>
      <c r="K357" s="16">
        <f t="shared" si="17"/>
        <v>3.6491289106614041E-3</v>
      </c>
      <c r="L357" s="16">
        <f t="shared" si="18"/>
        <v>-8.4735003939918346E-5</v>
      </c>
    </row>
    <row r="358" spans="1:12" x14ac:dyDescent="0.35">
      <c r="A358" s="18">
        <v>42773</v>
      </c>
      <c r="B358" s="15">
        <v>199.3389587402344</v>
      </c>
      <c r="C358" s="15">
        <v>63.212661743164063</v>
      </c>
      <c r="D358" s="15">
        <v>117.4599990844727</v>
      </c>
      <c r="E358" s="15">
        <v>119.06113433837891</v>
      </c>
      <c r="F358" s="15">
        <v>102.8193664550781</v>
      </c>
      <c r="H358" s="16">
        <f t="shared" si="16"/>
        <v>1.3099316155679209E-3</v>
      </c>
      <c r="I358" s="16">
        <f t="shared" si="16"/>
        <v>2.7094688132697155E-3</v>
      </c>
      <c r="J358" s="16">
        <f t="shared" si="16"/>
        <v>6.1956773807730755E-3</v>
      </c>
      <c r="K358" s="16">
        <f t="shared" si="17"/>
        <v>1.6612936855058262E-3</v>
      </c>
      <c r="L358" s="16">
        <f t="shared" si="18"/>
        <v>1.1000318407575151E-3</v>
      </c>
    </row>
    <row r="359" spans="1:12" x14ac:dyDescent="0.35">
      <c r="A359" s="18">
        <v>42774</v>
      </c>
      <c r="B359" s="15">
        <v>199.6002502441406</v>
      </c>
      <c r="C359" s="15">
        <v>63.384166717529297</v>
      </c>
      <c r="D359" s="15">
        <v>118.19000244140619</v>
      </c>
      <c r="E359" s="15">
        <v>119.25909423828119</v>
      </c>
      <c r="F359" s="15">
        <v>102.9325332641602</v>
      </c>
      <c r="H359" s="16">
        <f t="shared" si="16"/>
        <v>5.9149686393504038E-3</v>
      </c>
      <c r="I359" s="16">
        <f t="shared" si="16"/>
        <v>-2.7094688132697276E-3</v>
      </c>
      <c r="J359" s="16">
        <f t="shared" si="16"/>
        <v>-7.6440113416853866E-3</v>
      </c>
      <c r="K359" s="16">
        <f t="shared" si="17"/>
        <v>3.6299006328595739E-3</v>
      </c>
      <c r="L359" s="16">
        <f t="shared" si="18"/>
        <v>6.574016444701374E-3</v>
      </c>
    </row>
    <row r="360" spans="1:12" x14ac:dyDescent="0.35">
      <c r="A360" s="18">
        <v>42775</v>
      </c>
      <c r="B360" s="15">
        <v>200.78437805175781</v>
      </c>
      <c r="C360" s="15">
        <v>63.212661743164063</v>
      </c>
      <c r="D360" s="15">
        <v>117.2900009155273</v>
      </c>
      <c r="E360" s="15">
        <v>119.6927795410156</v>
      </c>
      <c r="F360" s="15">
        <v>103.611442565918</v>
      </c>
      <c r="H360" s="16">
        <f t="shared" si="16"/>
        <v>3.9383216108283617E-3</v>
      </c>
      <c r="I360" s="16">
        <f t="shared" si="16"/>
        <v>-2.4684987398080027E-4</v>
      </c>
      <c r="J360" s="16">
        <f t="shared" si="16"/>
        <v>2.6395141502798189E-3</v>
      </c>
      <c r="K360" s="16">
        <f t="shared" si="17"/>
        <v>3.3027226486128545E-3</v>
      </c>
      <c r="L360" s="16">
        <f t="shared" si="18"/>
        <v>4.1913990955207347E-3</v>
      </c>
    </row>
    <row r="361" spans="1:12" x14ac:dyDescent="0.35">
      <c r="A361" s="18">
        <v>42776</v>
      </c>
      <c r="B361" s="15">
        <v>201.5766906738281</v>
      </c>
      <c r="C361" s="15">
        <v>63.197059631347663</v>
      </c>
      <c r="D361" s="15">
        <v>117.59999847412109</v>
      </c>
      <c r="E361" s="15">
        <v>120.0887451171875</v>
      </c>
      <c r="F361" s="15">
        <v>104.046630859375</v>
      </c>
      <c r="H361" s="16">
        <f t="shared" si="16"/>
        <v>5.4276445247697551E-3</v>
      </c>
      <c r="I361" s="16">
        <f t="shared" si="16"/>
        <v>-1.1103101130512979E-3</v>
      </c>
      <c r="J361" s="16">
        <f t="shared" si="16"/>
        <v>-6.8259259671759722E-3</v>
      </c>
      <c r="K361" s="16">
        <f t="shared" si="17"/>
        <v>5.6364653282931282E-3</v>
      </c>
      <c r="L361" s="16">
        <f t="shared" si="18"/>
        <v>5.006657339756213E-3</v>
      </c>
    </row>
    <row r="362" spans="1:12" x14ac:dyDescent="0.35">
      <c r="A362" s="18">
        <v>42779</v>
      </c>
      <c r="B362" s="15">
        <v>202.67375183105469</v>
      </c>
      <c r="C362" s="15">
        <v>63.126930236816413</v>
      </c>
      <c r="D362" s="15">
        <v>116.8000030517578</v>
      </c>
      <c r="E362" s="15">
        <v>120.7675323486328</v>
      </c>
      <c r="F362" s="15">
        <v>104.56886291503911</v>
      </c>
      <c r="H362" s="16">
        <f t="shared" si="16"/>
        <v>3.9877688695955666E-3</v>
      </c>
      <c r="I362" s="16">
        <f t="shared" si="16"/>
        <v>-2.1024789838687006E-3</v>
      </c>
      <c r="J362" s="16">
        <f t="shared" si="16"/>
        <v>1.1123712399390467E-3</v>
      </c>
      <c r="K362" s="16">
        <f t="shared" si="17"/>
        <v>3.3507000342027689E-3</v>
      </c>
      <c r="L362" s="16">
        <f t="shared" si="18"/>
        <v>3.6557070155870167E-3</v>
      </c>
    </row>
    <row r="363" spans="1:12" x14ac:dyDescent="0.35">
      <c r="A363" s="18">
        <v>42780</v>
      </c>
      <c r="B363" s="15">
        <v>203.48358154296881</v>
      </c>
      <c r="C363" s="15">
        <v>62.994346618652337</v>
      </c>
      <c r="D363" s="15">
        <v>116.9300003051758</v>
      </c>
      <c r="E363" s="15">
        <v>121.17286682128911</v>
      </c>
      <c r="F363" s="15">
        <v>104.9518356323242</v>
      </c>
      <c r="H363" s="16">
        <f t="shared" si="16"/>
        <v>5.2065490986750599E-3</v>
      </c>
      <c r="I363" s="16">
        <f t="shared" si="16"/>
        <v>-1.6096064212948482E-3</v>
      </c>
      <c r="J363" s="16">
        <f t="shared" si="16"/>
        <v>4.4372173593291335E-3</v>
      </c>
      <c r="K363" s="16">
        <f t="shared" si="17"/>
        <v>5.8959339759334477E-3</v>
      </c>
      <c r="L363" s="16">
        <f t="shared" si="18"/>
        <v>5.4585879976494518E-3</v>
      </c>
    </row>
    <row r="364" spans="1:12" x14ac:dyDescent="0.35">
      <c r="A364" s="18">
        <v>42781</v>
      </c>
      <c r="B364" s="15">
        <v>204.54579162597659</v>
      </c>
      <c r="C364" s="15">
        <v>62.893032073974609</v>
      </c>
      <c r="D364" s="15">
        <v>117.4499969482422</v>
      </c>
      <c r="E364" s="15">
        <v>121.889404296875</v>
      </c>
      <c r="F364" s="15">
        <v>105.5262908935547</v>
      </c>
      <c r="H364" s="16">
        <f t="shared" si="16"/>
        <v>-8.5160487056123828E-4</v>
      </c>
      <c r="I364" s="16">
        <f t="shared" si="16"/>
        <v>1.8570689252829533E-3</v>
      </c>
      <c r="J364" s="16">
        <f t="shared" si="16"/>
        <v>5.349691237603948E-3</v>
      </c>
      <c r="K364" s="16">
        <f t="shared" si="17"/>
        <v>-3.0950650987011485E-4</v>
      </c>
      <c r="L364" s="16">
        <f t="shared" si="18"/>
        <v>-9.0783066366185972E-4</v>
      </c>
    </row>
    <row r="365" spans="1:12" x14ac:dyDescent="0.35">
      <c r="A365" s="18">
        <v>42782</v>
      </c>
      <c r="B365" s="15">
        <v>204.3716735839844</v>
      </c>
      <c r="C365" s="15">
        <v>63.009937286376953</v>
      </c>
      <c r="D365" s="15">
        <v>118.0800018310547</v>
      </c>
      <c r="E365" s="15">
        <v>121.8516845703125</v>
      </c>
      <c r="F365" s="15">
        <v>105.430534362793</v>
      </c>
      <c r="H365" s="16">
        <f t="shared" si="16"/>
        <v>1.5750967772657156E-3</v>
      </c>
      <c r="I365" s="16">
        <f t="shared" si="16"/>
        <v>2.3487203758391262E-3</v>
      </c>
      <c r="J365" s="16">
        <f t="shared" si="16"/>
        <v>-3.3932974726115484E-3</v>
      </c>
      <c r="K365" s="16">
        <f t="shared" si="17"/>
        <v>4.3230265412890195E-3</v>
      </c>
      <c r="L365" s="16">
        <f t="shared" si="18"/>
        <v>1.4849677610134203E-3</v>
      </c>
    </row>
    <row r="366" spans="1:12" x14ac:dyDescent="0.35">
      <c r="A366" s="18">
        <v>42783</v>
      </c>
      <c r="B366" s="15">
        <v>204.69383239746091</v>
      </c>
      <c r="C366" s="15">
        <v>63.158103942871087</v>
      </c>
      <c r="D366" s="15">
        <v>117.6800003051758</v>
      </c>
      <c r="E366" s="15">
        <v>122.3795928955078</v>
      </c>
      <c r="F366" s="15">
        <v>105.5872116088867</v>
      </c>
      <c r="H366" s="16">
        <f t="shared" si="16"/>
        <v>5.9375448271061807E-3</v>
      </c>
      <c r="I366" s="16">
        <f t="shared" si="16"/>
        <v>-1.2376556474218709E-4</v>
      </c>
      <c r="J366" s="16">
        <f t="shared" si="16"/>
        <v>5.9465401007688173E-4</v>
      </c>
      <c r="K366" s="16">
        <f t="shared" si="17"/>
        <v>4.9183927937702064E-3</v>
      </c>
      <c r="L366" s="16">
        <f t="shared" si="18"/>
        <v>5.9177738392774092E-3</v>
      </c>
    </row>
    <row r="367" spans="1:12" x14ac:dyDescent="0.35">
      <c r="A367" s="18">
        <v>42787</v>
      </c>
      <c r="B367" s="15">
        <v>205.91282653808591</v>
      </c>
      <c r="C367" s="15">
        <v>63.150287628173828</v>
      </c>
      <c r="D367" s="15">
        <v>117.75</v>
      </c>
      <c r="E367" s="15">
        <v>122.9829864501953</v>
      </c>
      <c r="F367" s="15">
        <v>106.2139053344727</v>
      </c>
      <c r="H367" s="16">
        <f t="shared" si="16"/>
        <v>-8.8866920804189472E-4</v>
      </c>
      <c r="I367" s="16">
        <f t="shared" si="16"/>
        <v>6.1638066581469182E-4</v>
      </c>
      <c r="J367" s="16">
        <f t="shared" si="16"/>
        <v>1.3579197505684197E-3</v>
      </c>
      <c r="K367" s="16">
        <f t="shared" si="17"/>
        <v>3.833101119975081E-4</v>
      </c>
      <c r="L367" s="16">
        <f t="shared" si="18"/>
        <v>-1.3119818047803576E-3</v>
      </c>
    </row>
    <row r="368" spans="1:12" x14ac:dyDescent="0.35">
      <c r="A368" s="18">
        <v>42788</v>
      </c>
      <c r="B368" s="15">
        <v>205.72991943359381</v>
      </c>
      <c r="C368" s="15">
        <v>63.189224243164063</v>
      </c>
      <c r="D368" s="15">
        <v>117.9100036621094</v>
      </c>
      <c r="E368" s="15">
        <v>123.03013610839839</v>
      </c>
      <c r="F368" s="15">
        <v>106.07464599609381</v>
      </c>
      <c r="H368" s="16">
        <f t="shared" si="16"/>
        <v>6.7708233199764278E-4</v>
      </c>
      <c r="I368" s="16">
        <f t="shared" si="16"/>
        <v>1.8495773278653092E-3</v>
      </c>
      <c r="J368" s="16">
        <f t="shared" si="16"/>
        <v>8.6975321577196889E-3</v>
      </c>
      <c r="K368" s="16">
        <f t="shared" si="17"/>
        <v>-3.761793732675212E-3</v>
      </c>
      <c r="L368" s="16">
        <f t="shared" si="18"/>
        <v>-7.3872440475363107E-4</v>
      </c>
    </row>
    <row r="369" spans="1:12" x14ac:dyDescent="0.35">
      <c r="A369" s="18">
        <v>42789</v>
      </c>
      <c r="B369" s="15">
        <v>205.8692626953125</v>
      </c>
      <c r="C369" s="15">
        <v>63.306205749511719</v>
      </c>
      <c r="D369" s="15">
        <v>118.94000244140619</v>
      </c>
      <c r="E369" s="15">
        <v>122.5681915283203</v>
      </c>
      <c r="F369" s="15">
        <v>105.99631500244141</v>
      </c>
      <c r="H369" s="16">
        <f t="shared" si="16"/>
        <v>1.2681840178857704E-3</v>
      </c>
      <c r="I369" s="16">
        <f t="shared" si="16"/>
        <v>3.687362438335738E-3</v>
      </c>
      <c r="J369" s="16">
        <f t="shared" si="16"/>
        <v>6.3694022640593349E-3</v>
      </c>
      <c r="K369" s="16">
        <f t="shared" si="17"/>
        <v>1.9208743833018609E-3</v>
      </c>
      <c r="L369" s="16">
        <f t="shared" si="18"/>
        <v>1.6410449811348031E-3</v>
      </c>
    </row>
    <row r="370" spans="1:12" x14ac:dyDescent="0.35">
      <c r="A370" s="18">
        <v>42790</v>
      </c>
      <c r="B370" s="15">
        <v>206.13050842285159</v>
      </c>
      <c r="C370" s="15">
        <v>63.540069580078118</v>
      </c>
      <c r="D370" s="15">
        <v>119.6999969482422</v>
      </c>
      <c r="E370" s="15">
        <v>122.80385589599609</v>
      </c>
      <c r="F370" s="15">
        <v>106.1704025268555</v>
      </c>
      <c r="H370" s="16">
        <f t="shared" si="16"/>
        <v>1.5615197331573503E-3</v>
      </c>
      <c r="I370" s="16">
        <f t="shared" si="16"/>
        <v>-2.0874707634829467E-3</v>
      </c>
      <c r="J370" s="16">
        <f t="shared" si="16"/>
        <v>-4.857175635851251E-3</v>
      </c>
      <c r="K370" s="16">
        <f t="shared" si="17"/>
        <v>1.2274905751052867E-3</v>
      </c>
      <c r="L370" s="16">
        <f t="shared" si="18"/>
        <v>2.210910920740149E-3</v>
      </c>
    </row>
    <row r="371" spans="1:12" x14ac:dyDescent="0.35">
      <c r="A371" s="18">
        <v>42793</v>
      </c>
      <c r="B371" s="15">
        <v>206.45263671875</v>
      </c>
      <c r="C371" s="15">
        <v>63.407569885253913</v>
      </c>
      <c r="D371" s="15">
        <v>119.120002746582</v>
      </c>
      <c r="E371" s="15">
        <v>122.95468902587891</v>
      </c>
      <c r="F371" s="15">
        <v>106.4053955078125</v>
      </c>
      <c r="H371" s="16">
        <f t="shared" si="16"/>
        <v>-2.7027462532114932E-3</v>
      </c>
      <c r="I371" s="16">
        <f t="shared" si="16"/>
        <v>-7.3797307996236459E-4</v>
      </c>
      <c r="J371" s="16">
        <f t="shared" si="16"/>
        <v>9.2301754012539693E-4</v>
      </c>
      <c r="K371" s="16">
        <f t="shared" si="17"/>
        <v>-3.0713694704472983E-3</v>
      </c>
      <c r="L371" s="16">
        <f t="shared" si="18"/>
        <v>-3.6876438051091525E-3</v>
      </c>
    </row>
    <row r="372" spans="1:12" x14ac:dyDescent="0.35">
      <c r="A372" s="18">
        <v>42794</v>
      </c>
      <c r="B372" s="15">
        <v>205.89540100097659</v>
      </c>
      <c r="C372" s="15">
        <v>63.360794067382813</v>
      </c>
      <c r="D372" s="15">
        <v>119.23000335693359</v>
      </c>
      <c r="E372" s="15">
        <v>122.5776290893555</v>
      </c>
      <c r="F372" s="15">
        <v>106.01373291015619</v>
      </c>
      <c r="H372" s="16">
        <f t="shared" si="16"/>
        <v>1.3900430905223979E-2</v>
      </c>
      <c r="I372" s="16">
        <f t="shared" si="16"/>
        <v>-4.1017434947754512E-3</v>
      </c>
      <c r="J372" s="16">
        <f t="shared" si="16"/>
        <v>-1.4268817535843857E-3</v>
      </c>
      <c r="K372" s="16">
        <f t="shared" si="17"/>
        <v>1.0862030991154901E-2</v>
      </c>
      <c r="L372" s="16">
        <f t="shared" si="18"/>
        <v>1.3374656026674137E-2</v>
      </c>
    </row>
    <row r="373" spans="1:12" x14ac:dyDescent="0.35">
      <c r="A373" s="18">
        <v>42795</v>
      </c>
      <c r="B373" s="15">
        <v>208.77742004394531</v>
      </c>
      <c r="C373" s="15">
        <v>63.101436614990227</v>
      </c>
      <c r="D373" s="15">
        <v>119.05999755859381</v>
      </c>
      <c r="E373" s="15">
        <v>123.9163284301758</v>
      </c>
      <c r="F373" s="15">
        <v>107.4411544799805</v>
      </c>
      <c r="H373" s="16">
        <f t="shared" si="16"/>
        <v>-6.3175491849478396E-3</v>
      </c>
      <c r="I373" s="16">
        <f t="shared" si="16"/>
        <v>-1.8586737793124704E-3</v>
      </c>
      <c r="J373" s="16">
        <f t="shared" si="16"/>
        <v>-1.2508578672614174E-2</v>
      </c>
      <c r="K373" s="16">
        <f t="shared" si="17"/>
        <v>-5.0339640151219065E-3</v>
      </c>
      <c r="L373" s="16">
        <f t="shared" si="18"/>
        <v>-6.4204125186251189E-3</v>
      </c>
    </row>
    <row r="374" spans="1:12" x14ac:dyDescent="0.35">
      <c r="A374" s="18">
        <v>42796</v>
      </c>
      <c r="B374" s="15">
        <v>207.4626159667969</v>
      </c>
      <c r="C374" s="15">
        <v>62.984260559082031</v>
      </c>
      <c r="D374" s="15">
        <v>117.5800018310547</v>
      </c>
      <c r="E374" s="15">
        <v>123.2941055297852</v>
      </c>
      <c r="F374" s="15">
        <v>106.753547668457</v>
      </c>
      <c r="H374" s="16">
        <f t="shared" si="16"/>
        <v>6.2975384882811287E-4</v>
      </c>
      <c r="I374" s="16">
        <f t="shared" si="16"/>
        <v>7.4407778991061164E-4</v>
      </c>
      <c r="J374" s="16">
        <f t="shared" si="16"/>
        <v>-5.955140219628223E-4</v>
      </c>
      <c r="K374" s="16">
        <f t="shared" si="17"/>
        <v>1.8332972476392314E-3</v>
      </c>
      <c r="L374" s="16">
        <f t="shared" si="18"/>
        <v>8.1489609048452077E-4</v>
      </c>
    </row>
    <row r="375" spans="1:12" x14ac:dyDescent="0.35">
      <c r="A375" s="18">
        <v>42797</v>
      </c>
      <c r="B375" s="15">
        <v>207.59330749511719</v>
      </c>
      <c r="C375" s="15">
        <v>63.031143188476563</v>
      </c>
      <c r="D375" s="15">
        <v>117.5100021362305</v>
      </c>
      <c r="E375" s="15">
        <v>123.5203475952148</v>
      </c>
      <c r="F375" s="15">
        <v>106.840576171875</v>
      </c>
      <c r="H375" s="16">
        <f t="shared" si="16"/>
        <v>-2.9829444815062736E-3</v>
      </c>
      <c r="I375" s="16">
        <f t="shared" si="16"/>
        <v>-6.199859982840884E-4</v>
      </c>
      <c r="J375" s="16">
        <f t="shared" si="16"/>
        <v>-6.7455398520687984E-3</v>
      </c>
      <c r="K375" s="16">
        <f t="shared" si="17"/>
        <v>-2.2155389326416804E-3</v>
      </c>
      <c r="L375" s="16">
        <f t="shared" si="18"/>
        <v>-3.9180304188976157E-3</v>
      </c>
    </row>
    <row r="376" spans="1:12" x14ac:dyDescent="0.35">
      <c r="A376" s="18">
        <v>42800</v>
      </c>
      <c r="B376" s="15">
        <v>206.97499084472659</v>
      </c>
      <c r="C376" s="15">
        <v>62.992076873779297</v>
      </c>
      <c r="D376" s="15">
        <v>116.7200012207031</v>
      </c>
      <c r="E376" s="15">
        <v>123.2469863891602</v>
      </c>
      <c r="F376" s="15">
        <v>106.42279052734381</v>
      </c>
      <c r="H376" s="16">
        <f t="shared" si="16"/>
        <v>-2.9907599116342849E-3</v>
      </c>
      <c r="I376" s="16">
        <f t="shared" si="16"/>
        <v>-1.8614182353477052E-3</v>
      </c>
      <c r="J376" s="16">
        <f t="shared" si="16"/>
        <v>-8.0860865653585544E-3</v>
      </c>
      <c r="K376" s="16">
        <f t="shared" si="17"/>
        <v>-1.6845066672696379E-3</v>
      </c>
      <c r="L376" s="16">
        <f t="shared" si="18"/>
        <v>-3.1949217516723544E-3</v>
      </c>
    </row>
    <row r="377" spans="1:12" x14ac:dyDescent="0.35">
      <c r="A377" s="18">
        <v>42801</v>
      </c>
      <c r="B377" s="15">
        <v>206.3569030761719</v>
      </c>
      <c r="C377" s="15">
        <v>62.874931335449219</v>
      </c>
      <c r="D377" s="15">
        <v>115.7799987792969</v>
      </c>
      <c r="E377" s="15">
        <v>123.03955078125</v>
      </c>
      <c r="F377" s="15">
        <v>106.0833206176758</v>
      </c>
      <c r="H377" s="16">
        <f t="shared" si="16"/>
        <v>-1.8585257691753547E-3</v>
      </c>
      <c r="I377" s="16">
        <f t="shared" si="16"/>
        <v>-2.3633246653605531E-3</v>
      </c>
      <c r="J377" s="16">
        <f t="shared" si="16"/>
        <v>-6.2381178909613581E-3</v>
      </c>
      <c r="K377" s="16">
        <f t="shared" si="17"/>
        <v>1.7610162127083238E-3</v>
      </c>
      <c r="L377" s="16">
        <f t="shared" si="18"/>
        <v>-2.7934158928314971E-3</v>
      </c>
    </row>
    <row r="378" spans="1:12" x14ac:dyDescent="0.35">
      <c r="A378" s="18">
        <v>42802</v>
      </c>
      <c r="B378" s="15">
        <v>205.97373962402341</v>
      </c>
      <c r="C378" s="15">
        <v>62.726512908935547</v>
      </c>
      <c r="D378" s="15">
        <v>115.05999755859381</v>
      </c>
      <c r="E378" s="15">
        <v>123.2564163208008</v>
      </c>
      <c r="F378" s="15">
        <v>105.7873992919922</v>
      </c>
      <c r="H378" s="16">
        <f t="shared" si="16"/>
        <v>1.2672452094494929E-3</v>
      </c>
      <c r="I378" s="16">
        <f t="shared" si="16"/>
        <v>-3.1185119457240837E-3</v>
      </c>
      <c r="J378" s="16">
        <f t="shared" si="16"/>
        <v>-5.1409196222572447E-3</v>
      </c>
      <c r="K378" s="16">
        <f t="shared" si="17"/>
        <v>7.6440256513170182E-4</v>
      </c>
      <c r="L378" s="16">
        <f t="shared" si="18"/>
        <v>4.9368423000272236E-4</v>
      </c>
    </row>
    <row r="379" spans="1:12" x14ac:dyDescent="0.35">
      <c r="A379" s="18">
        <v>42803</v>
      </c>
      <c r="B379" s="15">
        <v>206.23492431640619</v>
      </c>
      <c r="C379" s="15">
        <v>62.531204223632813</v>
      </c>
      <c r="D379" s="15">
        <v>114.4700012207031</v>
      </c>
      <c r="E379" s="15">
        <v>123.3506698608398</v>
      </c>
      <c r="F379" s="15">
        <v>105.8396377563477</v>
      </c>
      <c r="H379" s="16">
        <f t="shared" si="16"/>
        <v>3.4979928747141914E-3</v>
      </c>
      <c r="I379" s="16">
        <f t="shared" si="16"/>
        <v>1.9968239684011917E-3</v>
      </c>
      <c r="J379" s="16">
        <f t="shared" si="16"/>
        <v>2.1815968976861885E-3</v>
      </c>
      <c r="K379" s="16">
        <f t="shared" si="17"/>
        <v>4.195094810107854E-3</v>
      </c>
      <c r="L379" s="16">
        <f t="shared" si="18"/>
        <v>3.611749904060851E-3</v>
      </c>
    </row>
    <row r="380" spans="1:12" x14ac:dyDescent="0.35">
      <c r="A380" s="18">
        <v>42804</v>
      </c>
      <c r="B380" s="15">
        <v>206.95759582519531</v>
      </c>
      <c r="C380" s="15">
        <v>62.656192779541023</v>
      </c>
      <c r="D380" s="15">
        <v>114.7200012207031</v>
      </c>
      <c r="E380" s="15">
        <v>123.8692245483398</v>
      </c>
      <c r="F380" s="15">
        <v>106.22259521484381</v>
      </c>
      <c r="H380" s="16">
        <f t="shared" si="16"/>
        <v>5.0484287939304084E-4</v>
      </c>
      <c r="I380" s="16">
        <f t="shared" si="16"/>
        <v>-1.9968239684010664E-3</v>
      </c>
      <c r="J380" s="16">
        <f t="shared" si="16"/>
        <v>1.7429306368713733E-4</v>
      </c>
      <c r="K380" s="16">
        <f t="shared" si="17"/>
        <v>1.6727413919615573E-3</v>
      </c>
      <c r="L380" s="16">
        <f t="shared" si="18"/>
        <v>7.3729486355842268E-4</v>
      </c>
    </row>
    <row r="381" spans="1:12" x14ac:dyDescent="0.35">
      <c r="A381" s="18">
        <v>42807</v>
      </c>
      <c r="B381" s="15">
        <v>207.0621032714844</v>
      </c>
      <c r="C381" s="15">
        <v>62.531204223632813</v>
      </c>
      <c r="D381" s="15">
        <v>114.7399978637695</v>
      </c>
      <c r="E381" s="15">
        <v>124.07659912109381</v>
      </c>
      <c r="F381" s="15">
        <v>106.3009414672852</v>
      </c>
      <c r="H381" s="16">
        <f t="shared" si="16"/>
        <v>-3.8339367484674404E-3</v>
      </c>
      <c r="I381" s="16">
        <f t="shared" si="16"/>
        <v>-1.2525048970385311E-4</v>
      </c>
      <c r="J381" s="16">
        <f t="shared" si="16"/>
        <v>-5.4181301429252777E-3</v>
      </c>
      <c r="K381" s="16">
        <f t="shared" si="17"/>
        <v>-2.4343741892524262E-3</v>
      </c>
      <c r="L381" s="16">
        <f t="shared" si="18"/>
        <v>-3.609299244956714E-3</v>
      </c>
    </row>
    <row r="382" spans="1:12" x14ac:dyDescent="0.35">
      <c r="A382" s="18">
        <v>42808</v>
      </c>
      <c r="B382" s="15">
        <v>206.26976013183591</v>
      </c>
      <c r="C382" s="15">
        <v>62.523372650146477</v>
      </c>
      <c r="D382" s="15">
        <v>114.120002746582</v>
      </c>
      <c r="E382" s="15">
        <v>123.77491760253911</v>
      </c>
      <c r="F382" s="15">
        <v>105.9179611206055</v>
      </c>
      <c r="H382" s="16">
        <f t="shared" si="16"/>
        <v>8.616285171929073E-3</v>
      </c>
      <c r="I382" s="16">
        <f t="shared" si="16"/>
        <v>6.2276821665479994E-3</v>
      </c>
      <c r="J382" s="16">
        <f t="shared" si="16"/>
        <v>1.8492494054676342E-2</v>
      </c>
      <c r="K382" s="16">
        <f t="shared" si="17"/>
        <v>6.1507654550512891E-3</v>
      </c>
      <c r="L382" s="16">
        <f t="shared" si="18"/>
        <v>8.9987251793949528E-3</v>
      </c>
    </row>
    <row r="383" spans="1:12" x14ac:dyDescent="0.35">
      <c r="A383" s="18">
        <v>42809</v>
      </c>
      <c r="B383" s="15">
        <v>208.0547180175781</v>
      </c>
      <c r="C383" s="15">
        <v>62.913963317871087</v>
      </c>
      <c r="D383" s="15">
        <v>116.25</v>
      </c>
      <c r="E383" s="15">
        <v>124.53857421875</v>
      </c>
      <c r="F383" s="15">
        <v>106.87538909912109</v>
      </c>
      <c r="H383" s="16">
        <f t="shared" si="16"/>
        <v>-1.9686291427532913E-3</v>
      </c>
      <c r="I383" s="16">
        <f t="shared" si="16"/>
        <v>-1.4911201519707522E-3</v>
      </c>
      <c r="J383" s="16">
        <f t="shared" si="16"/>
        <v>4.1205599552108672E-3</v>
      </c>
      <c r="K383" s="16">
        <f t="shared" si="17"/>
        <v>-6.8188687910406736E-4</v>
      </c>
      <c r="L383" s="16">
        <f t="shared" si="18"/>
        <v>-1.2223020183110753E-3</v>
      </c>
    </row>
    <row r="384" spans="1:12" x14ac:dyDescent="0.35">
      <c r="A384" s="18">
        <v>42810</v>
      </c>
      <c r="B384" s="15">
        <v>207.6455383300781</v>
      </c>
      <c r="C384" s="15">
        <v>62.820220947265618</v>
      </c>
      <c r="D384" s="15">
        <v>116.73000335693359</v>
      </c>
      <c r="E384" s="15">
        <v>124.4536819458008</v>
      </c>
      <c r="F384" s="15">
        <v>106.7448348999023</v>
      </c>
      <c r="H384" s="16">
        <f t="shared" si="16"/>
        <v>-1.7577569789192829E-3</v>
      </c>
      <c r="I384" s="16">
        <f t="shared" si="16"/>
        <v>1.9880099334998562E-3</v>
      </c>
      <c r="J384" s="16">
        <f t="shared" si="16"/>
        <v>2.2248383768924381E-3</v>
      </c>
      <c r="K384" s="16">
        <f t="shared" si="17"/>
        <v>-3.4912069642168439E-4</v>
      </c>
      <c r="L384" s="16">
        <f t="shared" si="18"/>
        <v>-5.7080487680528881E-4</v>
      </c>
    </row>
    <row r="385" spans="1:12" x14ac:dyDescent="0.35">
      <c r="A385" s="18">
        <v>42811</v>
      </c>
      <c r="B385" s="15">
        <v>207.28086853027341</v>
      </c>
      <c r="C385" s="15">
        <v>62.945232391357422</v>
      </c>
      <c r="D385" s="15">
        <v>116.9899978637695</v>
      </c>
      <c r="E385" s="15">
        <v>124.4102401733398</v>
      </c>
      <c r="F385" s="15">
        <v>106.6839218139648</v>
      </c>
      <c r="H385" s="16">
        <f t="shared" si="16"/>
        <v>-1.0976727576854585E-3</v>
      </c>
      <c r="I385" s="16">
        <f t="shared" si="16"/>
        <v>1.9832188233682643E-3</v>
      </c>
      <c r="J385" s="16">
        <f t="shared" si="16"/>
        <v>4.4350117254183391E-3</v>
      </c>
      <c r="K385" s="16">
        <f t="shared" si="17"/>
        <v>9.1105076228521298E-4</v>
      </c>
      <c r="L385" s="16">
        <f t="shared" si="18"/>
        <v>-2.3688443572010384E-3</v>
      </c>
    </row>
    <row r="386" spans="1:12" x14ac:dyDescent="0.35">
      <c r="A386" s="18">
        <v>42814</v>
      </c>
      <c r="B386" s="15">
        <v>207.053466796875</v>
      </c>
      <c r="C386" s="15">
        <v>63.0701904296875</v>
      </c>
      <c r="D386" s="15">
        <v>117.5100021362305</v>
      </c>
      <c r="E386" s="15">
        <v>124.5236358642578</v>
      </c>
      <c r="F386" s="15">
        <v>106.43150329589839</v>
      </c>
      <c r="H386" s="16">
        <f t="shared" si="16"/>
        <v>-1.292278583109816E-2</v>
      </c>
      <c r="I386" s="16">
        <f t="shared" si="16"/>
        <v>2.350522071671165E-3</v>
      </c>
      <c r="J386" s="16">
        <f t="shared" si="16"/>
        <v>8.7270095580665417E-3</v>
      </c>
      <c r="K386" s="16">
        <f t="shared" si="17"/>
        <v>-1.5290092770638379E-2</v>
      </c>
      <c r="L386" s="16">
        <f t="shared" si="18"/>
        <v>-1.4082736809778553E-2</v>
      </c>
    </row>
    <row r="387" spans="1:12" x14ac:dyDescent="0.35">
      <c r="A387" s="18">
        <v>42815</v>
      </c>
      <c r="B387" s="15">
        <v>204.39497375488281</v>
      </c>
      <c r="C387" s="15">
        <v>63.218612670898438</v>
      </c>
      <c r="D387" s="15">
        <v>118.5400009155273</v>
      </c>
      <c r="E387" s="15">
        <v>122.63414001464839</v>
      </c>
      <c r="F387" s="15">
        <v>104.9431610107422</v>
      </c>
      <c r="H387" s="16">
        <f t="shared" si="16"/>
        <v>2.3506848480607558E-3</v>
      </c>
      <c r="I387" s="16">
        <f t="shared" si="16"/>
        <v>1.3582060841971547E-3</v>
      </c>
      <c r="J387" s="16">
        <f t="shared" si="16"/>
        <v>2.4434516279081392E-3</v>
      </c>
      <c r="K387" s="16">
        <f t="shared" si="17"/>
        <v>6.7564359991199741E-3</v>
      </c>
      <c r="L387" s="16">
        <f t="shared" si="18"/>
        <v>1.3259728572701784E-3</v>
      </c>
    </row>
    <row r="388" spans="1:12" x14ac:dyDescent="0.35">
      <c r="A388" s="18">
        <v>42816</v>
      </c>
      <c r="B388" s="15">
        <v>204.8760070800781</v>
      </c>
      <c r="C388" s="15">
        <v>63.304534912109382</v>
      </c>
      <c r="D388" s="15">
        <v>118.8300018310547</v>
      </c>
      <c r="E388" s="15">
        <v>123.46551513671881</v>
      </c>
      <c r="F388" s="15">
        <v>105.082405090332</v>
      </c>
      <c r="H388" s="16">
        <f t="shared" ref="H388:J451" si="19">LN(B389/B388)</f>
        <v>-1.0678420450648545E-3</v>
      </c>
      <c r="I388" s="16">
        <f t="shared" si="19"/>
        <v>-4.9316451013166199E-4</v>
      </c>
      <c r="J388" s="16">
        <f t="shared" si="19"/>
        <v>-1.3473994637173104E-3</v>
      </c>
      <c r="K388" s="16">
        <f t="shared" ref="K388:K451" si="20">LN(E389/E388)</f>
        <v>-2.5281466147108879E-3</v>
      </c>
      <c r="L388" s="16">
        <f t="shared" ref="L388:L451" si="21">LN(F389/F388)</f>
        <v>-3.3127394813722865E-4</v>
      </c>
    </row>
    <row r="389" spans="1:12" x14ac:dyDescent="0.35">
      <c r="A389" s="18">
        <v>42817</v>
      </c>
      <c r="B389" s="15">
        <v>204.6573486328125</v>
      </c>
      <c r="C389" s="15">
        <v>63.273323059082031</v>
      </c>
      <c r="D389" s="15">
        <v>118.6699981689453</v>
      </c>
      <c r="E389" s="15">
        <v>123.1537704467773</v>
      </c>
      <c r="F389" s="15">
        <v>105.0475997924805</v>
      </c>
      <c r="H389" s="16">
        <f t="shared" si="19"/>
        <v>-7.2675462521984945E-4</v>
      </c>
      <c r="I389" s="16">
        <f t="shared" si="19"/>
        <v>-2.4757805060629013E-4</v>
      </c>
      <c r="J389" s="16">
        <f t="shared" si="19"/>
        <v>1.5998188263160666E-3</v>
      </c>
      <c r="K389" s="16">
        <f t="shared" si="20"/>
        <v>2.0689137801087713E-3</v>
      </c>
      <c r="L389" s="16">
        <f t="shared" si="21"/>
        <v>9.9713239186472629E-5</v>
      </c>
    </row>
    <row r="390" spans="1:12" x14ac:dyDescent="0.35">
      <c r="A390" s="18">
        <v>42818</v>
      </c>
      <c r="B390" s="15">
        <v>204.5086669921875</v>
      </c>
      <c r="C390" s="15">
        <v>63.257659912109382</v>
      </c>
      <c r="D390" s="15">
        <v>118.86000061035161</v>
      </c>
      <c r="E390" s="15">
        <v>123.40882873535161</v>
      </c>
      <c r="F390" s="15">
        <v>105.0580749511719</v>
      </c>
      <c r="H390" s="16">
        <f t="shared" si="19"/>
        <v>-1.0266648960639752E-3</v>
      </c>
      <c r="I390" s="16">
        <f t="shared" si="19"/>
        <v>2.0971064230021182E-3</v>
      </c>
      <c r="J390" s="16">
        <f t="shared" si="19"/>
        <v>5.6210406038038887E-3</v>
      </c>
      <c r="K390" s="16">
        <f t="shared" si="20"/>
        <v>1.6063313800577103E-3</v>
      </c>
      <c r="L390" s="16">
        <f t="shared" si="21"/>
        <v>-1.1658063469098621E-3</v>
      </c>
    </row>
    <row r="391" spans="1:12" x14ac:dyDescent="0.35">
      <c r="A391" s="18">
        <v>42821</v>
      </c>
      <c r="B391" s="15">
        <v>204.29881286621091</v>
      </c>
      <c r="C391" s="15">
        <v>63.390457153320313</v>
      </c>
      <c r="D391" s="15">
        <v>119.5299987792969</v>
      </c>
      <c r="E391" s="15">
        <v>123.6072235107422</v>
      </c>
      <c r="F391" s="15">
        <v>104.9356689453125</v>
      </c>
      <c r="H391" s="16">
        <f t="shared" si="19"/>
        <v>7.2503373482791129E-3</v>
      </c>
      <c r="I391" s="16">
        <f t="shared" si="19"/>
        <v>-1.8495283723957484E-3</v>
      </c>
      <c r="J391" s="16">
        <f t="shared" si="19"/>
        <v>-4.1077969016614412E-3</v>
      </c>
      <c r="K391" s="16">
        <f t="shared" si="20"/>
        <v>6.0958368048021211E-3</v>
      </c>
      <c r="L391" s="16">
        <f t="shared" si="21"/>
        <v>6.9745382439784431E-3</v>
      </c>
    </row>
    <row r="392" spans="1:12" x14ac:dyDescent="0.35">
      <c r="A392" s="18">
        <v>42822</v>
      </c>
      <c r="B392" s="15">
        <v>205.7854309082031</v>
      </c>
      <c r="C392" s="15">
        <v>63.273323059082031</v>
      </c>
      <c r="D392" s="15">
        <v>119.0400009155273</v>
      </c>
      <c r="E392" s="15">
        <v>124.36301422119141</v>
      </c>
      <c r="F392" s="15">
        <v>105.67010498046881</v>
      </c>
      <c r="H392" s="16">
        <f t="shared" si="19"/>
        <v>9.3450826741280351E-4</v>
      </c>
      <c r="I392" s="16">
        <f t="shared" si="19"/>
        <v>1.9727047106115774E-3</v>
      </c>
      <c r="J392" s="16">
        <f t="shared" si="19"/>
        <v>2.4332009503233616E-3</v>
      </c>
      <c r="K392" s="16">
        <f t="shared" si="20"/>
        <v>4.6230177007234525E-3</v>
      </c>
      <c r="L392" s="16">
        <f t="shared" si="21"/>
        <v>1.8185826657065355E-3</v>
      </c>
    </row>
    <row r="393" spans="1:12" x14ac:dyDescent="0.35">
      <c r="A393" s="18">
        <v>42823</v>
      </c>
      <c r="B393" s="15">
        <v>205.97782897949219</v>
      </c>
      <c r="C393" s="15">
        <v>63.398265838623047</v>
      </c>
      <c r="D393" s="15">
        <v>119.3300018310547</v>
      </c>
      <c r="E393" s="15">
        <v>124.9392776489258</v>
      </c>
      <c r="F393" s="15">
        <v>105.86244964599609</v>
      </c>
      <c r="H393" s="16">
        <f t="shared" si="19"/>
        <v>3.1790379375584571E-3</v>
      </c>
      <c r="I393" s="16">
        <f t="shared" si="19"/>
        <v>-1.6022359935302598E-3</v>
      </c>
      <c r="J393" s="16">
        <f t="shared" si="19"/>
        <v>-7.2330054554583965E-3</v>
      </c>
      <c r="K393" s="16">
        <f t="shared" si="20"/>
        <v>1.6622676301054655E-3</v>
      </c>
      <c r="L393" s="16">
        <f t="shared" si="21"/>
        <v>3.7095621562763708E-3</v>
      </c>
    </row>
    <row r="394" spans="1:12" x14ac:dyDescent="0.35">
      <c r="A394" s="18">
        <v>42824</v>
      </c>
      <c r="B394" s="15">
        <v>206.63368225097659</v>
      </c>
      <c r="C394" s="15">
        <v>63.296768188476563</v>
      </c>
      <c r="D394" s="15">
        <v>118.4700012207031</v>
      </c>
      <c r="E394" s="15">
        <v>125.1471328735352</v>
      </c>
      <c r="F394" s="15">
        <v>106.25588226318359</v>
      </c>
      <c r="H394" s="16">
        <f t="shared" si="19"/>
        <v>-2.3302959602824087E-3</v>
      </c>
      <c r="I394" s="16">
        <f t="shared" si="19"/>
        <v>6.1621950931473025E-4</v>
      </c>
      <c r="J394" s="16">
        <f t="shared" si="19"/>
        <v>2.1080154307045892E-3</v>
      </c>
      <c r="K394" s="16">
        <f t="shared" si="20"/>
        <v>-6.7972900299518267E-4</v>
      </c>
      <c r="L394" s="16">
        <f t="shared" si="21"/>
        <v>-1.7294118917986719E-3</v>
      </c>
    </row>
    <row r="395" spans="1:12" x14ac:dyDescent="0.35">
      <c r="A395" s="18">
        <v>42825</v>
      </c>
      <c r="B395" s="15">
        <v>206.15272521972659</v>
      </c>
      <c r="C395" s="15">
        <v>63.335784912109382</v>
      </c>
      <c r="D395" s="15">
        <v>118.7200012207031</v>
      </c>
      <c r="E395" s="15">
        <v>125.0620956420898</v>
      </c>
      <c r="F395" s="15">
        <v>106.07228088378911</v>
      </c>
      <c r="H395" s="16">
        <f t="shared" si="19"/>
        <v>-1.7407637559235282E-3</v>
      </c>
      <c r="I395" s="16">
        <f t="shared" si="19"/>
        <v>3.6275539508552426E-3</v>
      </c>
      <c r="J395" s="16">
        <f t="shared" si="19"/>
        <v>5.2925502986569343E-3</v>
      </c>
      <c r="K395" s="16">
        <f t="shared" si="20"/>
        <v>-6.0467985222949596E-4</v>
      </c>
      <c r="L395" s="16">
        <f t="shared" si="21"/>
        <v>-2.475819119395446E-3</v>
      </c>
    </row>
    <row r="396" spans="1:12" x14ac:dyDescent="0.35">
      <c r="A396" s="18">
        <v>42828</v>
      </c>
      <c r="B396" s="15">
        <v>205.79417419433591</v>
      </c>
      <c r="C396" s="15">
        <v>63.565956115722663</v>
      </c>
      <c r="D396" s="15">
        <v>119.34999847412109</v>
      </c>
      <c r="E396" s="15">
        <v>124.9864959716797</v>
      </c>
      <c r="F396" s="15">
        <v>105.8099899291992</v>
      </c>
      <c r="H396" s="16">
        <f t="shared" si="19"/>
        <v>6.3737720889317192E-4</v>
      </c>
      <c r="I396" s="16">
        <f t="shared" si="19"/>
        <v>-1.1092099690793499E-3</v>
      </c>
      <c r="J396" s="16">
        <f t="shared" si="19"/>
        <v>2.2597345773736639E-3</v>
      </c>
      <c r="K396" s="16">
        <f t="shared" si="20"/>
        <v>1.5860712096876031E-3</v>
      </c>
      <c r="L396" s="16">
        <f t="shared" si="21"/>
        <v>4.9566885491780864E-4</v>
      </c>
    </row>
    <row r="397" spans="1:12" x14ac:dyDescent="0.35">
      <c r="A397" s="18">
        <v>42829</v>
      </c>
      <c r="B397" s="15">
        <v>205.9253845214844</v>
      </c>
      <c r="C397" s="15">
        <v>63.495487213134773</v>
      </c>
      <c r="D397" s="15">
        <v>119.620002746582</v>
      </c>
      <c r="E397" s="15">
        <v>125.1848907470703</v>
      </c>
      <c r="F397" s="15">
        <v>105.86244964599609</v>
      </c>
      <c r="H397" s="16">
        <f t="shared" si="19"/>
        <v>-2.9770417708328118E-3</v>
      </c>
      <c r="I397" s="16">
        <f t="shared" si="19"/>
        <v>8.6301191813003577E-4</v>
      </c>
      <c r="J397" s="16">
        <f t="shared" si="19"/>
        <v>0</v>
      </c>
      <c r="K397" s="16">
        <f t="shared" si="20"/>
        <v>-4.083230369114425E-3</v>
      </c>
      <c r="L397" s="16">
        <f t="shared" si="21"/>
        <v>-4.0550979951159589E-3</v>
      </c>
    </row>
    <row r="398" spans="1:12" x14ac:dyDescent="0.35">
      <c r="A398" s="18">
        <v>42830</v>
      </c>
      <c r="B398" s="15">
        <v>205.31324768066409</v>
      </c>
      <c r="C398" s="15">
        <v>63.550308227539063</v>
      </c>
      <c r="D398" s="15">
        <v>119.620002746582</v>
      </c>
      <c r="E398" s="15">
        <v>124.6747741699219</v>
      </c>
      <c r="F398" s="15">
        <v>105.4340362548828</v>
      </c>
      <c r="H398" s="16">
        <f t="shared" si="19"/>
        <v>2.8070450629052771E-3</v>
      </c>
      <c r="I398" s="16">
        <f t="shared" si="19"/>
        <v>3.6927435009891655E-4</v>
      </c>
      <c r="J398" s="16">
        <f t="shared" si="19"/>
        <v>-3.6851166978414678E-3</v>
      </c>
      <c r="K398" s="16">
        <f t="shared" si="20"/>
        <v>5.3016986437634734E-4</v>
      </c>
      <c r="L398" s="16">
        <f t="shared" si="21"/>
        <v>3.1462561348048106E-3</v>
      </c>
    </row>
    <row r="399" spans="1:12" x14ac:dyDescent="0.35">
      <c r="A399" s="18">
        <v>42831</v>
      </c>
      <c r="B399" s="15">
        <v>205.890380859375</v>
      </c>
      <c r="C399" s="15">
        <v>63.573780059814453</v>
      </c>
      <c r="D399" s="15">
        <v>119.1800003051758</v>
      </c>
      <c r="E399" s="15">
        <v>124.7408905029297</v>
      </c>
      <c r="F399" s="15">
        <v>105.7662811279297</v>
      </c>
      <c r="H399" s="16">
        <f t="shared" si="19"/>
        <v>-1.0198457027201695E-3</v>
      </c>
      <c r="I399" s="16">
        <f t="shared" si="19"/>
        <v>-2.2184159774851042E-3</v>
      </c>
      <c r="J399" s="16">
        <f t="shared" si="19"/>
        <v>2.3466217608162513E-3</v>
      </c>
      <c r="K399" s="16">
        <f t="shared" si="20"/>
        <v>-5.3016986437626657E-4</v>
      </c>
      <c r="L399" s="16">
        <f t="shared" si="21"/>
        <v>-7.4427181522070617E-4</v>
      </c>
    </row>
    <row r="400" spans="1:12" x14ac:dyDescent="0.35">
      <c r="A400" s="18">
        <v>42832</v>
      </c>
      <c r="B400" s="15">
        <v>205.6805114746094</v>
      </c>
      <c r="C400" s="15">
        <v>63.432903289794922</v>
      </c>
      <c r="D400" s="15">
        <v>119.4599990844727</v>
      </c>
      <c r="E400" s="15">
        <v>124.6747741699219</v>
      </c>
      <c r="F400" s="15">
        <v>105.6875915527344</v>
      </c>
      <c r="H400" s="16">
        <f t="shared" si="19"/>
        <v>5.9494988549527259E-4</v>
      </c>
      <c r="I400" s="16">
        <f t="shared" si="19"/>
        <v>9.8612970925628768E-4</v>
      </c>
      <c r="J400" s="16">
        <f t="shared" si="19"/>
        <v>0</v>
      </c>
      <c r="K400" s="16">
        <f t="shared" si="20"/>
        <v>3.7890495332352164E-4</v>
      </c>
      <c r="L400" s="16">
        <f t="shared" si="21"/>
        <v>1.2401454586645135E-3</v>
      </c>
    </row>
    <row r="401" spans="1:12" x14ac:dyDescent="0.35">
      <c r="A401" s="18">
        <v>42835</v>
      </c>
      <c r="B401" s="15">
        <v>205.80291748046881</v>
      </c>
      <c r="C401" s="15">
        <v>63.495487213134773</v>
      </c>
      <c r="D401" s="15">
        <v>119.4599990844727</v>
      </c>
      <c r="E401" s="15">
        <v>124.72202301025391</v>
      </c>
      <c r="F401" s="15">
        <v>105.81874084472661</v>
      </c>
      <c r="H401" s="16">
        <f t="shared" si="19"/>
        <v>-1.1903281781132332E-3</v>
      </c>
      <c r="I401" s="16">
        <f t="shared" si="19"/>
        <v>3.20052769536581E-3</v>
      </c>
      <c r="J401" s="16">
        <f t="shared" si="19"/>
        <v>1.4378002485395279E-2</v>
      </c>
      <c r="K401" s="16">
        <f t="shared" si="20"/>
        <v>-4.3271783440364756E-3</v>
      </c>
      <c r="L401" s="16">
        <f t="shared" si="21"/>
        <v>-3.3069935137267748E-4</v>
      </c>
    </row>
    <row r="402" spans="1:12" x14ac:dyDescent="0.35">
      <c r="A402" s="18">
        <v>42836</v>
      </c>
      <c r="B402" s="15">
        <v>205.55809020996091</v>
      </c>
      <c r="C402" s="15">
        <v>63.699031829833977</v>
      </c>
      <c r="D402" s="15">
        <v>121.19000244140619</v>
      </c>
      <c r="E402" s="15">
        <v>124.18349456787109</v>
      </c>
      <c r="F402" s="15">
        <v>105.78375244140619</v>
      </c>
      <c r="H402" s="16">
        <f t="shared" si="19"/>
        <v>-4.3915608213882214E-3</v>
      </c>
      <c r="I402" s="16">
        <f t="shared" si="19"/>
        <v>2.3321840306468225E-3</v>
      </c>
      <c r="J402" s="16">
        <f t="shared" si="19"/>
        <v>6.8253560866934062E-3</v>
      </c>
      <c r="K402" s="16">
        <f t="shared" si="20"/>
        <v>-4.0396705586214377E-3</v>
      </c>
      <c r="L402" s="16">
        <f t="shared" si="21"/>
        <v>-5.1374818406320711E-3</v>
      </c>
    </row>
    <row r="403" spans="1:12" x14ac:dyDescent="0.35">
      <c r="A403" s="18">
        <v>42837</v>
      </c>
      <c r="B403" s="15">
        <v>204.6573486328125</v>
      </c>
      <c r="C403" s="15">
        <v>63.847763061523438</v>
      </c>
      <c r="D403" s="15">
        <v>122.01999664306641</v>
      </c>
      <c r="E403" s="15">
        <v>123.68284606933589</v>
      </c>
      <c r="F403" s="15">
        <v>105.24168395996089</v>
      </c>
      <c r="H403" s="16">
        <f t="shared" si="19"/>
        <v>-6.5159821276710257E-3</v>
      </c>
      <c r="I403" s="16">
        <f t="shared" si="19"/>
        <v>1.4697652150296788E-3</v>
      </c>
      <c r="J403" s="16">
        <f t="shared" si="19"/>
        <v>4.7420728437495997E-3</v>
      </c>
      <c r="K403" s="16">
        <f t="shared" si="20"/>
        <v>-3.9803729609749101E-3</v>
      </c>
      <c r="L403" s="16">
        <f t="shared" si="21"/>
        <v>-6.8355740522097457E-3</v>
      </c>
    </row>
    <row r="404" spans="1:12" x14ac:dyDescent="0.35">
      <c r="A404" s="18">
        <v>42838</v>
      </c>
      <c r="B404" s="15">
        <v>203.32814025878909</v>
      </c>
      <c r="C404" s="15">
        <v>63.941673278808587</v>
      </c>
      <c r="D404" s="15">
        <v>122.59999847412109</v>
      </c>
      <c r="E404" s="15">
        <v>123.191520690918</v>
      </c>
      <c r="F404" s="15">
        <v>104.5247497558594</v>
      </c>
      <c r="H404" s="16">
        <f t="shared" si="19"/>
        <v>8.8208857989030363E-3</v>
      </c>
      <c r="I404" s="16">
        <f t="shared" si="19"/>
        <v>-6.1210982111911249E-4</v>
      </c>
      <c r="J404" s="16">
        <f t="shared" si="19"/>
        <v>-2.9407031136139531E-3</v>
      </c>
      <c r="K404" s="16">
        <f t="shared" si="20"/>
        <v>8.248253933536339E-3</v>
      </c>
      <c r="L404" s="16">
        <f t="shared" si="21"/>
        <v>8.66162546596593E-3</v>
      </c>
    </row>
    <row r="405" spans="1:12" x14ac:dyDescent="0.35">
      <c r="A405" s="18">
        <v>42842</v>
      </c>
      <c r="B405" s="15">
        <v>205.1296081542969</v>
      </c>
      <c r="C405" s="15">
        <v>63.902545928955078</v>
      </c>
      <c r="D405" s="15">
        <v>122.2399978637695</v>
      </c>
      <c r="E405" s="15">
        <v>124.2118377685547</v>
      </c>
      <c r="F405" s="15">
        <v>105.4340362548828</v>
      </c>
      <c r="H405" s="16">
        <f t="shared" si="19"/>
        <v>-2.9889811755755241E-3</v>
      </c>
      <c r="I405" s="16">
        <f t="shared" si="19"/>
        <v>3.5468410124558296E-3</v>
      </c>
      <c r="J405" s="16">
        <f t="shared" si="19"/>
        <v>4.7335584740102778E-3</v>
      </c>
      <c r="K405" s="16">
        <f t="shared" si="20"/>
        <v>-1.5219157939782345E-3</v>
      </c>
      <c r="L405" s="16">
        <f t="shared" si="21"/>
        <v>-2.1584193074668696E-3</v>
      </c>
    </row>
    <row r="406" spans="1:12" x14ac:dyDescent="0.35">
      <c r="A406" s="18">
        <v>42843</v>
      </c>
      <c r="B406" s="15">
        <v>204.51739501953119</v>
      </c>
      <c r="C406" s="15">
        <v>64.129600524902344</v>
      </c>
      <c r="D406" s="15">
        <v>122.8199996948242</v>
      </c>
      <c r="E406" s="15">
        <v>124.0229415893555</v>
      </c>
      <c r="F406" s="15">
        <v>105.2067108154297</v>
      </c>
      <c r="H406" s="16">
        <f t="shared" si="19"/>
        <v>-1.8400516821499011E-3</v>
      </c>
      <c r="I406" s="16">
        <f t="shared" si="19"/>
        <v>-1.8329590801443132E-3</v>
      </c>
      <c r="J406" s="16">
        <f t="shared" si="19"/>
        <v>-8.9143614181283887E-3</v>
      </c>
      <c r="K406" s="16">
        <f t="shared" si="20"/>
        <v>1.5984452295639924E-3</v>
      </c>
      <c r="L406" s="16">
        <f t="shared" si="21"/>
        <v>-8.3133077665618004E-4</v>
      </c>
    </row>
    <row r="407" spans="1:12" x14ac:dyDescent="0.35">
      <c r="A407" s="18">
        <v>42844</v>
      </c>
      <c r="B407" s="15">
        <v>204.14141845703119</v>
      </c>
      <c r="C407" s="15">
        <v>64.012161254882813</v>
      </c>
      <c r="D407" s="15">
        <v>121.73000335693359</v>
      </c>
      <c r="E407" s="15">
        <v>124.2213439941406</v>
      </c>
      <c r="F407" s="15">
        <v>105.11928558349609</v>
      </c>
      <c r="H407" s="16">
        <f t="shared" si="19"/>
        <v>8.1060181859950106E-3</v>
      </c>
      <c r="I407" s="16">
        <f t="shared" si="19"/>
        <v>-1.3465830147879635E-3</v>
      </c>
      <c r="J407" s="16">
        <f t="shared" si="19"/>
        <v>1.8876096148860105E-3</v>
      </c>
      <c r="K407" s="16">
        <f t="shared" si="20"/>
        <v>8.3305466548409882E-3</v>
      </c>
      <c r="L407" s="16">
        <f t="shared" si="21"/>
        <v>8.2002382253681255E-3</v>
      </c>
    </row>
    <row r="408" spans="1:12" x14ac:dyDescent="0.35">
      <c r="A408" s="18">
        <v>42845</v>
      </c>
      <c r="B408" s="15">
        <v>205.80291748046881</v>
      </c>
      <c r="C408" s="15">
        <v>63.926021575927727</v>
      </c>
      <c r="D408" s="15">
        <v>121.9599990844727</v>
      </c>
      <c r="E408" s="15">
        <v>125.260498046875</v>
      </c>
      <c r="F408" s="15">
        <v>105.9848327636719</v>
      </c>
      <c r="H408" s="16">
        <f t="shared" si="19"/>
        <v>-3.1918912643175697E-3</v>
      </c>
      <c r="I408" s="16">
        <f t="shared" si="19"/>
        <v>2.4481090359544167E-4</v>
      </c>
      <c r="J408" s="16">
        <f t="shared" si="19"/>
        <v>2.8656709251947731E-3</v>
      </c>
      <c r="K408" s="16">
        <f t="shared" si="20"/>
        <v>-2.2611689170020906E-4</v>
      </c>
      <c r="L408" s="16">
        <f t="shared" si="21"/>
        <v>-3.2222276459029759E-3</v>
      </c>
    </row>
    <row r="409" spans="1:12" x14ac:dyDescent="0.35">
      <c r="A409" s="18">
        <v>42846</v>
      </c>
      <c r="B409" s="15">
        <v>205.1470642089844</v>
      </c>
      <c r="C409" s="15">
        <v>63.941673278808587</v>
      </c>
      <c r="D409" s="15">
        <v>122.30999755859381</v>
      </c>
      <c r="E409" s="15">
        <v>125.232177734375</v>
      </c>
      <c r="F409" s="15">
        <v>105.6438751220703</v>
      </c>
      <c r="H409" s="16">
        <f t="shared" si="19"/>
        <v>1.0937828710383179E-2</v>
      </c>
      <c r="I409" s="16">
        <f t="shared" si="19"/>
        <v>-1.3468139324385872E-3</v>
      </c>
      <c r="J409" s="16">
        <f t="shared" si="19"/>
        <v>-6.8091177272859953E-3</v>
      </c>
      <c r="K409" s="16">
        <f t="shared" si="20"/>
        <v>1.1997726741254393E-2</v>
      </c>
      <c r="L409" s="16">
        <f t="shared" si="21"/>
        <v>1.0537517112026809E-2</v>
      </c>
    </row>
    <row r="410" spans="1:12" x14ac:dyDescent="0.35">
      <c r="A410" s="18">
        <v>42849</v>
      </c>
      <c r="B410" s="15">
        <v>207.40324401855469</v>
      </c>
      <c r="C410" s="15">
        <v>63.855613708496087</v>
      </c>
      <c r="D410" s="15">
        <v>121.48000335693359</v>
      </c>
      <c r="E410" s="15">
        <v>126.7437286376953</v>
      </c>
      <c r="F410" s="15">
        <v>106.7629852294922</v>
      </c>
      <c r="H410" s="16">
        <f t="shared" si="19"/>
        <v>5.8016922366195232E-3</v>
      </c>
      <c r="I410" s="16">
        <f t="shared" si="19"/>
        <v>-3.0696973370433027E-3</v>
      </c>
      <c r="J410" s="16">
        <f t="shared" si="19"/>
        <v>-1.0176758825308857E-2</v>
      </c>
      <c r="K410" s="16">
        <f t="shared" si="20"/>
        <v>7.2042419211616809E-3</v>
      </c>
      <c r="L410" s="16">
        <f t="shared" si="21"/>
        <v>6.2044692359840108E-3</v>
      </c>
    </row>
    <row r="411" spans="1:12" x14ac:dyDescent="0.35">
      <c r="A411" s="18">
        <v>42850</v>
      </c>
      <c r="B411" s="15">
        <v>208.61003112792969</v>
      </c>
      <c r="C411" s="15">
        <v>63.659896850585938</v>
      </c>
      <c r="D411" s="15">
        <v>120.25</v>
      </c>
      <c r="E411" s="15">
        <v>127.6601181030273</v>
      </c>
      <c r="F411" s="15">
        <v>107.4274520874023</v>
      </c>
      <c r="H411" s="16">
        <f t="shared" si="19"/>
        <v>-6.2887932159390336E-4</v>
      </c>
      <c r="I411" s="16">
        <f t="shared" si="19"/>
        <v>9.8339340552581101E-4</v>
      </c>
      <c r="J411" s="16">
        <f t="shared" si="19"/>
        <v>4.894417227159829E-3</v>
      </c>
      <c r="K411" s="16">
        <f t="shared" si="20"/>
        <v>-1.4072209670853129E-3</v>
      </c>
      <c r="L411" s="16">
        <f t="shared" si="21"/>
        <v>2.4427566033104003E-4</v>
      </c>
    </row>
    <row r="412" spans="1:12" x14ac:dyDescent="0.35">
      <c r="A412" s="18">
        <v>42851</v>
      </c>
      <c r="B412" s="15">
        <v>208.4788818359375</v>
      </c>
      <c r="C412" s="15">
        <v>63.722530364990227</v>
      </c>
      <c r="D412" s="15">
        <v>120.8399963378906</v>
      </c>
      <c r="E412" s="15">
        <v>127.480598449707</v>
      </c>
      <c r="F412" s="15">
        <v>107.4536972045898</v>
      </c>
      <c r="H412" s="16">
        <f t="shared" si="19"/>
        <v>8.3871042514755843E-4</v>
      </c>
      <c r="I412" s="16">
        <f t="shared" si="19"/>
        <v>7.3629778288257725E-4</v>
      </c>
      <c r="J412" s="16">
        <f t="shared" si="19"/>
        <v>-3.7308583358820484E-3</v>
      </c>
      <c r="K412" s="16">
        <f t="shared" si="20"/>
        <v>5.9845808669061942E-3</v>
      </c>
      <c r="L412" s="16">
        <f t="shared" si="21"/>
        <v>9.7615171023207202E-4</v>
      </c>
    </row>
    <row r="413" spans="1:12" x14ac:dyDescent="0.35">
      <c r="A413" s="18">
        <v>42852</v>
      </c>
      <c r="B413" s="15">
        <v>208.65380859375</v>
      </c>
      <c r="C413" s="15">
        <v>63.769466400146477</v>
      </c>
      <c r="D413" s="15">
        <v>120.38999938964839</v>
      </c>
      <c r="E413" s="15">
        <v>128.24580383300781</v>
      </c>
      <c r="F413" s="15">
        <v>107.5586395263672</v>
      </c>
      <c r="H413" s="16">
        <f t="shared" si="19"/>
        <v>-2.1819360761474874E-3</v>
      </c>
      <c r="I413" s="16">
        <f t="shared" si="19"/>
        <v>1.1042079727924794E-3</v>
      </c>
      <c r="J413" s="16">
        <f t="shared" si="19"/>
        <v>3.1514146140467318E-3</v>
      </c>
      <c r="K413" s="16">
        <f t="shared" si="20"/>
        <v>1.7668499155193463E-3</v>
      </c>
      <c r="L413" s="16">
        <f t="shared" si="21"/>
        <v>-3.3384680796630034E-3</v>
      </c>
    </row>
    <row r="414" spans="1:12" x14ac:dyDescent="0.35">
      <c r="A414" s="18">
        <v>42853</v>
      </c>
      <c r="B414" s="15">
        <v>208.19903564453119</v>
      </c>
      <c r="C414" s="15">
        <v>63.839920043945313</v>
      </c>
      <c r="D414" s="15">
        <v>120.76999664306641</v>
      </c>
      <c r="E414" s="15">
        <v>128.47259521484381</v>
      </c>
      <c r="F414" s="15">
        <v>107.2001571655273</v>
      </c>
      <c r="H414" s="16">
        <f t="shared" si="19"/>
        <v>2.5169602047471415E-3</v>
      </c>
      <c r="I414" s="16">
        <f t="shared" si="19"/>
        <v>-1.8690015131315365E-3</v>
      </c>
      <c r="J414" s="16">
        <f t="shared" si="19"/>
        <v>-9.1499432066368767E-3</v>
      </c>
      <c r="K414" s="16">
        <f t="shared" si="20"/>
        <v>8.8581254018927792E-3</v>
      </c>
      <c r="L414" s="16">
        <f t="shared" si="21"/>
        <v>2.6062484362704376E-3</v>
      </c>
    </row>
    <row r="415" spans="1:12" x14ac:dyDescent="0.35">
      <c r="A415" s="18">
        <v>42856</v>
      </c>
      <c r="B415" s="15">
        <v>208.7237243652344</v>
      </c>
      <c r="C415" s="15">
        <v>63.720714569091797</v>
      </c>
      <c r="D415" s="15">
        <v>119.6699981689453</v>
      </c>
      <c r="E415" s="15">
        <v>129.61567687988281</v>
      </c>
      <c r="F415" s="15">
        <v>107.4799118041992</v>
      </c>
      <c r="H415" s="16">
        <f t="shared" si="19"/>
        <v>3.7715168771466673E-4</v>
      </c>
      <c r="I415" s="16">
        <f t="shared" si="19"/>
        <v>1.7220553736468959E-3</v>
      </c>
      <c r="J415" s="16">
        <f t="shared" si="19"/>
        <v>-1.6711217732262302E-4</v>
      </c>
      <c r="K415" s="16">
        <f t="shared" si="20"/>
        <v>1.6745065525165409E-3</v>
      </c>
      <c r="L415" s="16">
        <f t="shared" si="21"/>
        <v>0</v>
      </c>
    </row>
    <row r="416" spans="1:12" x14ac:dyDescent="0.35">
      <c r="A416" s="18">
        <v>42857</v>
      </c>
      <c r="B416" s="15">
        <v>208.8024597167969</v>
      </c>
      <c r="C416" s="15">
        <v>63.830539703369141</v>
      </c>
      <c r="D416" s="15">
        <v>119.65000152587891</v>
      </c>
      <c r="E416" s="15">
        <v>129.83290100097659</v>
      </c>
      <c r="F416" s="15">
        <v>107.4799118041992</v>
      </c>
      <c r="H416" s="16">
        <f t="shared" si="19"/>
        <v>-1.2154347208666817E-3</v>
      </c>
      <c r="I416" s="16">
        <f t="shared" si="19"/>
        <v>-1.1076011004995093E-3</v>
      </c>
      <c r="J416" s="16">
        <f t="shared" si="19"/>
        <v>-1.4055680078894413E-2</v>
      </c>
      <c r="K416" s="16">
        <f t="shared" si="20"/>
        <v>-3.2062000055670926E-3</v>
      </c>
      <c r="L416" s="16">
        <f t="shared" si="21"/>
        <v>-2.4433544422893419E-3</v>
      </c>
    </row>
    <row r="417" spans="1:12" x14ac:dyDescent="0.35">
      <c r="A417" s="18">
        <v>42858</v>
      </c>
      <c r="B417" s="15">
        <v>208.548828125</v>
      </c>
      <c r="C417" s="15">
        <v>63.759880065917969</v>
      </c>
      <c r="D417" s="15">
        <v>117.98000335693359</v>
      </c>
      <c r="E417" s="15">
        <v>129.41729736328119</v>
      </c>
      <c r="F417" s="15">
        <v>107.2176208496094</v>
      </c>
      <c r="H417" s="16">
        <f t="shared" si="19"/>
        <v>1.1736334423843664E-3</v>
      </c>
      <c r="I417" s="16">
        <f t="shared" si="19"/>
        <v>-1.1069125871690393E-3</v>
      </c>
      <c r="J417" s="16">
        <f t="shared" si="19"/>
        <v>-1.013768889877734E-2</v>
      </c>
      <c r="K417" s="16">
        <f t="shared" si="20"/>
        <v>3.6496350770153657E-4</v>
      </c>
      <c r="L417" s="16">
        <f t="shared" si="21"/>
        <v>7.3379692824609294E-4</v>
      </c>
    </row>
    <row r="418" spans="1:12" x14ac:dyDescent="0.35">
      <c r="A418" s="18">
        <v>42859</v>
      </c>
      <c r="B418" s="15">
        <v>208.7937316894531</v>
      </c>
      <c r="C418" s="15">
        <v>63.689342498779297</v>
      </c>
      <c r="D418" s="15">
        <v>116.7900009155273</v>
      </c>
      <c r="E418" s="15">
        <v>129.46453857421881</v>
      </c>
      <c r="F418" s="15">
        <v>107.29632568359381</v>
      </c>
      <c r="H418" s="16">
        <f t="shared" si="19"/>
        <v>3.9289090107115206E-3</v>
      </c>
      <c r="I418" s="16">
        <f t="shared" si="19"/>
        <v>6.1493642345748301E-4</v>
      </c>
      <c r="J418" s="16">
        <f t="shared" si="19"/>
        <v>1.8819613581224023E-3</v>
      </c>
      <c r="K418" s="16">
        <f t="shared" si="20"/>
        <v>3.6411535061064691E-3</v>
      </c>
      <c r="L418" s="16">
        <f t="shared" si="21"/>
        <v>4.9585525519825957E-3</v>
      </c>
    </row>
    <row r="419" spans="1:12" x14ac:dyDescent="0.35">
      <c r="A419" s="18">
        <v>42860</v>
      </c>
      <c r="B419" s="15">
        <v>209.61567687988281</v>
      </c>
      <c r="C419" s="15">
        <v>63.728519439697273</v>
      </c>
      <c r="D419" s="15">
        <v>117.0100021362305</v>
      </c>
      <c r="E419" s="15">
        <v>129.9367980957031</v>
      </c>
      <c r="F419" s="15">
        <v>107.8296813964844</v>
      </c>
      <c r="H419" s="16">
        <f t="shared" si="19"/>
        <v>-1.6656682159931386E-4</v>
      </c>
      <c r="I419" s="16">
        <f t="shared" si="19"/>
        <v>-1.7242148985938109E-3</v>
      </c>
      <c r="J419" s="16">
        <f t="shared" si="19"/>
        <v>-2.2245229386795898E-3</v>
      </c>
      <c r="K419" s="16">
        <f t="shared" si="20"/>
        <v>2.1791654471186683E-3</v>
      </c>
      <c r="L419" s="16">
        <f t="shared" si="21"/>
        <v>-1.5420716703938245E-3</v>
      </c>
    </row>
    <row r="420" spans="1:12" x14ac:dyDescent="0.35">
      <c r="A420" s="18">
        <v>42863</v>
      </c>
      <c r="B420" s="15">
        <v>209.58076477050781</v>
      </c>
      <c r="C420" s="15">
        <v>63.618732452392578</v>
      </c>
      <c r="D420" s="15">
        <v>116.75</v>
      </c>
      <c r="E420" s="15">
        <v>130.22026062011719</v>
      </c>
      <c r="F420" s="15">
        <v>107.6635284423828</v>
      </c>
      <c r="H420" s="16">
        <f t="shared" si="19"/>
        <v>-9.1850848265784366E-4</v>
      </c>
      <c r="I420" s="16">
        <f t="shared" si="19"/>
        <v>-4.9372786102445899E-4</v>
      </c>
      <c r="J420" s="16">
        <f t="shared" si="19"/>
        <v>-6.0137375316390313E-3</v>
      </c>
      <c r="K420" s="16">
        <f t="shared" si="20"/>
        <v>3.4764436592861639E-3</v>
      </c>
      <c r="L420" s="16">
        <f t="shared" si="21"/>
        <v>-3.2496109346459562E-4</v>
      </c>
    </row>
    <row r="421" spans="1:12" x14ac:dyDescent="0.35">
      <c r="A421" s="18">
        <v>42864</v>
      </c>
      <c r="B421" s="15">
        <v>209.38835144042969</v>
      </c>
      <c r="C421" s="15">
        <v>63.587329864501953</v>
      </c>
      <c r="D421" s="15">
        <v>116.0500030517578</v>
      </c>
      <c r="E421" s="15">
        <v>130.67375183105469</v>
      </c>
      <c r="F421" s="15">
        <v>107.628547668457</v>
      </c>
      <c r="H421" s="16">
        <f t="shared" si="19"/>
        <v>1.7942025286519067E-3</v>
      </c>
      <c r="I421" s="16">
        <f t="shared" si="19"/>
        <v>-1.2329006667567409E-4</v>
      </c>
      <c r="J421" s="16">
        <f t="shared" si="19"/>
        <v>-8.6191874408281705E-5</v>
      </c>
      <c r="K421" s="16">
        <f t="shared" si="20"/>
        <v>5.7796178854569835E-4</v>
      </c>
      <c r="L421" s="16">
        <f t="shared" si="21"/>
        <v>2.1910341526827598E-3</v>
      </c>
    </row>
    <row r="422" spans="1:12" x14ac:dyDescent="0.35">
      <c r="A422" s="18">
        <v>42865</v>
      </c>
      <c r="B422" s="15">
        <v>209.7643737792969</v>
      </c>
      <c r="C422" s="15">
        <v>63.579490661621087</v>
      </c>
      <c r="D422" s="15">
        <v>116.0400009155273</v>
      </c>
      <c r="E422" s="15">
        <v>130.7492980957031</v>
      </c>
      <c r="F422" s="15">
        <v>107.8646240234375</v>
      </c>
      <c r="H422" s="16">
        <f t="shared" si="19"/>
        <v>-2.0446260306466852E-3</v>
      </c>
      <c r="I422" s="16">
        <f t="shared" si="19"/>
        <v>7.3999213244183091E-4</v>
      </c>
      <c r="J422" s="16">
        <f t="shared" si="19"/>
        <v>3.9563058627957925E-3</v>
      </c>
      <c r="K422" s="16">
        <f t="shared" si="20"/>
        <v>-7.9494420167592955E-4</v>
      </c>
      <c r="L422" s="16">
        <f t="shared" si="21"/>
        <v>-2.9221395783102281E-3</v>
      </c>
    </row>
    <row r="423" spans="1:12" x14ac:dyDescent="0.35">
      <c r="A423" s="18">
        <v>42866</v>
      </c>
      <c r="B423" s="15">
        <v>209.33592224121091</v>
      </c>
      <c r="C423" s="15">
        <v>63.626556396484382</v>
      </c>
      <c r="D423" s="15">
        <v>116.5</v>
      </c>
      <c r="E423" s="15">
        <v>130.64540100097659</v>
      </c>
      <c r="F423" s="15">
        <v>107.5498886108398</v>
      </c>
      <c r="H423" s="16">
        <f t="shared" si="19"/>
        <v>-1.6726521901647175E-3</v>
      </c>
      <c r="I423" s="16">
        <f t="shared" si="19"/>
        <v>2.954385217159323E-3</v>
      </c>
      <c r="J423" s="16">
        <f t="shared" si="19"/>
        <v>2.8286293961141936E-3</v>
      </c>
      <c r="K423" s="16">
        <f t="shared" si="20"/>
        <v>2.2392629428815989E-3</v>
      </c>
      <c r="L423" s="16">
        <f t="shared" si="21"/>
        <v>-1.9530609235895962E-3</v>
      </c>
    </row>
    <row r="424" spans="1:12" x14ac:dyDescent="0.35">
      <c r="A424" s="18">
        <v>42867</v>
      </c>
      <c r="B424" s="15">
        <v>208.98606872558591</v>
      </c>
      <c r="C424" s="15">
        <v>63.814811706542969</v>
      </c>
      <c r="D424" s="15">
        <v>116.8300018310547</v>
      </c>
      <c r="E424" s="15">
        <v>130.93827819824219</v>
      </c>
      <c r="F424" s="15">
        <v>107.3400421142578</v>
      </c>
      <c r="H424" s="16">
        <f t="shared" si="19"/>
        <v>5.5081947390179901E-3</v>
      </c>
      <c r="I424" s="16">
        <f t="shared" si="19"/>
        <v>-2.4565639239222512E-4</v>
      </c>
      <c r="J424" s="16">
        <f t="shared" si="19"/>
        <v>2.6498930493210667E-3</v>
      </c>
      <c r="K424" s="16">
        <f t="shared" si="20"/>
        <v>3.1697126846725746E-3</v>
      </c>
      <c r="L424" s="16">
        <f t="shared" si="21"/>
        <v>5.3615007162605499E-3</v>
      </c>
    </row>
    <row r="425" spans="1:12" x14ac:dyDescent="0.35">
      <c r="A425" s="18">
        <v>42870</v>
      </c>
      <c r="B425" s="15">
        <v>210.140380859375</v>
      </c>
      <c r="C425" s="15">
        <v>63.799137115478523</v>
      </c>
      <c r="D425" s="15">
        <v>117.13999938964839</v>
      </c>
      <c r="E425" s="15">
        <v>131.3539733886719</v>
      </c>
      <c r="F425" s="15">
        <v>107.91709136962891</v>
      </c>
      <c r="H425" s="16">
        <f t="shared" si="19"/>
        <v>-9.1569792582459118E-4</v>
      </c>
      <c r="I425" s="16">
        <f t="shared" si="19"/>
        <v>9.8411543445401967E-4</v>
      </c>
      <c r="J425" s="16">
        <f t="shared" si="19"/>
        <v>4.3443326918272754E-3</v>
      </c>
      <c r="K425" s="16">
        <f t="shared" si="20"/>
        <v>4.1628235306546187E-3</v>
      </c>
      <c r="L425" s="16">
        <f t="shared" si="21"/>
        <v>-5.6729072051424118E-4</v>
      </c>
    </row>
    <row r="426" spans="1:12" x14ac:dyDescent="0.35">
      <c r="A426" s="18">
        <v>42871</v>
      </c>
      <c r="B426" s="15">
        <v>209.94804382324219</v>
      </c>
      <c r="C426" s="15">
        <v>63.861953735351563</v>
      </c>
      <c r="D426" s="15">
        <v>117.65000152587891</v>
      </c>
      <c r="E426" s="15">
        <v>131.90191650390619</v>
      </c>
      <c r="F426" s="15">
        <v>107.8558883666992</v>
      </c>
      <c r="H426" s="16">
        <f t="shared" si="19"/>
        <v>-1.7903427097263034E-2</v>
      </c>
      <c r="I426" s="16">
        <f t="shared" si="19"/>
        <v>5.3897766429904142E-3</v>
      </c>
      <c r="J426" s="16">
        <f t="shared" si="19"/>
        <v>1.8026089242990678E-2</v>
      </c>
      <c r="K426" s="16">
        <f t="shared" si="20"/>
        <v>-2.5754757453121082E-2</v>
      </c>
      <c r="L426" s="16">
        <f t="shared" si="21"/>
        <v>-1.8159867173758042E-2</v>
      </c>
    </row>
    <row r="427" spans="1:12" x14ac:dyDescent="0.35">
      <c r="A427" s="18">
        <v>42872</v>
      </c>
      <c r="B427" s="15">
        <v>206.22270202636719</v>
      </c>
      <c r="C427" s="15">
        <v>64.207084655761719</v>
      </c>
      <c r="D427" s="15">
        <v>119.7900009155273</v>
      </c>
      <c r="E427" s="15">
        <v>128.5481872558594</v>
      </c>
      <c r="F427" s="15">
        <v>105.9149169921875</v>
      </c>
      <c r="H427" s="16">
        <f t="shared" si="19"/>
        <v>4.0203909743044561E-3</v>
      </c>
      <c r="I427" s="16">
        <f t="shared" si="19"/>
        <v>-8.5661836199785537E-4</v>
      </c>
      <c r="J427" s="16">
        <f t="shared" si="19"/>
        <v>-8.2146594646403462E-3</v>
      </c>
      <c r="K427" s="16">
        <f t="shared" si="20"/>
        <v>8.7069192607098396E-3</v>
      </c>
      <c r="L427" s="16">
        <f t="shared" si="21"/>
        <v>2.9673244108122838E-3</v>
      </c>
    </row>
    <row r="428" spans="1:12" x14ac:dyDescent="0.35">
      <c r="A428" s="18">
        <v>42873</v>
      </c>
      <c r="B428" s="15">
        <v>207.053466796875</v>
      </c>
      <c r="C428" s="15">
        <v>64.152107238769531</v>
      </c>
      <c r="D428" s="15">
        <v>118.80999755859381</v>
      </c>
      <c r="E428" s="15">
        <v>129.6723327636719</v>
      </c>
      <c r="F428" s="15">
        <v>106.2296676635742</v>
      </c>
      <c r="H428" s="16">
        <f t="shared" si="19"/>
        <v>6.4828127236109222E-3</v>
      </c>
      <c r="I428" s="16">
        <f t="shared" si="19"/>
        <v>6.1169043951920306E-4</v>
      </c>
      <c r="J428" s="16">
        <f t="shared" si="19"/>
        <v>4.9536558166885592E-3</v>
      </c>
      <c r="K428" s="16">
        <f t="shared" si="20"/>
        <v>4.2165777880464918E-3</v>
      </c>
      <c r="L428" s="16">
        <f t="shared" si="21"/>
        <v>7.1348495398630765E-3</v>
      </c>
    </row>
    <row r="429" spans="1:12" x14ac:dyDescent="0.35">
      <c r="A429" s="18">
        <v>42874</v>
      </c>
      <c r="B429" s="15">
        <v>208.4001159667969</v>
      </c>
      <c r="C429" s="15">
        <v>64.191360473632813</v>
      </c>
      <c r="D429" s="15">
        <v>119.40000152587891</v>
      </c>
      <c r="E429" s="15">
        <v>130.22026062011719</v>
      </c>
      <c r="F429" s="15">
        <v>106.9903106689453</v>
      </c>
      <c r="H429" s="16">
        <f t="shared" si="19"/>
        <v>5.0650155688836797E-3</v>
      </c>
      <c r="I429" s="16">
        <f t="shared" si="19"/>
        <v>-8.557576857766108E-4</v>
      </c>
      <c r="J429" s="16">
        <f t="shared" si="19"/>
        <v>4.1788610216743792E-3</v>
      </c>
      <c r="K429" s="16">
        <f t="shared" si="20"/>
        <v>8.3805375319264044E-3</v>
      </c>
      <c r="L429" s="16">
        <f t="shared" si="21"/>
        <v>5.2979069458647709E-3</v>
      </c>
    </row>
    <row r="430" spans="1:12" x14ac:dyDescent="0.35">
      <c r="A430" s="18">
        <v>42877</v>
      </c>
      <c r="B430" s="15">
        <v>209.4583435058594</v>
      </c>
      <c r="C430" s="15">
        <v>64.136451721191406</v>
      </c>
      <c r="D430" s="15">
        <v>119.90000152587891</v>
      </c>
      <c r="E430" s="15">
        <v>131.316162109375</v>
      </c>
      <c r="F430" s="15">
        <v>107.5586395263672</v>
      </c>
      <c r="H430" s="16">
        <f t="shared" si="19"/>
        <v>2.2099742757172489E-3</v>
      </c>
      <c r="I430" s="16">
        <f t="shared" si="19"/>
        <v>-2.0815099362025942E-3</v>
      </c>
      <c r="J430" s="16">
        <f t="shared" si="19"/>
        <v>-6.3588076821679855E-3</v>
      </c>
      <c r="K430" s="16">
        <f t="shared" si="20"/>
        <v>1.0065887870058796E-3</v>
      </c>
      <c r="L430" s="16">
        <f t="shared" si="21"/>
        <v>1.7055334240310522E-3</v>
      </c>
    </row>
    <row r="431" spans="1:12" x14ac:dyDescent="0.35">
      <c r="A431" s="18">
        <v>42878</v>
      </c>
      <c r="B431" s="15">
        <v>209.9217529296875</v>
      </c>
      <c r="C431" s="15">
        <v>64.003089904785156</v>
      </c>
      <c r="D431" s="15">
        <v>119.13999938964839</v>
      </c>
      <c r="E431" s="15">
        <v>131.44841003417969</v>
      </c>
      <c r="F431" s="15">
        <v>107.7422409057617</v>
      </c>
      <c r="H431" s="16">
        <f t="shared" si="19"/>
        <v>2.3302038183294388E-3</v>
      </c>
      <c r="I431" s="16">
        <f t="shared" si="19"/>
        <v>2.0815099362027031E-3</v>
      </c>
      <c r="J431" s="16">
        <f t="shared" si="19"/>
        <v>3.9371880866575686E-3</v>
      </c>
      <c r="K431" s="16">
        <f t="shared" si="20"/>
        <v>4.5892011502550378E-3</v>
      </c>
      <c r="L431" s="16">
        <f t="shared" si="21"/>
        <v>2.9168596765295992E-3</v>
      </c>
    </row>
    <row r="432" spans="1:12" x14ac:dyDescent="0.35">
      <c r="A432" s="18">
        <v>42879</v>
      </c>
      <c r="B432" s="15">
        <v>210.41148376464841</v>
      </c>
      <c r="C432" s="15">
        <v>64.136451721191406</v>
      </c>
      <c r="D432" s="15">
        <v>119.61000061035161</v>
      </c>
      <c r="E432" s="15">
        <v>132.05303955078119</v>
      </c>
      <c r="F432" s="15">
        <v>108.0569686889648</v>
      </c>
      <c r="H432" s="16">
        <f t="shared" si="19"/>
        <v>4.7681834304059232E-3</v>
      </c>
      <c r="I432" s="16">
        <f t="shared" si="19"/>
        <v>0</v>
      </c>
      <c r="J432" s="16">
        <f t="shared" si="19"/>
        <v>-1.0874337201155237E-3</v>
      </c>
      <c r="K432" s="16">
        <f t="shared" si="20"/>
        <v>8.4776054580203812E-3</v>
      </c>
      <c r="L432" s="16">
        <f t="shared" si="21"/>
        <v>4.1988950541319318E-3</v>
      </c>
    </row>
    <row r="433" spans="1:12" x14ac:dyDescent="0.35">
      <c r="A433" s="18">
        <v>42880</v>
      </c>
      <c r="B433" s="15">
        <v>211.41716003417969</v>
      </c>
      <c r="C433" s="15">
        <v>64.136451721191406</v>
      </c>
      <c r="D433" s="15">
        <v>119.48000335693359</v>
      </c>
      <c r="E433" s="15">
        <v>133.17729187011719</v>
      </c>
      <c r="F433" s="15">
        <v>108.5116424560547</v>
      </c>
      <c r="H433" s="16">
        <f t="shared" si="19"/>
        <v>-2.0672725494574374E-4</v>
      </c>
      <c r="I433" s="16">
        <f t="shared" si="19"/>
        <v>4.9021509317142306E-4</v>
      </c>
      <c r="J433" s="16">
        <f t="shared" si="19"/>
        <v>8.8326342060081765E-3</v>
      </c>
      <c r="K433" s="16">
        <f t="shared" si="20"/>
        <v>1.7718213454667089E-3</v>
      </c>
      <c r="L433" s="16">
        <f t="shared" si="21"/>
        <v>-1.6137322106533488E-4</v>
      </c>
    </row>
    <row r="434" spans="1:12" x14ac:dyDescent="0.35">
      <c r="A434" s="18">
        <v>42881</v>
      </c>
      <c r="B434" s="15">
        <v>211.37345886230469</v>
      </c>
      <c r="C434" s="15">
        <v>64.167900085449219</v>
      </c>
      <c r="D434" s="15">
        <v>120.5400009155273</v>
      </c>
      <c r="E434" s="15">
        <v>133.41346740722659</v>
      </c>
      <c r="F434" s="15">
        <v>108.4941329956055</v>
      </c>
      <c r="H434" s="16">
        <f t="shared" si="19"/>
        <v>-8.6909716002036338E-4</v>
      </c>
      <c r="I434" s="16">
        <f t="shared" si="19"/>
        <v>1.4645748612049266E-3</v>
      </c>
      <c r="J434" s="16">
        <f t="shared" si="19"/>
        <v>-3.3239313084347183E-3</v>
      </c>
      <c r="K434" s="16">
        <f t="shared" si="20"/>
        <v>8.487387810676971E-4</v>
      </c>
      <c r="L434" s="16">
        <f t="shared" si="21"/>
        <v>-1.6128417680786754E-3</v>
      </c>
    </row>
    <row r="435" spans="1:12" x14ac:dyDescent="0.35">
      <c r="A435" s="18">
        <v>42885</v>
      </c>
      <c r="B435" s="15">
        <v>211.18983459472659</v>
      </c>
      <c r="C435" s="15">
        <v>64.261947631835938</v>
      </c>
      <c r="D435" s="15">
        <v>120.13999938964839</v>
      </c>
      <c r="E435" s="15">
        <v>133.52674865722659</v>
      </c>
      <c r="F435" s="15">
        <v>108.3192901611328</v>
      </c>
      <c r="H435" s="16">
        <f t="shared" si="19"/>
        <v>-2.4843162311147623E-4</v>
      </c>
      <c r="I435" s="16">
        <f t="shared" si="19"/>
        <v>4.8842733839997389E-4</v>
      </c>
      <c r="J435" s="16">
        <f t="shared" si="19"/>
        <v>3.9874064516969973E-3</v>
      </c>
      <c r="K435" s="16">
        <f t="shared" si="20"/>
        <v>-3.5351551427538903E-4</v>
      </c>
      <c r="L435" s="16">
        <f t="shared" si="21"/>
        <v>-3.2313438518662716E-4</v>
      </c>
    </row>
    <row r="436" spans="1:12" x14ac:dyDescent="0.35">
      <c r="A436" s="18">
        <v>42886</v>
      </c>
      <c r="B436" s="15">
        <v>211.13737487792969</v>
      </c>
      <c r="C436" s="15">
        <v>64.293342590332031</v>
      </c>
      <c r="D436" s="15">
        <v>120.620002746582</v>
      </c>
      <c r="E436" s="15">
        <v>133.47955322265619</v>
      </c>
      <c r="F436" s="15">
        <v>108.284294128418</v>
      </c>
      <c r="H436" s="16">
        <f t="shared" si="19"/>
        <v>7.920577340993027E-3</v>
      </c>
      <c r="I436" s="16">
        <f t="shared" si="19"/>
        <v>2.6909689323443778E-4</v>
      </c>
      <c r="J436" s="16">
        <f t="shared" si="19"/>
        <v>8.2869377807195293E-4</v>
      </c>
      <c r="K436" s="16">
        <f t="shared" si="20"/>
        <v>3.8852302661341333E-3</v>
      </c>
      <c r="L436" s="16">
        <f t="shared" si="21"/>
        <v>9.2428318277080201E-3</v>
      </c>
    </row>
    <row r="437" spans="1:12" x14ac:dyDescent="0.35">
      <c r="A437" s="18">
        <v>42887</v>
      </c>
      <c r="B437" s="15">
        <v>212.81634521484381</v>
      </c>
      <c r="C437" s="15">
        <v>64.310646057128906</v>
      </c>
      <c r="D437" s="15">
        <v>120.7200012207031</v>
      </c>
      <c r="E437" s="15">
        <v>133.99916076660159</v>
      </c>
      <c r="F437" s="15">
        <v>109.2897872924805</v>
      </c>
      <c r="H437" s="16">
        <f t="shared" si="19"/>
        <v>3.3227563583722096E-3</v>
      </c>
      <c r="I437" s="16">
        <f t="shared" si="19"/>
        <v>3.2950668226799798E-3</v>
      </c>
      <c r="J437" s="16">
        <f t="shared" si="19"/>
        <v>7.3453834403862548E-3</v>
      </c>
      <c r="K437" s="16">
        <f t="shared" si="20"/>
        <v>1.135676995637255E-2</v>
      </c>
      <c r="L437" s="16">
        <f t="shared" si="21"/>
        <v>3.2746015229620493E-3</v>
      </c>
    </row>
    <row r="438" spans="1:12" x14ac:dyDescent="0.35">
      <c r="A438" s="18">
        <v>42888</v>
      </c>
      <c r="B438" s="15">
        <v>213.524658203125</v>
      </c>
      <c r="C438" s="15">
        <v>64.522903442382813</v>
      </c>
      <c r="D438" s="15">
        <v>121.61000061035161</v>
      </c>
      <c r="E438" s="15">
        <v>135.5296325683594</v>
      </c>
      <c r="F438" s="15">
        <v>109.64825439453119</v>
      </c>
      <c r="H438" s="16">
        <f t="shared" si="19"/>
        <v>-7.3703945253517805E-4</v>
      </c>
      <c r="I438" s="16">
        <f t="shared" si="19"/>
        <v>-1.5851232990423583E-3</v>
      </c>
      <c r="J438" s="16">
        <f t="shared" si="19"/>
        <v>9.8629698655024515E-4</v>
      </c>
      <c r="K438" s="16">
        <f t="shared" si="20"/>
        <v>-2.095451835667227E-4</v>
      </c>
      <c r="L438" s="16">
        <f t="shared" si="21"/>
        <v>-1.2765056424861594E-3</v>
      </c>
    </row>
    <row r="439" spans="1:12" x14ac:dyDescent="0.35">
      <c r="A439" s="18">
        <v>42891</v>
      </c>
      <c r="B439" s="15">
        <v>213.3673400878906</v>
      </c>
      <c r="C439" s="15">
        <v>64.420707702636719</v>
      </c>
      <c r="D439" s="15">
        <v>121.73000335693359</v>
      </c>
      <c r="E439" s="15">
        <v>135.50123596191409</v>
      </c>
      <c r="F439" s="15">
        <v>109.5083770751953</v>
      </c>
      <c r="H439" s="16">
        <f t="shared" si="19"/>
        <v>-3.2020191115105742E-3</v>
      </c>
      <c r="I439" s="16">
        <f t="shared" si="19"/>
        <v>1.828319985294019E-3</v>
      </c>
      <c r="J439" s="16">
        <f t="shared" si="19"/>
        <v>1.1191515796581182E-2</v>
      </c>
      <c r="K439" s="16">
        <f t="shared" si="20"/>
        <v>-3.9819229095544141E-3</v>
      </c>
      <c r="L439" s="16">
        <f t="shared" si="21"/>
        <v>-2.5584688933733561E-3</v>
      </c>
    </row>
    <row r="440" spans="1:12" x14ac:dyDescent="0.35">
      <c r="A440" s="18">
        <v>42892</v>
      </c>
      <c r="B440" s="15">
        <v>212.68522644042969</v>
      </c>
      <c r="C440" s="15">
        <v>64.538597106933594</v>
      </c>
      <c r="D440" s="15">
        <v>123.09999847412109</v>
      </c>
      <c r="E440" s="15">
        <v>134.96275329589841</v>
      </c>
      <c r="F440" s="15">
        <v>109.2285614013672</v>
      </c>
      <c r="H440" s="16">
        <f t="shared" si="19"/>
        <v>1.8483411894430462E-3</v>
      </c>
      <c r="I440" s="16">
        <f t="shared" si="19"/>
        <v>-1.3407409275621794E-3</v>
      </c>
      <c r="J440" s="16">
        <f t="shared" si="19"/>
        <v>-5.2942623192703854E-3</v>
      </c>
      <c r="K440" s="16">
        <f t="shared" si="20"/>
        <v>3.9126653845414396E-3</v>
      </c>
      <c r="L440" s="16">
        <f t="shared" si="21"/>
        <v>1.1201531046406178E-3</v>
      </c>
    </row>
    <row r="441" spans="1:12" x14ac:dyDescent="0.35">
      <c r="A441" s="18">
        <v>42893</v>
      </c>
      <c r="B441" s="15">
        <v>213.0787048339844</v>
      </c>
      <c r="C441" s="15">
        <v>64.452125549316406</v>
      </c>
      <c r="D441" s="15">
        <v>122.4499969482422</v>
      </c>
      <c r="E441" s="15">
        <v>135.4918518066406</v>
      </c>
      <c r="F441" s="15">
        <v>109.3509826660156</v>
      </c>
      <c r="H441" s="16">
        <f t="shared" si="19"/>
        <v>4.9213321694651778E-4</v>
      </c>
      <c r="I441" s="16">
        <f t="shared" si="19"/>
        <v>-7.3193160435672006E-4</v>
      </c>
      <c r="J441" s="16">
        <f t="shared" si="19"/>
        <v>-6.5546767029751648E-3</v>
      </c>
      <c r="K441" s="16">
        <f t="shared" si="20"/>
        <v>1.0449970987783531E-3</v>
      </c>
      <c r="L441" s="16">
        <f t="shared" si="21"/>
        <v>1.75742087617257E-3</v>
      </c>
    </row>
    <row r="442" spans="1:12" x14ac:dyDescent="0.35">
      <c r="A442" s="18">
        <v>42894</v>
      </c>
      <c r="B442" s="15">
        <v>213.18359375</v>
      </c>
      <c r="C442" s="15">
        <v>64.40496826171875</v>
      </c>
      <c r="D442" s="15">
        <v>121.65000152587891</v>
      </c>
      <c r="E442" s="15">
        <v>135.6335144042969</v>
      </c>
      <c r="F442" s="15">
        <v>109.543327331543</v>
      </c>
      <c r="H442" s="16">
        <f t="shared" si="19"/>
        <v>-1.5187030352441522E-3</v>
      </c>
      <c r="I442" s="16">
        <f t="shared" si="19"/>
        <v>-8.5493377456313043E-4</v>
      </c>
      <c r="J442" s="16">
        <f t="shared" si="19"/>
        <v>-9.1664261226065396E-3</v>
      </c>
      <c r="K442" s="16">
        <f t="shared" si="20"/>
        <v>-2.5323006081090848E-2</v>
      </c>
      <c r="L442" s="16">
        <f t="shared" si="21"/>
        <v>-7.9840679626867197E-4</v>
      </c>
    </row>
    <row r="443" spans="1:12" x14ac:dyDescent="0.35">
      <c r="A443" s="18">
        <v>42895</v>
      </c>
      <c r="B443" s="15">
        <v>212.8600769042969</v>
      </c>
      <c r="C443" s="15">
        <v>64.349929809570313</v>
      </c>
      <c r="D443" s="15">
        <v>120.5400009155273</v>
      </c>
      <c r="E443" s="15">
        <v>132.24198913574219</v>
      </c>
      <c r="F443" s="15">
        <v>109.4559020996094</v>
      </c>
      <c r="H443" s="16">
        <f t="shared" si="19"/>
        <v>-2.0546916547192905E-4</v>
      </c>
      <c r="I443" s="16">
        <f t="shared" si="19"/>
        <v>-2.4390980059070313E-4</v>
      </c>
      <c r="J443" s="16">
        <f t="shared" si="19"/>
        <v>-1.4943988172190603E-3</v>
      </c>
      <c r="K443" s="16">
        <f t="shared" si="20"/>
        <v>-5.3725561690968595E-3</v>
      </c>
      <c r="L443" s="16">
        <f t="shared" si="21"/>
        <v>-1.6005068119893332E-4</v>
      </c>
    </row>
    <row r="444" spans="1:12" x14ac:dyDescent="0.35">
      <c r="A444" s="18">
        <v>42898</v>
      </c>
      <c r="B444" s="15">
        <v>212.81634521484381</v>
      </c>
      <c r="C444" s="15">
        <v>64.334236145019531</v>
      </c>
      <c r="D444" s="15">
        <v>120.36000061035161</v>
      </c>
      <c r="E444" s="15">
        <v>131.5334167480469</v>
      </c>
      <c r="F444" s="15">
        <v>109.4383850097656</v>
      </c>
      <c r="H444" s="16">
        <f t="shared" si="19"/>
        <v>4.8780488586318673E-3</v>
      </c>
      <c r="I444" s="16">
        <f t="shared" si="19"/>
        <v>2.4390980059080621E-4</v>
      </c>
      <c r="J444" s="16">
        <f t="shared" si="19"/>
        <v>9.9653508168297592E-4</v>
      </c>
      <c r="K444" s="16">
        <f t="shared" si="20"/>
        <v>8.083319240725877E-3</v>
      </c>
      <c r="L444" s="16">
        <f t="shared" si="21"/>
        <v>4.941235039900951E-3</v>
      </c>
    </row>
    <row r="445" spans="1:12" x14ac:dyDescent="0.35">
      <c r="A445" s="18">
        <v>42899</v>
      </c>
      <c r="B445" s="15">
        <v>213.85700988769531</v>
      </c>
      <c r="C445" s="15">
        <v>64.349929809570313</v>
      </c>
      <c r="D445" s="15">
        <v>120.48000335693359</v>
      </c>
      <c r="E445" s="15">
        <v>132.6009521484375</v>
      </c>
      <c r="F445" s="15">
        <v>109.98048400878911</v>
      </c>
      <c r="H445" s="16">
        <f t="shared" si="19"/>
        <v>-1.2683443518785944E-3</v>
      </c>
      <c r="I445" s="16">
        <f t="shared" si="19"/>
        <v>3.6582592369690499E-3</v>
      </c>
      <c r="J445" s="16">
        <f t="shared" si="19"/>
        <v>-5.4931778057508898E-3</v>
      </c>
      <c r="K445" s="16">
        <f t="shared" si="20"/>
        <v>-4.3554330476101924E-3</v>
      </c>
      <c r="L445" s="16">
        <f t="shared" si="21"/>
        <v>-1.4318593101623033E-3</v>
      </c>
    </row>
    <row r="446" spans="1:12" x14ac:dyDescent="0.35">
      <c r="A446" s="18">
        <v>42900</v>
      </c>
      <c r="B446" s="15">
        <v>213.5859375</v>
      </c>
      <c r="C446" s="15">
        <v>64.585769653320313</v>
      </c>
      <c r="D446" s="15">
        <v>119.8199996948242</v>
      </c>
      <c r="E446" s="15">
        <v>132.02467346191409</v>
      </c>
      <c r="F446" s="15">
        <v>109.8231201171875</v>
      </c>
      <c r="H446" s="16">
        <f t="shared" si="19"/>
        <v>-1.9264745092519586E-3</v>
      </c>
      <c r="I446" s="16">
        <f t="shared" si="19"/>
        <v>-1.0964753326400411E-3</v>
      </c>
      <c r="J446" s="16">
        <f t="shared" si="19"/>
        <v>-4.1816570199038599E-3</v>
      </c>
      <c r="K446" s="16">
        <f t="shared" si="20"/>
        <v>-4.4461110007256522E-3</v>
      </c>
      <c r="L446" s="16">
        <f t="shared" si="21"/>
        <v>-2.2316364601904794E-3</v>
      </c>
    </row>
    <row r="447" spans="1:12" x14ac:dyDescent="0.35">
      <c r="A447" s="18">
        <v>42901</v>
      </c>
      <c r="B447" s="15">
        <v>213.17486572265619</v>
      </c>
      <c r="C447" s="15">
        <v>64.514991760253906</v>
      </c>
      <c r="D447" s="15">
        <v>119.3199996948242</v>
      </c>
      <c r="E447" s="15">
        <v>131.43898010253909</v>
      </c>
      <c r="F447" s="15">
        <v>109.57830810546881</v>
      </c>
      <c r="H447" s="16">
        <f t="shared" si="19"/>
        <v>2.1864915632907123E-4</v>
      </c>
      <c r="I447" s="16">
        <f t="shared" si="19"/>
        <v>1.096475332639991E-3</v>
      </c>
      <c r="J447" s="16">
        <f t="shared" si="19"/>
        <v>1.6757431865917162E-4</v>
      </c>
      <c r="K447" s="16">
        <f t="shared" si="20"/>
        <v>-4.3478483642245633E-3</v>
      </c>
      <c r="L447" s="16">
        <f t="shared" si="21"/>
        <v>-6.3838687952033255E-4</v>
      </c>
    </row>
    <row r="448" spans="1:12" x14ac:dyDescent="0.35">
      <c r="A448" s="18">
        <v>42902</v>
      </c>
      <c r="B448" s="15">
        <v>213.22148132324219</v>
      </c>
      <c r="C448" s="15">
        <v>64.585769653320313</v>
      </c>
      <c r="D448" s="15">
        <v>119.3399963378906</v>
      </c>
      <c r="E448" s="15">
        <v>130.8687438964844</v>
      </c>
      <c r="F448" s="15">
        <v>109.5083770751953</v>
      </c>
      <c r="H448" s="16">
        <f t="shared" si="19"/>
        <v>8.2904026915284687E-3</v>
      </c>
      <c r="I448" s="16">
        <f t="shared" si="19"/>
        <v>-1.4619584059713828E-3</v>
      </c>
      <c r="J448" s="16">
        <f t="shared" si="19"/>
        <v>-7.6544600973330341E-3</v>
      </c>
      <c r="K448" s="16">
        <f t="shared" si="20"/>
        <v>1.6582678617198761E-2</v>
      </c>
      <c r="L448" s="16">
        <f t="shared" si="21"/>
        <v>8.1106187133719049E-3</v>
      </c>
    </row>
    <row r="449" spans="1:12" x14ac:dyDescent="0.35">
      <c r="A449" s="18">
        <v>42905</v>
      </c>
      <c r="B449" s="15">
        <v>214.99652099609381</v>
      </c>
      <c r="C449" s="15">
        <v>64.491416931152344</v>
      </c>
      <c r="D449" s="15">
        <v>118.4300003051758</v>
      </c>
      <c r="E449" s="15">
        <v>133.05699157714841</v>
      </c>
      <c r="F449" s="15">
        <v>110.40016937255859</v>
      </c>
      <c r="H449" s="16">
        <f t="shared" si="19"/>
        <v>-6.7669835142703284E-3</v>
      </c>
      <c r="I449" s="16">
        <f t="shared" si="19"/>
        <v>1.4619584059713552E-3</v>
      </c>
      <c r="J449" s="16">
        <f t="shared" si="19"/>
        <v>-2.1131828104241023E-3</v>
      </c>
      <c r="K449" s="16">
        <f t="shared" si="20"/>
        <v>-7.8629213371535084E-3</v>
      </c>
      <c r="L449" s="16">
        <f t="shared" si="21"/>
        <v>-6.8341130708857271E-3</v>
      </c>
    </row>
    <row r="450" spans="1:12" x14ac:dyDescent="0.35">
      <c r="A450" s="18">
        <v>42906</v>
      </c>
      <c r="B450" s="15">
        <v>213.54655456542969</v>
      </c>
      <c r="C450" s="15">
        <v>64.585769653320313</v>
      </c>
      <c r="D450" s="15">
        <v>118.1800003051758</v>
      </c>
      <c r="E450" s="15">
        <v>132.01487731933591</v>
      </c>
      <c r="F450" s="15">
        <v>109.64825439453119</v>
      </c>
      <c r="H450" s="16">
        <f t="shared" si="19"/>
        <v>-2.4676164768881975E-4</v>
      </c>
      <c r="I450" s="16">
        <f t="shared" si="19"/>
        <v>4.8633325414762561E-4</v>
      </c>
      <c r="J450" s="16">
        <f t="shared" si="19"/>
        <v>2.8728058817658877E-3</v>
      </c>
      <c r="K450" s="16">
        <f t="shared" si="20"/>
        <v>9.8542806306353113E-3</v>
      </c>
      <c r="L450" s="16">
        <f t="shared" si="21"/>
        <v>-1.1623935027323385E-3</v>
      </c>
    </row>
    <row r="451" spans="1:12" x14ac:dyDescent="0.35">
      <c r="A451" s="18">
        <v>42907</v>
      </c>
      <c r="B451" s="15">
        <v>213.4938659667969</v>
      </c>
      <c r="C451" s="15">
        <v>64.6171875</v>
      </c>
      <c r="D451" s="15">
        <v>118.51999664306641</v>
      </c>
      <c r="E451" s="15">
        <v>133.32221984863281</v>
      </c>
      <c r="F451" s="15">
        <v>109.5208740234375</v>
      </c>
      <c r="H451" s="16">
        <f t="shared" si="19"/>
        <v>-4.5259031516582795E-4</v>
      </c>
      <c r="I451" s="16">
        <f t="shared" si="19"/>
        <v>3.6547999403871174E-4</v>
      </c>
      <c r="J451" s="16">
        <f t="shared" si="19"/>
        <v>3.3692883509404193E-3</v>
      </c>
      <c r="K451" s="16">
        <f t="shared" si="20"/>
        <v>-2.8433535600627181E-4</v>
      </c>
      <c r="L451" s="16">
        <f t="shared" si="21"/>
        <v>4.0103081753699429E-4</v>
      </c>
    </row>
    <row r="452" spans="1:12" x14ac:dyDescent="0.35">
      <c r="A452" s="18">
        <v>42908</v>
      </c>
      <c r="B452" s="15">
        <v>213.39726257324219</v>
      </c>
      <c r="C452" s="15">
        <v>64.64080810546875</v>
      </c>
      <c r="D452" s="15">
        <v>118.9199981689453</v>
      </c>
      <c r="E452" s="15">
        <v>133.28431701660159</v>
      </c>
      <c r="F452" s="15">
        <v>109.56480407714839</v>
      </c>
      <c r="H452" s="16">
        <f t="shared" ref="H452:J515" si="22">LN(B453/B452)</f>
        <v>1.1933354294190596E-3</v>
      </c>
      <c r="I452" s="16">
        <f t="shared" si="22"/>
        <v>2.4298914769993891E-4</v>
      </c>
      <c r="J452" s="16">
        <f t="shared" si="22"/>
        <v>4.2794455030733163E-3</v>
      </c>
      <c r="K452" s="16">
        <f t="shared" ref="K452:K515" si="23">LN(E453/E452)</f>
        <v>3.830468140132345E-3</v>
      </c>
      <c r="L452" s="16">
        <f t="shared" ref="L452:L515" si="24">LN(F453/F452)</f>
        <v>2.4820021084515612E-3</v>
      </c>
    </row>
    <row r="453" spans="1:12" x14ac:dyDescent="0.35">
      <c r="A453" s="18">
        <v>42909</v>
      </c>
      <c r="B453" s="15">
        <v>213.6520690917969</v>
      </c>
      <c r="C453" s="15">
        <v>64.656517028808594</v>
      </c>
      <c r="D453" s="15">
        <v>119.4300003051758</v>
      </c>
      <c r="E453" s="15">
        <v>133.79583740234381</v>
      </c>
      <c r="F453" s="15">
        <v>109.8370819091797</v>
      </c>
      <c r="H453" s="16">
        <f t="shared" si="22"/>
        <v>6.578370336449888E-4</v>
      </c>
      <c r="I453" s="16">
        <f t="shared" si="22"/>
        <v>1.0937229841351743E-3</v>
      </c>
      <c r="J453" s="16">
        <f t="shared" si="22"/>
        <v>-8.9995955468569443E-3</v>
      </c>
      <c r="K453" s="16">
        <f t="shared" si="23"/>
        <v>-4.6839596097844535E-3</v>
      </c>
      <c r="L453" s="16">
        <f t="shared" si="24"/>
        <v>7.1956548655878396E-4</v>
      </c>
    </row>
    <row r="454" spans="1:12" x14ac:dyDescent="0.35">
      <c r="A454" s="18">
        <v>42912</v>
      </c>
      <c r="B454" s="15">
        <v>213.79266357421881</v>
      </c>
      <c r="C454" s="15">
        <v>64.727272033691406</v>
      </c>
      <c r="D454" s="15">
        <v>118.36000061035161</v>
      </c>
      <c r="E454" s="15">
        <v>133.17060852050781</v>
      </c>
      <c r="F454" s="15">
        <v>109.916145324707</v>
      </c>
      <c r="H454" s="16">
        <f t="shared" si="22"/>
        <v>-8.0888011492298382E-3</v>
      </c>
      <c r="I454" s="16">
        <f t="shared" si="22"/>
        <v>-3.4061039300042266E-3</v>
      </c>
      <c r="J454" s="16">
        <f t="shared" si="22"/>
        <v>3.794725232620678E-3</v>
      </c>
      <c r="K454" s="16">
        <f t="shared" si="23"/>
        <v>-1.8305579832648688E-2</v>
      </c>
      <c r="L454" s="16">
        <f t="shared" si="24"/>
        <v>-8.2649614538083237E-3</v>
      </c>
    </row>
    <row r="455" spans="1:12" x14ac:dyDescent="0.35">
      <c r="A455" s="18">
        <v>42913</v>
      </c>
      <c r="B455" s="15">
        <v>212.0703125</v>
      </c>
      <c r="C455" s="15">
        <v>64.507179260253906</v>
      </c>
      <c r="D455" s="15">
        <v>118.80999755859381</v>
      </c>
      <c r="E455" s="15">
        <v>130.75502014160159</v>
      </c>
      <c r="F455" s="15">
        <v>109.0114364624023</v>
      </c>
      <c r="H455" s="16">
        <f t="shared" si="22"/>
        <v>8.9104536972309644E-3</v>
      </c>
      <c r="I455" s="16">
        <f t="shared" si="22"/>
        <v>0</v>
      </c>
      <c r="J455" s="16">
        <f t="shared" si="22"/>
        <v>7.5725860866382726E-4</v>
      </c>
      <c r="K455" s="16">
        <f t="shared" si="23"/>
        <v>1.4314455042547806E-2</v>
      </c>
      <c r="L455" s="16">
        <f t="shared" si="24"/>
        <v>9.3828953261948251E-3</v>
      </c>
    </row>
    <row r="456" spans="1:12" x14ac:dyDescent="0.35">
      <c r="A456" s="18">
        <v>42914</v>
      </c>
      <c r="B456" s="15">
        <v>213.96839904785159</v>
      </c>
      <c r="C456" s="15">
        <v>64.507179260253906</v>
      </c>
      <c r="D456" s="15">
        <v>118.90000152587891</v>
      </c>
      <c r="E456" s="15">
        <v>132.6401672363281</v>
      </c>
      <c r="F456" s="15">
        <v>110.0390930175781</v>
      </c>
      <c r="H456" s="16">
        <f t="shared" si="22"/>
        <v>-8.8274969936395706E-3</v>
      </c>
      <c r="I456" s="16">
        <f t="shared" si="22"/>
        <v>-2.0741571326782803E-3</v>
      </c>
      <c r="J456" s="16">
        <f t="shared" si="22"/>
        <v>-4.8900007067288493E-3</v>
      </c>
      <c r="K456" s="16">
        <f t="shared" si="23"/>
        <v>-1.7507373659245422E-2</v>
      </c>
      <c r="L456" s="16">
        <f t="shared" si="24"/>
        <v>-8.0140450674865121E-3</v>
      </c>
    </row>
    <row r="457" spans="1:12" x14ac:dyDescent="0.35">
      <c r="A457" s="18">
        <v>42915</v>
      </c>
      <c r="B457" s="15">
        <v>212.08790588378909</v>
      </c>
      <c r="C457" s="15">
        <v>64.373519897460938</v>
      </c>
      <c r="D457" s="15">
        <v>118.3199996948242</v>
      </c>
      <c r="E457" s="15">
        <v>130.33819580078119</v>
      </c>
      <c r="F457" s="15">
        <v>109.160758972168</v>
      </c>
      <c r="H457" s="16">
        <f t="shared" si="22"/>
        <v>1.8628057539764699E-3</v>
      </c>
      <c r="I457" s="16">
        <f t="shared" si="22"/>
        <v>-7.3318149739031639E-4</v>
      </c>
      <c r="J457" s="16">
        <f t="shared" si="22"/>
        <v>-2.5387426380498197E-3</v>
      </c>
      <c r="K457" s="16">
        <f t="shared" si="23"/>
        <v>3.6343859660273911E-4</v>
      </c>
      <c r="L457" s="16">
        <f t="shared" si="24"/>
        <v>1.3669092728708276E-3</v>
      </c>
    </row>
    <row r="458" spans="1:12" x14ac:dyDescent="0.35">
      <c r="A458" s="18">
        <v>42916</v>
      </c>
      <c r="B458" s="15">
        <v>212.48335266113281</v>
      </c>
      <c r="C458" s="15">
        <v>64.326339721679688</v>
      </c>
      <c r="D458" s="15">
        <v>118.01999664306641</v>
      </c>
      <c r="E458" s="15">
        <v>130.38557434082031</v>
      </c>
      <c r="F458" s="15">
        <v>109.31007385253911</v>
      </c>
      <c r="H458" s="16">
        <f t="shared" si="22"/>
        <v>1.6940383530092949E-3</v>
      </c>
      <c r="I458" s="16">
        <f t="shared" si="22"/>
        <v>1.1065189334847764E-4</v>
      </c>
      <c r="J458" s="16">
        <f t="shared" si="22"/>
        <v>-1.6488352380743344E-2</v>
      </c>
      <c r="K458" s="16">
        <f t="shared" si="23"/>
        <v>-1.0590763229872522E-2</v>
      </c>
      <c r="L458" s="16">
        <f t="shared" si="24"/>
        <v>2.4077794184255582E-3</v>
      </c>
    </row>
    <row r="459" spans="1:12" x14ac:dyDescent="0.35">
      <c r="A459" s="18">
        <v>42919</v>
      </c>
      <c r="B459" s="15">
        <v>212.84361267089841</v>
      </c>
      <c r="C459" s="15">
        <v>64.333457946777344</v>
      </c>
      <c r="D459" s="15">
        <v>116.0899963378906</v>
      </c>
      <c r="E459" s="15">
        <v>129.01197814941409</v>
      </c>
      <c r="F459" s="15">
        <v>109.57358551025391</v>
      </c>
      <c r="H459" s="16">
        <f t="shared" si="22"/>
        <v>2.3091954911912209E-3</v>
      </c>
      <c r="I459" s="16">
        <f t="shared" si="22"/>
        <v>6.1316667048546907E-4</v>
      </c>
      <c r="J459" s="16">
        <f t="shared" si="22"/>
        <v>3.6971824767885646E-3</v>
      </c>
      <c r="K459" s="16">
        <f t="shared" si="23"/>
        <v>9.7913752552751844E-3</v>
      </c>
      <c r="L459" s="16">
        <f t="shared" si="24"/>
        <v>1.121566009217643E-3</v>
      </c>
    </row>
    <row r="460" spans="1:12" x14ac:dyDescent="0.35">
      <c r="A460" s="18">
        <v>42921</v>
      </c>
      <c r="B460" s="15">
        <v>213.33567810058591</v>
      </c>
      <c r="C460" s="15">
        <v>64.372917175292969</v>
      </c>
      <c r="D460" s="15">
        <v>116.51999664306641</v>
      </c>
      <c r="E460" s="15">
        <v>130.28138732910159</v>
      </c>
      <c r="F460" s="15">
        <v>109.69654846191411</v>
      </c>
      <c r="H460" s="16">
        <f t="shared" si="22"/>
        <v>-9.1863668028725788E-3</v>
      </c>
      <c r="I460" s="16">
        <f t="shared" si="22"/>
        <v>-2.3323213374277191E-3</v>
      </c>
      <c r="J460" s="16">
        <f t="shared" si="22"/>
        <v>-4.2916368590122171E-4</v>
      </c>
      <c r="K460" s="16">
        <f t="shared" si="23"/>
        <v>-9.0570438595949064E-3</v>
      </c>
      <c r="L460" s="16">
        <f t="shared" si="24"/>
        <v>-9.8973052554294175E-3</v>
      </c>
    </row>
    <row r="461" spans="1:12" x14ac:dyDescent="0.35">
      <c r="A461" s="18">
        <v>42922</v>
      </c>
      <c r="B461" s="15">
        <v>211.38487243652341</v>
      </c>
      <c r="C461" s="15">
        <v>64.222953796386719</v>
      </c>
      <c r="D461" s="15">
        <v>116.4700012207031</v>
      </c>
      <c r="E461" s="15">
        <v>129.10675048828119</v>
      </c>
      <c r="F461" s="15">
        <v>108.6162033081055</v>
      </c>
      <c r="H461" s="16">
        <f t="shared" si="22"/>
        <v>6.4642225256238486E-3</v>
      </c>
      <c r="I461" s="16">
        <f t="shared" si="22"/>
        <v>-2.4522386840208693E-4</v>
      </c>
      <c r="J461" s="16">
        <f t="shared" si="22"/>
        <v>-1.0269798493158457E-2</v>
      </c>
      <c r="K461" s="16">
        <f t="shared" si="23"/>
        <v>1.0728029000711733E-2</v>
      </c>
      <c r="L461" s="16">
        <f t="shared" si="24"/>
        <v>6.930147303746549E-3</v>
      </c>
    </row>
    <row r="462" spans="1:12" x14ac:dyDescent="0.35">
      <c r="A462" s="18">
        <v>42923</v>
      </c>
      <c r="B462" s="15">
        <v>212.7557373046875</v>
      </c>
      <c r="C462" s="15">
        <v>64.207206726074219</v>
      </c>
      <c r="D462" s="15">
        <v>115.2799987792969</v>
      </c>
      <c r="E462" s="15">
        <v>130.499267578125</v>
      </c>
      <c r="F462" s="15">
        <v>109.3715438842773</v>
      </c>
      <c r="H462" s="16">
        <f t="shared" si="22"/>
        <v>1.0732836960159371E-3</v>
      </c>
      <c r="I462" s="16">
        <f t="shared" si="22"/>
        <v>4.9110021450715722E-4</v>
      </c>
      <c r="J462" s="16">
        <f t="shared" si="22"/>
        <v>1.6468254331291792E-3</v>
      </c>
      <c r="K462" s="16">
        <f t="shared" si="23"/>
        <v>6.5115399521890405E-3</v>
      </c>
      <c r="L462" s="16">
        <f t="shared" si="24"/>
        <v>7.2276661038948344E-4</v>
      </c>
    </row>
    <row r="463" spans="1:12" x14ac:dyDescent="0.35">
      <c r="A463" s="18">
        <v>42926</v>
      </c>
      <c r="B463" s="15">
        <v>212.98420715332031</v>
      </c>
      <c r="C463" s="15">
        <v>64.238746643066406</v>
      </c>
      <c r="D463" s="15">
        <v>115.4700012207031</v>
      </c>
      <c r="E463" s="15">
        <v>131.35179138183591</v>
      </c>
      <c r="F463" s="15">
        <v>109.45062255859381</v>
      </c>
      <c r="H463" s="16">
        <f t="shared" si="22"/>
        <v>-7.4299706143984899E-4</v>
      </c>
      <c r="I463" s="16">
        <f t="shared" si="22"/>
        <v>9.8254532945647689E-4</v>
      </c>
      <c r="J463" s="16">
        <f t="shared" si="22"/>
        <v>1.2982088742114774E-3</v>
      </c>
      <c r="K463" s="16">
        <f t="shared" si="23"/>
        <v>2.8090432366541765E-3</v>
      </c>
      <c r="L463" s="16">
        <f t="shared" si="24"/>
        <v>-2.4093388768007152E-4</v>
      </c>
    </row>
    <row r="464" spans="1:12" x14ac:dyDescent="0.35">
      <c r="A464" s="18">
        <v>42927</v>
      </c>
      <c r="B464" s="15">
        <v>212.8260192871094</v>
      </c>
      <c r="C464" s="15">
        <v>64.301895141601563</v>
      </c>
      <c r="D464" s="15">
        <v>115.620002746582</v>
      </c>
      <c r="E464" s="15">
        <v>131.7212829589844</v>
      </c>
      <c r="F464" s="15">
        <v>109.42425537109381</v>
      </c>
      <c r="H464" s="16">
        <f t="shared" si="22"/>
        <v>7.4865855798950543E-3</v>
      </c>
      <c r="I464" s="16">
        <f t="shared" si="22"/>
        <v>2.3299348488232136E-3</v>
      </c>
      <c r="J464" s="16">
        <f t="shared" si="22"/>
        <v>3.5397924292926179E-3</v>
      </c>
      <c r="K464" s="16">
        <f t="shared" si="23"/>
        <v>1.1796370967032625E-2</v>
      </c>
      <c r="L464" s="16">
        <f t="shared" si="24"/>
        <v>7.1187059706234249E-3</v>
      </c>
    </row>
    <row r="465" spans="1:12" x14ac:dyDescent="0.35">
      <c r="A465" s="18">
        <v>42928</v>
      </c>
      <c r="B465" s="15">
        <v>214.42533874511719</v>
      </c>
      <c r="C465" s="15">
        <v>64.451889038085938</v>
      </c>
      <c r="D465" s="15">
        <v>116.0299987792969</v>
      </c>
      <c r="E465" s="15">
        <v>133.28431701660159</v>
      </c>
      <c r="F465" s="15">
        <v>110.20599365234381</v>
      </c>
      <c r="H465" s="16">
        <f t="shared" si="22"/>
        <v>1.6789929931785225E-3</v>
      </c>
      <c r="I465" s="16">
        <f t="shared" si="22"/>
        <v>-3.6761722475145864E-4</v>
      </c>
      <c r="J465" s="16">
        <f t="shared" si="22"/>
        <v>-1.8115086761429831E-3</v>
      </c>
      <c r="K465" s="16">
        <f t="shared" si="23"/>
        <v>2.2004591851896493E-3</v>
      </c>
      <c r="L465" s="16">
        <f t="shared" si="24"/>
        <v>1.5926478170225963E-3</v>
      </c>
    </row>
    <row r="466" spans="1:12" x14ac:dyDescent="0.35">
      <c r="A466" s="18">
        <v>42929</v>
      </c>
      <c r="B466" s="15">
        <v>214.78565979003909</v>
      </c>
      <c r="C466" s="15">
        <v>64.428199768066406</v>
      </c>
      <c r="D466" s="15">
        <v>115.8199996948242</v>
      </c>
      <c r="E466" s="15">
        <v>133.57792663574219</v>
      </c>
      <c r="F466" s="15">
        <v>110.38165283203119</v>
      </c>
      <c r="H466" s="16">
        <f t="shared" si="22"/>
        <v>4.6530607905403655E-3</v>
      </c>
      <c r="I466" s="16">
        <f t="shared" si="22"/>
        <v>3.6761722475136421E-4</v>
      </c>
      <c r="J466" s="16">
        <f t="shared" si="22"/>
        <v>8.1689001766401224E-3</v>
      </c>
      <c r="K466" s="16">
        <f t="shared" si="23"/>
        <v>7.8412033982788159E-3</v>
      </c>
      <c r="L466" s="16">
        <f t="shared" si="24"/>
        <v>4.4462281456777155E-3</v>
      </c>
    </row>
    <row r="467" spans="1:12" x14ac:dyDescent="0.35">
      <c r="A467" s="18">
        <v>42930</v>
      </c>
      <c r="B467" s="15">
        <v>215.78739929199219</v>
      </c>
      <c r="C467" s="15">
        <v>64.451889038085938</v>
      </c>
      <c r="D467" s="15">
        <v>116.76999664306641</v>
      </c>
      <c r="E467" s="15">
        <v>134.62945556640619</v>
      </c>
      <c r="F467" s="15">
        <v>110.8735275268555</v>
      </c>
      <c r="H467" s="16">
        <f t="shared" si="22"/>
        <v>-1.2191516289688289E-4</v>
      </c>
      <c r="I467" s="16">
        <f t="shared" si="22"/>
        <v>1.3464201423435951E-3</v>
      </c>
      <c r="J467" s="16">
        <f t="shared" si="22"/>
        <v>4.4433489997165506E-3</v>
      </c>
      <c r="K467" s="16">
        <f t="shared" si="23"/>
        <v>4.9245070454482598E-4</v>
      </c>
      <c r="L467" s="16">
        <f t="shared" si="24"/>
        <v>0</v>
      </c>
    </row>
    <row r="468" spans="1:12" x14ac:dyDescent="0.35">
      <c r="A468" s="18">
        <v>42933</v>
      </c>
      <c r="B468" s="15">
        <v>215.76109313964841</v>
      </c>
      <c r="C468" s="15">
        <v>64.538726806640625</v>
      </c>
      <c r="D468" s="15">
        <v>117.2900009155273</v>
      </c>
      <c r="E468" s="15">
        <v>134.6957702636719</v>
      </c>
      <c r="F468" s="15">
        <v>110.8735275268555</v>
      </c>
      <c r="H468" s="16">
        <f t="shared" si="22"/>
        <v>5.2920485503088846E-4</v>
      </c>
      <c r="I468" s="16">
        <f t="shared" si="22"/>
        <v>2.3209230628268569E-3</v>
      </c>
      <c r="J468" s="16">
        <f t="shared" si="22"/>
        <v>6.9668904523238475E-3</v>
      </c>
      <c r="K468" s="16">
        <f t="shared" si="23"/>
        <v>6.6594554986994349E-3</v>
      </c>
      <c r="L468" s="16">
        <f t="shared" si="24"/>
        <v>6.3362367193225055E-4</v>
      </c>
    </row>
    <row r="469" spans="1:12" x14ac:dyDescent="0.35">
      <c r="A469" s="18">
        <v>42934</v>
      </c>
      <c r="B469" s="15">
        <v>215.87530517578119</v>
      </c>
      <c r="C469" s="15">
        <v>64.688690185546875</v>
      </c>
      <c r="D469" s="15">
        <v>118.11000061035161</v>
      </c>
      <c r="E469" s="15">
        <v>135.59576416015619</v>
      </c>
      <c r="F469" s="15">
        <v>110.9438018798828</v>
      </c>
      <c r="H469" s="16">
        <f t="shared" si="22"/>
        <v>5.3993879827499832E-3</v>
      </c>
      <c r="I469" s="16">
        <f t="shared" si="22"/>
        <v>1.2182476530921414E-4</v>
      </c>
      <c r="J469" s="16">
        <f t="shared" si="22"/>
        <v>-2.540224323479533E-4</v>
      </c>
      <c r="K469" s="16">
        <f t="shared" si="23"/>
        <v>5.8508035058263408E-3</v>
      </c>
      <c r="L469" s="16">
        <f t="shared" si="24"/>
        <v>5.7628403724916573E-3</v>
      </c>
    </row>
    <row r="470" spans="1:12" x14ac:dyDescent="0.35">
      <c r="A470" s="18">
        <v>42935</v>
      </c>
      <c r="B470" s="15">
        <v>217.04405212402341</v>
      </c>
      <c r="C470" s="15">
        <v>64.696571350097656</v>
      </c>
      <c r="D470" s="15">
        <v>118.0800018310547</v>
      </c>
      <c r="E470" s="15">
        <v>136.39143371582031</v>
      </c>
      <c r="F470" s="15">
        <v>111.5849990844727</v>
      </c>
      <c r="H470" s="16">
        <f t="shared" si="22"/>
        <v>4.4547945233582449E-4</v>
      </c>
      <c r="I470" s="16">
        <f t="shared" si="22"/>
        <v>6.0984413847596215E-4</v>
      </c>
      <c r="J470" s="16">
        <f t="shared" si="22"/>
        <v>1.3540627739276065E-3</v>
      </c>
      <c r="K470" s="16">
        <f t="shared" si="23"/>
        <v>1.3186955402159769E-3</v>
      </c>
      <c r="L470" s="16">
        <f t="shared" si="24"/>
        <v>6.294482672550755E-4</v>
      </c>
    </row>
    <row r="471" spans="1:12" x14ac:dyDescent="0.35">
      <c r="A471" s="18">
        <v>42936</v>
      </c>
      <c r="B471" s="15">
        <v>217.14076232910159</v>
      </c>
      <c r="C471" s="15">
        <v>64.736038208007813</v>
      </c>
      <c r="D471" s="15">
        <v>118.2399978637695</v>
      </c>
      <c r="E471" s="15">
        <v>136.5714111328125</v>
      </c>
      <c r="F471" s="15">
        <v>111.65525817871089</v>
      </c>
      <c r="H471" s="16">
        <f t="shared" si="22"/>
        <v>-8.9080577478536048E-4</v>
      </c>
      <c r="I471" s="16">
        <f t="shared" si="22"/>
        <v>1.0969714713707061E-3</v>
      </c>
      <c r="J471" s="16">
        <f t="shared" si="22"/>
        <v>8.5895624743507048E-3</v>
      </c>
      <c r="K471" s="16">
        <f t="shared" si="23"/>
        <v>-4.1627174999354016E-4</v>
      </c>
      <c r="L471" s="16">
        <f t="shared" si="24"/>
        <v>-1.3381113487665815E-3</v>
      </c>
    </row>
    <row r="472" spans="1:12" x14ac:dyDescent="0.35">
      <c r="A472" s="18">
        <v>42937</v>
      </c>
      <c r="B472" s="15">
        <v>216.9474182128906</v>
      </c>
      <c r="C472" s="15">
        <v>64.807090759277344</v>
      </c>
      <c r="D472" s="15">
        <v>119.2600021362305</v>
      </c>
      <c r="E472" s="15">
        <v>136.51457214355469</v>
      </c>
      <c r="F472" s="15">
        <v>111.5059509277344</v>
      </c>
      <c r="H472" s="16">
        <f t="shared" si="22"/>
        <v>-2.4317435147428709E-4</v>
      </c>
      <c r="I472" s="16">
        <f t="shared" si="22"/>
        <v>-4.8691010582131548E-4</v>
      </c>
      <c r="J472" s="16">
        <f t="shared" si="22"/>
        <v>4.1912581765637117E-4</v>
      </c>
      <c r="K472" s="16">
        <f t="shared" si="23"/>
        <v>4.569486410937215E-3</v>
      </c>
      <c r="L472" s="16">
        <f t="shared" si="24"/>
        <v>7.8544695460775623E-5</v>
      </c>
    </row>
    <row r="473" spans="1:12" x14ac:dyDescent="0.35">
      <c r="A473" s="18">
        <v>42940</v>
      </c>
      <c r="B473" s="15">
        <v>216.89466857910159</v>
      </c>
      <c r="C473" s="15">
        <v>64.775543212890625</v>
      </c>
      <c r="D473" s="15">
        <v>119.30999755859381</v>
      </c>
      <c r="E473" s="15">
        <v>137.1398010253906</v>
      </c>
      <c r="F473" s="15">
        <v>111.51470947265619</v>
      </c>
      <c r="H473" s="16">
        <f t="shared" si="22"/>
        <v>2.4279636983749278E-3</v>
      </c>
      <c r="I473" s="16">
        <f t="shared" si="22"/>
        <v>-3.7854854387369794E-3</v>
      </c>
      <c r="J473" s="16">
        <f t="shared" si="22"/>
        <v>-3.2741446924652168E-3</v>
      </c>
      <c r="K473" s="16">
        <f t="shared" si="23"/>
        <v>-2.5589051173455354E-3</v>
      </c>
      <c r="L473" s="16">
        <f t="shared" si="24"/>
        <v>3.3027972427956474E-3</v>
      </c>
    </row>
    <row r="474" spans="1:12" x14ac:dyDescent="0.35">
      <c r="A474" s="18">
        <v>42941</v>
      </c>
      <c r="B474" s="15">
        <v>217.42192077636719</v>
      </c>
      <c r="C474" s="15">
        <v>64.530799865722656</v>
      </c>
      <c r="D474" s="15">
        <v>118.9199981689453</v>
      </c>
      <c r="E474" s="15">
        <v>136.78932189941409</v>
      </c>
      <c r="F474" s="15">
        <v>111.8836288452148</v>
      </c>
      <c r="H474" s="16">
        <f t="shared" si="22"/>
        <v>4.0352999624598397E-5</v>
      </c>
      <c r="I474" s="16">
        <f t="shared" si="22"/>
        <v>2.4437551694022311E-3</v>
      </c>
      <c r="J474" s="16">
        <f t="shared" si="22"/>
        <v>8.040236804836353E-3</v>
      </c>
      <c r="K474" s="16">
        <f t="shared" si="23"/>
        <v>3.2492853961324166E-3</v>
      </c>
      <c r="L474" s="16">
        <f t="shared" si="24"/>
        <v>-7.0697562889644999E-4</v>
      </c>
    </row>
    <row r="475" spans="1:12" x14ac:dyDescent="0.35">
      <c r="A475" s="18">
        <v>42942</v>
      </c>
      <c r="B475" s="15">
        <v>217.4306945800781</v>
      </c>
      <c r="C475" s="15">
        <v>64.688690185546875</v>
      </c>
      <c r="D475" s="15">
        <v>119.879997253418</v>
      </c>
      <c r="E475" s="15">
        <v>137.23451232910159</v>
      </c>
      <c r="F475" s="15">
        <v>111.804557800293</v>
      </c>
      <c r="H475" s="16">
        <f t="shared" si="22"/>
        <v>-9.3000631926264251E-4</v>
      </c>
      <c r="I475" s="16">
        <f t="shared" si="22"/>
        <v>-1.2214263031877764E-3</v>
      </c>
      <c r="J475" s="16">
        <f t="shared" si="22"/>
        <v>-7.5100215135911195E-4</v>
      </c>
      <c r="K475" s="16">
        <f t="shared" si="23"/>
        <v>-6.3010250796495075E-3</v>
      </c>
      <c r="L475" s="16">
        <f t="shared" si="24"/>
        <v>-1.7297076855107129E-3</v>
      </c>
    </row>
    <row r="476" spans="1:12" x14ac:dyDescent="0.35">
      <c r="A476" s="18">
        <v>42943</v>
      </c>
      <c r="B476" s="15">
        <v>217.22857666015619</v>
      </c>
      <c r="C476" s="15">
        <v>64.609725952148438</v>
      </c>
      <c r="D476" s="15">
        <v>119.7900009155273</v>
      </c>
      <c r="E476" s="15">
        <v>136.37251281738281</v>
      </c>
      <c r="F476" s="15">
        <v>111.6113357543945</v>
      </c>
      <c r="H476" s="16">
        <f t="shared" si="22"/>
        <v>-1.1735358603467102E-3</v>
      </c>
      <c r="I476" s="16">
        <f t="shared" si="22"/>
        <v>1.8308732445477896E-3</v>
      </c>
      <c r="J476" s="16">
        <f t="shared" si="22"/>
        <v>7.4850774725341296E-3</v>
      </c>
      <c r="K476" s="16">
        <f t="shared" si="23"/>
        <v>-8.3415584005883461E-4</v>
      </c>
      <c r="L476" s="16">
        <f t="shared" si="24"/>
        <v>-1.6539612048010546E-3</v>
      </c>
    </row>
    <row r="477" spans="1:12" x14ac:dyDescent="0.35">
      <c r="A477" s="18">
        <v>42944</v>
      </c>
      <c r="B477" s="15">
        <v>216.97380065917969</v>
      </c>
      <c r="C477" s="15">
        <v>64.728126525878906</v>
      </c>
      <c r="D477" s="15">
        <v>120.69000244140619</v>
      </c>
      <c r="E477" s="15">
        <v>136.25880432128909</v>
      </c>
      <c r="F477" s="15">
        <v>111.426887512207</v>
      </c>
      <c r="H477" s="16">
        <f t="shared" si="22"/>
        <v>-5.6733598943588129E-4</v>
      </c>
      <c r="I477" s="16">
        <f t="shared" si="22"/>
        <v>-1.2176537171722815E-4</v>
      </c>
      <c r="J477" s="16">
        <f t="shared" si="22"/>
        <v>4.9699767413943123E-4</v>
      </c>
      <c r="K477" s="16">
        <f t="shared" si="23"/>
        <v>-4.2499596705739039E-3</v>
      </c>
      <c r="L477" s="16">
        <f t="shared" si="24"/>
        <v>-5.5188319722679737E-4</v>
      </c>
    </row>
    <row r="478" spans="1:12" x14ac:dyDescent="0.35">
      <c r="A478" s="18">
        <v>42947</v>
      </c>
      <c r="B478" s="15">
        <v>216.8507385253906</v>
      </c>
      <c r="C478" s="15">
        <v>64.720245361328125</v>
      </c>
      <c r="D478" s="15">
        <v>120.75</v>
      </c>
      <c r="E478" s="15">
        <v>135.6809387207031</v>
      </c>
      <c r="F478" s="15">
        <v>111.3654098510742</v>
      </c>
      <c r="H478" s="16">
        <f t="shared" si="22"/>
        <v>2.2263439166366758E-3</v>
      </c>
      <c r="I478" s="16">
        <f t="shared" si="22"/>
        <v>4.0585865924212304E-3</v>
      </c>
      <c r="J478" s="16">
        <f t="shared" si="22"/>
        <v>-8.2848781448922274E-4</v>
      </c>
      <c r="K478" s="16">
        <f t="shared" si="23"/>
        <v>2.3014468333394126E-3</v>
      </c>
      <c r="L478" s="16">
        <f t="shared" si="24"/>
        <v>2.0485430180289367E-3</v>
      </c>
    </row>
    <row r="479" spans="1:12" x14ac:dyDescent="0.35">
      <c r="A479" s="18">
        <v>42948</v>
      </c>
      <c r="B479" s="15">
        <v>217.33406066894531</v>
      </c>
      <c r="C479" s="15">
        <v>64.983451843261719</v>
      </c>
      <c r="D479" s="15">
        <v>120.65000152587891</v>
      </c>
      <c r="E479" s="15">
        <v>135.9935607910156</v>
      </c>
      <c r="F479" s="15">
        <v>111.5937805175781</v>
      </c>
      <c r="H479" s="16">
        <f t="shared" si="22"/>
        <v>4.848856237346998E-4</v>
      </c>
      <c r="I479" s="16">
        <f t="shared" si="22"/>
        <v>-6.1045847114142083E-4</v>
      </c>
      <c r="J479" s="16">
        <f t="shared" si="22"/>
        <v>-2.0742591700593691E-3</v>
      </c>
      <c r="K479" s="16">
        <f t="shared" si="23"/>
        <v>2.7129584641875388E-3</v>
      </c>
      <c r="L479" s="16">
        <f t="shared" si="24"/>
        <v>-9.4487573405885902E-4</v>
      </c>
    </row>
    <row r="480" spans="1:12" x14ac:dyDescent="0.35">
      <c r="A480" s="18">
        <v>42949</v>
      </c>
      <c r="B480" s="15">
        <v>217.43946838378909</v>
      </c>
      <c r="C480" s="15">
        <v>64.943794250488281</v>
      </c>
      <c r="D480" s="15">
        <v>120.40000152587891</v>
      </c>
      <c r="E480" s="15">
        <v>136.3630065917969</v>
      </c>
      <c r="F480" s="15">
        <v>111.48838806152339</v>
      </c>
      <c r="H480" s="16">
        <f t="shared" si="22"/>
        <v>-1.9415172673384272E-3</v>
      </c>
      <c r="I480" s="16">
        <f t="shared" si="22"/>
        <v>2.0724926598625778E-3</v>
      </c>
      <c r="J480" s="16">
        <f t="shared" si="22"/>
        <v>1.5767861990995404E-3</v>
      </c>
      <c r="K480" s="16">
        <f t="shared" si="23"/>
        <v>-3.8976184699573571E-3</v>
      </c>
      <c r="L480" s="16">
        <f t="shared" si="24"/>
        <v>-2.2874967117127703E-3</v>
      </c>
    </row>
    <row r="481" spans="1:12" x14ac:dyDescent="0.35">
      <c r="A481" s="18">
        <v>42950</v>
      </c>
      <c r="B481" s="15">
        <v>217.01771545410159</v>
      </c>
      <c r="C481" s="15">
        <v>65.078529357910156</v>
      </c>
      <c r="D481" s="15">
        <v>120.5899963378906</v>
      </c>
      <c r="E481" s="15">
        <v>135.8325500488281</v>
      </c>
      <c r="F481" s="15">
        <v>111.2336502075195</v>
      </c>
      <c r="H481" s="16">
        <f t="shared" si="22"/>
        <v>1.820668818444399E-3</v>
      </c>
      <c r="I481" s="16">
        <f t="shared" si="22"/>
        <v>-1.584495300279935E-3</v>
      </c>
      <c r="J481" s="16">
        <f t="shared" si="22"/>
        <v>-7.8255046399973195E-3</v>
      </c>
      <c r="K481" s="16">
        <f t="shared" si="23"/>
        <v>1.8114499332233928E-3</v>
      </c>
      <c r="L481" s="16">
        <f t="shared" si="24"/>
        <v>2.1298849585463767E-3</v>
      </c>
    </row>
    <row r="482" spans="1:12" x14ac:dyDescent="0.35">
      <c r="A482" s="18">
        <v>42951</v>
      </c>
      <c r="B482" s="15">
        <v>217.41319274902341</v>
      </c>
      <c r="C482" s="15">
        <v>64.975494384765625</v>
      </c>
      <c r="D482" s="15">
        <v>119.65000152587891</v>
      </c>
      <c r="E482" s="15">
        <v>136.0788269042969</v>
      </c>
      <c r="F482" s="15">
        <v>111.470817565918</v>
      </c>
      <c r="H482" s="16">
        <f t="shared" si="22"/>
        <v>1.8571509837189666E-3</v>
      </c>
      <c r="I482" s="16">
        <f t="shared" si="22"/>
        <v>3.6639934169221668E-4</v>
      </c>
      <c r="J482" s="16">
        <f t="shared" si="22"/>
        <v>-1.1707593535361539E-3</v>
      </c>
      <c r="K482" s="16">
        <f t="shared" si="23"/>
        <v>6.314803985975362E-3</v>
      </c>
      <c r="L482" s="16">
        <f t="shared" si="24"/>
        <v>1.9677830609568596E-3</v>
      </c>
    </row>
    <row r="483" spans="1:12" x14ac:dyDescent="0.35">
      <c r="A483" s="18">
        <v>42954</v>
      </c>
      <c r="B483" s="15">
        <v>217.81733703613281</v>
      </c>
      <c r="C483" s="15">
        <v>64.999305725097656</v>
      </c>
      <c r="D483" s="15">
        <v>119.5100021362305</v>
      </c>
      <c r="E483" s="15">
        <v>136.94085693359381</v>
      </c>
      <c r="F483" s="15">
        <v>111.6903839111328</v>
      </c>
      <c r="H483" s="16">
        <f t="shared" si="22"/>
        <v>-2.4639298445764501E-3</v>
      </c>
      <c r="I483" s="16">
        <f t="shared" si="22"/>
        <v>-1.3429849213775066E-3</v>
      </c>
      <c r="J483" s="16">
        <f t="shared" si="22"/>
        <v>2.9243323685439523E-3</v>
      </c>
      <c r="K483" s="16">
        <f t="shared" si="23"/>
        <v>-1.7312769622605854E-3</v>
      </c>
      <c r="L483" s="16">
        <f t="shared" si="24"/>
        <v>-2.7560776703338908E-3</v>
      </c>
    </row>
    <row r="484" spans="1:12" x14ac:dyDescent="0.35">
      <c r="A484" s="18">
        <v>42955</v>
      </c>
      <c r="B484" s="15">
        <v>217.28131103515619</v>
      </c>
      <c r="C484" s="15">
        <v>64.912071228027344</v>
      </c>
      <c r="D484" s="15">
        <v>119.86000061035161</v>
      </c>
      <c r="E484" s="15">
        <v>136.7039794921875</v>
      </c>
      <c r="F484" s="15">
        <v>111.3829803466797</v>
      </c>
      <c r="H484" s="16">
        <f t="shared" si="22"/>
        <v>-4.0380743362731027E-5</v>
      </c>
      <c r="I484" s="16">
        <f t="shared" si="22"/>
        <v>7.3232304698091178E-4</v>
      </c>
      <c r="J484" s="16">
        <f t="shared" si="22"/>
        <v>1.2024832535234552E-2</v>
      </c>
      <c r="K484" s="16">
        <f t="shared" si="23"/>
        <v>-1.316857064039911E-3</v>
      </c>
      <c r="L484" s="16">
        <f t="shared" si="24"/>
        <v>-1.1044380302947115E-3</v>
      </c>
    </row>
    <row r="485" spans="1:12" x14ac:dyDescent="0.35">
      <c r="A485" s="18">
        <v>42956</v>
      </c>
      <c r="B485" s="15">
        <v>217.27253723144531</v>
      </c>
      <c r="C485" s="15">
        <v>64.959625244140625</v>
      </c>
      <c r="D485" s="15">
        <v>121.30999755859381</v>
      </c>
      <c r="E485" s="15">
        <v>136.5240783691406</v>
      </c>
      <c r="F485" s="15">
        <v>111.26003265380859</v>
      </c>
      <c r="H485" s="16">
        <f t="shared" si="22"/>
        <v>-1.4215569249264419E-2</v>
      </c>
      <c r="I485" s="16">
        <f t="shared" si="22"/>
        <v>1.4633909934643726E-3</v>
      </c>
      <c r="J485" s="16">
        <f t="shared" si="22"/>
        <v>7.3916363010040403E-3</v>
      </c>
      <c r="K485" s="16">
        <f t="shared" si="23"/>
        <v>-2.1673875993638816E-2</v>
      </c>
      <c r="L485" s="16">
        <f t="shared" si="24"/>
        <v>-1.4792955488737488E-2</v>
      </c>
    </row>
    <row r="486" spans="1:12" x14ac:dyDescent="0.35">
      <c r="A486" s="18">
        <v>42957</v>
      </c>
      <c r="B486" s="15">
        <v>214.20573425292969</v>
      </c>
      <c r="C486" s="15">
        <v>65.054756164550781</v>
      </c>
      <c r="D486" s="15">
        <v>122.2099990844727</v>
      </c>
      <c r="E486" s="15">
        <v>133.59690856933591</v>
      </c>
      <c r="F486" s="15">
        <v>109.62628173828119</v>
      </c>
      <c r="H486" s="16">
        <f t="shared" si="22"/>
        <v>1.4755971833564196E-3</v>
      </c>
      <c r="I486" s="16">
        <f t="shared" si="22"/>
        <v>8.5270565113201478E-4</v>
      </c>
      <c r="J486" s="16">
        <f t="shared" si="22"/>
        <v>4.734717669980351E-3</v>
      </c>
      <c r="K486" s="16">
        <f t="shared" si="23"/>
        <v>7.5582191771204716E-3</v>
      </c>
      <c r="L486" s="16">
        <f t="shared" si="24"/>
        <v>1.8413072987545132E-3</v>
      </c>
    </row>
    <row r="487" spans="1:12" x14ac:dyDescent="0.35">
      <c r="A487" s="18">
        <v>42958</v>
      </c>
      <c r="B487" s="15">
        <v>214.52204895019531</v>
      </c>
      <c r="C487" s="15">
        <v>65.110252380371094</v>
      </c>
      <c r="D487" s="15">
        <v>122.7900009155273</v>
      </c>
      <c r="E487" s="15">
        <v>134.61048889160159</v>
      </c>
      <c r="F487" s="15">
        <v>109.8283233642578</v>
      </c>
      <c r="H487" s="16">
        <f t="shared" si="22"/>
        <v>9.8643262767245457E-3</v>
      </c>
      <c r="I487" s="16">
        <f t="shared" si="22"/>
        <v>-7.3039373530702141E-4</v>
      </c>
      <c r="J487" s="16">
        <f t="shared" si="22"/>
        <v>-7.1105097086197602E-3</v>
      </c>
      <c r="K487" s="16">
        <f t="shared" si="23"/>
        <v>1.2795832301031002E-2</v>
      </c>
      <c r="L487" s="16">
        <f t="shared" si="24"/>
        <v>1.0184482737506837E-2</v>
      </c>
    </row>
    <row r="488" spans="1:12" x14ac:dyDescent="0.35">
      <c r="A488" s="18">
        <v>42961</v>
      </c>
      <c r="B488" s="15">
        <v>216.64863586425781</v>
      </c>
      <c r="C488" s="15">
        <v>65.062713623046875</v>
      </c>
      <c r="D488" s="15">
        <v>121.9199981689453</v>
      </c>
      <c r="E488" s="15">
        <v>136.34400939941409</v>
      </c>
      <c r="F488" s="15">
        <v>110.9525833129883</v>
      </c>
      <c r="H488" s="16">
        <f t="shared" si="22"/>
        <v>-1.2150092751851457E-4</v>
      </c>
      <c r="I488" s="16">
        <f t="shared" si="22"/>
        <v>-1.7075041656139493E-3</v>
      </c>
      <c r="J488" s="16">
        <f t="shared" si="22"/>
        <v>-7.7398064932356955E-3</v>
      </c>
      <c r="K488" s="16">
        <f t="shared" si="23"/>
        <v>6.9519123802446467E-4</v>
      </c>
      <c r="L488" s="16">
        <f t="shared" si="24"/>
        <v>-9.5061409752555698E-4</v>
      </c>
    </row>
    <row r="489" spans="1:12" x14ac:dyDescent="0.35">
      <c r="A489" s="18">
        <v>42962</v>
      </c>
      <c r="B489" s="15">
        <v>216.622314453125</v>
      </c>
      <c r="C489" s="15">
        <v>64.951713562011719</v>
      </c>
      <c r="D489" s="15">
        <v>120.98000335693359</v>
      </c>
      <c r="E489" s="15">
        <v>136.43882751464841</v>
      </c>
      <c r="F489" s="15">
        <v>110.8471603393555</v>
      </c>
      <c r="H489" s="16">
        <f t="shared" si="22"/>
        <v>1.7426356501487471E-3</v>
      </c>
      <c r="I489" s="16">
        <f t="shared" si="22"/>
        <v>1.4632172444272006E-3</v>
      </c>
      <c r="J489" s="16">
        <f t="shared" si="22"/>
        <v>7.329654945785768E-3</v>
      </c>
      <c r="K489" s="16">
        <f t="shared" si="23"/>
        <v>1.734080356748501E-3</v>
      </c>
      <c r="L489" s="16">
        <f t="shared" si="24"/>
        <v>1.8209767592228681E-3</v>
      </c>
    </row>
    <row r="490" spans="1:12" x14ac:dyDescent="0.35">
      <c r="A490" s="18">
        <v>42963</v>
      </c>
      <c r="B490" s="15">
        <v>217.00013732910159</v>
      </c>
      <c r="C490" s="15">
        <v>65.046821594238281</v>
      </c>
      <c r="D490" s="15">
        <v>121.870002746582</v>
      </c>
      <c r="E490" s="15">
        <v>136.6756286621094</v>
      </c>
      <c r="F490" s="15">
        <v>111.0491943359375</v>
      </c>
      <c r="H490" s="16">
        <f t="shared" si="22"/>
        <v>-1.5713773901456559E-2</v>
      </c>
      <c r="I490" s="16">
        <f t="shared" si="22"/>
        <v>1.8263085898006964E-3</v>
      </c>
      <c r="J490" s="16">
        <f t="shared" si="22"/>
        <v>5.0744511871612524E-3</v>
      </c>
      <c r="K490" s="16">
        <f t="shared" si="23"/>
        <v>-2.0658211602193884E-2</v>
      </c>
      <c r="L490" s="16">
        <f t="shared" si="24"/>
        <v>-1.602591131737013E-2</v>
      </c>
    </row>
    <row r="491" spans="1:12" x14ac:dyDescent="0.35">
      <c r="A491" s="18">
        <v>42964</v>
      </c>
      <c r="B491" s="15">
        <v>213.61689758300781</v>
      </c>
      <c r="C491" s="15">
        <v>65.165725708007813</v>
      </c>
      <c r="D491" s="15">
        <v>122.4899978637695</v>
      </c>
      <c r="E491" s="15">
        <v>133.88111877441409</v>
      </c>
      <c r="F491" s="15">
        <v>109.28371429443359</v>
      </c>
      <c r="H491" s="16">
        <f t="shared" si="22"/>
        <v>-1.5644824499611977E-3</v>
      </c>
      <c r="I491" s="16">
        <f t="shared" si="22"/>
        <v>-4.8657245452790317E-4</v>
      </c>
      <c r="J491" s="16">
        <f t="shared" si="22"/>
        <v>-1.5523089133793885E-3</v>
      </c>
      <c r="K491" s="16">
        <f t="shared" si="23"/>
        <v>-7.0802089122422383E-4</v>
      </c>
      <c r="L491" s="16">
        <f t="shared" si="24"/>
        <v>-1.6890087151044141E-3</v>
      </c>
    </row>
    <row r="492" spans="1:12" x14ac:dyDescent="0.35">
      <c r="A492" s="18">
        <v>42965</v>
      </c>
      <c r="B492" s="15">
        <v>213.282958984375</v>
      </c>
      <c r="C492" s="15">
        <v>65.134025573730469</v>
      </c>
      <c r="D492" s="15">
        <v>122.3000030517578</v>
      </c>
      <c r="E492" s="15">
        <v>133.78636169433591</v>
      </c>
      <c r="F492" s="15">
        <v>109.0992889404297</v>
      </c>
      <c r="H492" s="16">
        <f t="shared" si="22"/>
        <v>7.8279737834757355E-4</v>
      </c>
      <c r="I492" s="16">
        <f t="shared" si="22"/>
        <v>4.8657245452801375E-4</v>
      </c>
      <c r="J492" s="16">
        <f t="shared" si="22"/>
        <v>3.7541795070427631E-3</v>
      </c>
      <c r="K492" s="16">
        <f t="shared" si="23"/>
        <v>-1.2752454412671456E-3</v>
      </c>
      <c r="L492" s="16">
        <f t="shared" si="24"/>
        <v>1.4477766359329558E-3</v>
      </c>
    </row>
    <row r="493" spans="1:12" x14ac:dyDescent="0.35">
      <c r="A493" s="18">
        <v>42968</v>
      </c>
      <c r="B493" s="15">
        <v>213.4499816894531</v>
      </c>
      <c r="C493" s="15">
        <v>65.165725708007813</v>
      </c>
      <c r="D493" s="15">
        <v>122.7600021362305</v>
      </c>
      <c r="E493" s="15">
        <v>133.61585998535159</v>
      </c>
      <c r="F493" s="15">
        <v>109.2573547363281</v>
      </c>
      <c r="H493" s="16">
        <f t="shared" si="22"/>
        <v>1.0402534205611503E-2</v>
      </c>
      <c r="I493" s="16">
        <f t="shared" si="22"/>
        <v>-1.2168167262572702E-3</v>
      </c>
      <c r="J493" s="16">
        <f t="shared" si="22"/>
        <v>-4.4903781947353517E-3</v>
      </c>
      <c r="K493" s="16">
        <f t="shared" si="23"/>
        <v>1.5127925136884964E-2</v>
      </c>
      <c r="L493" s="16">
        <f t="shared" si="24"/>
        <v>9.9990167828108087E-3</v>
      </c>
    </row>
    <row r="494" spans="1:12" x14ac:dyDescent="0.35">
      <c r="A494" s="18">
        <v>42969</v>
      </c>
      <c r="B494" s="15">
        <v>215.68199157714841</v>
      </c>
      <c r="C494" s="15">
        <v>65.086479187011719</v>
      </c>
      <c r="D494" s="15">
        <v>122.2099990844727</v>
      </c>
      <c r="E494" s="15">
        <v>135.6525573730469</v>
      </c>
      <c r="F494" s="15">
        <v>110.3553009033203</v>
      </c>
      <c r="H494" s="16">
        <f t="shared" si="22"/>
        <v>-3.5918858399500756E-3</v>
      </c>
      <c r="I494" s="16">
        <f t="shared" si="22"/>
        <v>2.9183673770371669E-3</v>
      </c>
      <c r="J494" s="16">
        <f t="shared" si="22"/>
        <v>3.7569391595076765E-3</v>
      </c>
      <c r="K494" s="16">
        <f t="shared" si="23"/>
        <v>-3.5678364970589283E-3</v>
      </c>
      <c r="L494" s="16">
        <f t="shared" si="24"/>
        <v>-3.0288854110813584E-3</v>
      </c>
    </row>
    <row r="495" spans="1:12" x14ac:dyDescent="0.35">
      <c r="A495" s="18">
        <v>42970</v>
      </c>
      <c r="B495" s="15">
        <v>214.90867614746091</v>
      </c>
      <c r="C495" s="15">
        <v>65.276702880859375</v>
      </c>
      <c r="D495" s="15">
        <v>122.6699981689453</v>
      </c>
      <c r="E495" s="15">
        <v>135.16943359375</v>
      </c>
      <c r="F495" s="15">
        <v>110.0215530395508</v>
      </c>
      <c r="H495" s="16">
        <f t="shared" si="22"/>
        <v>-2.3331944864286936E-3</v>
      </c>
      <c r="I495" s="16">
        <f t="shared" si="22"/>
        <v>-1.4573582667065034E-3</v>
      </c>
      <c r="J495" s="16">
        <f t="shared" si="22"/>
        <v>-3.1025274301849808E-3</v>
      </c>
      <c r="K495" s="16">
        <f t="shared" si="23"/>
        <v>-2.9476267685134699E-3</v>
      </c>
      <c r="L495" s="16">
        <f t="shared" si="24"/>
        <v>-1.5980730756252816E-3</v>
      </c>
    </row>
    <row r="496" spans="1:12" x14ac:dyDescent="0.35">
      <c r="A496" s="18">
        <v>42971</v>
      </c>
      <c r="B496" s="15">
        <v>214.4078369140625</v>
      </c>
      <c r="C496" s="15">
        <v>65.181640625</v>
      </c>
      <c r="D496" s="15">
        <v>122.2900009155273</v>
      </c>
      <c r="E496" s="15">
        <v>134.77159118652341</v>
      </c>
      <c r="F496" s="15">
        <v>109.8458709716797</v>
      </c>
      <c r="H496" s="16">
        <f t="shared" si="22"/>
        <v>2.3331944864286571E-3</v>
      </c>
      <c r="I496" s="16">
        <f t="shared" si="22"/>
        <v>1.2146906044881154E-3</v>
      </c>
      <c r="J496" s="16">
        <f t="shared" si="22"/>
        <v>3.6729988686284489E-3</v>
      </c>
      <c r="K496" s="16">
        <f t="shared" si="23"/>
        <v>-2.1115092878915206E-3</v>
      </c>
      <c r="L496" s="16">
        <f t="shared" si="24"/>
        <v>2.3957718527320261E-3</v>
      </c>
    </row>
    <row r="497" spans="1:12" x14ac:dyDescent="0.35">
      <c r="A497" s="18">
        <v>42972</v>
      </c>
      <c r="B497" s="15">
        <v>214.90867614746091</v>
      </c>
      <c r="C497" s="15">
        <v>65.2608642578125</v>
      </c>
      <c r="D497" s="15">
        <v>122.7399978637695</v>
      </c>
      <c r="E497" s="15">
        <v>134.48731994628909</v>
      </c>
      <c r="F497" s="15">
        <v>110.10935211181641</v>
      </c>
      <c r="H497" s="16">
        <f t="shared" si="22"/>
        <v>4.1037892322499209E-5</v>
      </c>
      <c r="I497" s="16">
        <f t="shared" si="22"/>
        <v>4.857438486336511E-4</v>
      </c>
      <c r="J497" s="16">
        <f t="shared" si="22"/>
        <v>1.5762397031868835E-2</v>
      </c>
      <c r="K497" s="16">
        <f t="shared" si="23"/>
        <v>3.0950172492931081E-3</v>
      </c>
      <c r="L497" s="16">
        <f t="shared" si="24"/>
        <v>3.9888794063969467E-4</v>
      </c>
    </row>
    <row r="498" spans="1:12" x14ac:dyDescent="0.35">
      <c r="A498" s="18">
        <v>42975</v>
      </c>
      <c r="B498" s="15">
        <v>214.91749572753909</v>
      </c>
      <c r="C498" s="15">
        <v>65.292572021484375</v>
      </c>
      <c r="D498" s="15">
        <v>124.69000244140619</v>
      </c>
      <c r="E498" s="15">
        <v>134.9042053222656</v>
      </c>
      <c r="F498" s="15">
        <v>110.1532821655273</v>
      </c>
      <c r="H498" s="16">
        <f t="shared" si="22"/>
        <v>1.1442645826331846E-3</v>
      </c>
      <c r="I498" s="16">
        <f t="shared" si="22"/>
        <v>1.0922951889708178E-3</v>
      </c>
      <c r="J498" s="16">
        <f t="shared" si="22"/>
        <v>-2.1677522181516406E-3</v>
      </c>
      <c r="K498" s="16">
        <f t="shared" si="23"/>
        <v>3.9245000778633269E-3</v>
      </c>
      <c r="L498" s="16">
        <f t="shared" si="24"/>
        <v>3.9872889249173692E-4</v>
      </c>
    </row>
    <row r="499" spans="1:12" x14ac:dyDescent="0.35">
      <c r="A499" s="18">
        <v>42976</v>
      </c>
      <c r="B499" s="15">
        <v>215.16355895996091</v>
      </c>
      <c r="C499" s="15">
        <v>65.363929748535156</v>
      </c>
      <c r="D499" s="15">
        <v>124.4199981689453</v>
      </c>
      <c r="E499" s="15">
        <v>135.43467712402341</v>
      </c>
      <c r="F499" s="15">
        <v>110.1972122192383</v>
      </c>
      <c r="H499" s="16">
        <f t="shared" si="22"/>
        <v>4.726292664804975E-3</v>
      </c>
      <c r="I499" s="16">
        <f t="shared" si="22"/>
        <v>-1.2174823239345207E-4</v>
      </c>
      <c r="J499" s="16">
        <f t="shared" si="22"/>
        <v>-4.8233427165579736E-4</v>
      </c>
      <c r="K499" s="16">
        <f t="shared" si="23"/>
        <v>1.1682373106422358E-2</v>
      </c>
      <c r="L499" s="16">
        <f t="shared" si="24"/>
        <v>5.2466122583129729E-3</v>
      </c>
    </row>
    <row r="500" spans="1:12" x14ac:dyDescent="0.35">
      <c r="A500" s="18">
        <v>42977</v>
      </c>
      <c r="B500" s="15">
        <v>216.1828918457031</v>
      </c>
      <c r="C500" s="15">
        <v>65.355972290039063</v>
      </c>
      <c r="D500" s="15">
        <v>124.36000061035161</v>
      </c>
      <c r="E500" s="15">
        <v>137.0261535644531</v>
      </c>
      <c r="F500" s="15">
        <v>110.7768936157227</v>
      </c>
      <c r="H500" s="16">
        <f t="shared" si="22"/>
        <v>5.997958149027943E-3</v>
      </c>
      <c r="I500" s="16">
        <f t="shared" si="22"/>
        <v>8.4877732276888345E-4</v>
      </c>
      <c r="J500" s="16">
        <f t="shared" si="22"/>
        <v>1.1671721617893914E-2</v>
      </c>
      <c r="K500" s="16">
        <f t="shared" si="23"/>
        <v>1.0658412762845444E-2</v>
      </c>
      <c r="L500" s="16">
        <f t="shared" si="24"/>
        <v>6.7959810625248564E-3</v>
      </c>
    </row>
    <row r="501" spans="1:12" x14ac:dyDescent="0.35">
      <c r="A501" s="18">
        <v>42978</v>
      </c>
      <c r="B501" s="15">
        <v>217.48344421386719</v>
      </c>
      <c r="C501" s="15">
        <v>65.411468505859375</v>
      </c>
      <c r="D501" s="15">
        <v>125.8199996948242</v>
      </c>
      <c r="E501" s="15">
        <v>138.49444580078119</v>
      </c>
      <c r="F501" s="15">
        <v>111.5322952270508</v>
      </c>
      <c r="H501" s="16">
        <f t="shared" si="22"/>
        <v>1.4131599378567575E-3</v>
      </c>
      <c r="I501" s="16">
        <f t="shared" si="22"/>
        <v>-1.6532951381048996E-3</v>
      </c>
      <c r="J501" s="16">
        <f t="shared" si="22"/>
        <v>1.9056530015581058E-3</v>
      </c>
      <c r="K501" s="16">
        <f t="shared" si="23"/>
        <v>-1.3692149330515164E-3</v>
      </c>
      <c r="L501" s="16">
        <f t="shared" si="24"/>
        <v>2.2811055685028584E-3</v>
      </c>
    </row>
    <row r="502" spans="1:12" x14ac:dyDescent="0.35">
      <c r="A502" s="18">
        <v>42979</v>
      </c>
      <c r="B502" s="15">
        <v>217.79100036621091</v>
      </c>
      <c r="C502" s="15">
        <v>65.303413391113281</v>
      </c>
      <c r="D502" s="15">
        <v>126.05999755859381</v>
      </c>
      <c r="E502" s="15">
        <v>138.30494689941409</v>
      </c>
      <c r="F502" s="15">
        <v>111.78700256347661</v>
      </c>
      <c r="H502" s="16">
        <f t="shared" si="22"/>
        <v>-7.2077897760692306E-3</v>
      </c>
      <c r="I502" s="16">
        <f t="shared" si="22"/>
        <v>4.1281821934290551E-3</v>
      </c>
      <c r="J502" s="16">
        <f t="shared" si="22"/>
        <v>1.1044617985341777E-2</v>
      </c>
      <c r="K502" s="16">
        <f t="shared" si="23"/>
        <v>-9.0127372032129862E-3</v>
      </c>
      <c r="L502" s="16">
        <f t="shared" si="24"/>
        <v>-7.7301746819862698E-3</v>
      </c>
    </row>
    <row r="503" spans="1:12" x14ac:dyDescent="0.35">
      <c r="A503" s="18">
        <v>42983</v>
      </c>
      <c r="B503" s="15">
        <v>216.22685241699219</v>
      </c>
      <c r="C503" s="15">
        <v>65.573554992675781</v>
      </c>
      <c r="D503" s="15">
        <v>127.4599990844727</v>
      </c>
      <c r="E503" s="15">
        <v>137.06404113769531</v>
      </c>
      <c r="F503" s="15">
        <v>110.9262008666992</v>
      </c>
      <c r="H503" s="16">
        <f t="shared" si="22"/>
        <v>3.4077231089072982E-3</v>
      </c>
      <c r="I503" s="16">
        <f t="shared" si="22"/>
        <v>-1.6978037553922846E-3</v>
      </c>
      <c r="J503" s="16">
        <f t="shared" si="22"/>
        <v>-5.1126987089539664E-3</v>
      </c>
      <c r="K503" s="16">
        <f t="shared" si="23"/>
        <v>3.0361441357120798E-3</v>
      </c>
      <c r="L503" s="16">
        <f t="shared" si="24"/>
        <v>2.767822679123936E-3</v>
      </c>
    </row>
    <row r="504" spans="1:12" x14ac:dyDescent="0.35">
      <c r="A504" s="18">
        <v>42984</v>
      </c>
      <c r="B504" s="15">
        <v>216.96495056152341</v>
      </c>
      <c r="C504" s="15">
        <v>65.462318420410156</v>
      </c>
      <c r="D504" s="15">
        <v>126.80999755859381</v>
      </c>
      <c r="E504" s="15">
        <v>137.48081970214841</v>
      </c>
      <c r="F504" s="15">
        <v>111.2336502075195</v>
      </c>
      <c r="H504" s="16">
        <f t="shared" si="22"/>
        <v>-1.2118310595694066E-4</v>
      </c>
      <c r="I504" s="16">
        <f t="shared" si="22"/>
        <v>3.1494787961090652E-3</v>
      </c>
      <c r="J504" s="16">
        <f t="shared" si="22"/>
        <v>1.0355527635418776E-2</v>
      </c>
      <c r="K504" s="16">
        <f t="shared" si="23"/>
        <v>2.3400051717354115E-3</v>
      </c>
      <c r="L504" s="16">
        <f t="shared" si="24"/>
        <v>-4.7364997096751991E-4</v>
      </c>
    </row>
    <row r="505" spans="1:12" x14ac:dyDescent="0.35">
      <c r="A505" s="18">
        <v>42985</v>
      </c>
      <c r="B505" s="15">
        <v>216.93865966796881</v>
      </c>
      <c r="C505" s="15">
        <v>65.668815612792969</v>
      </c>
      <c r="D505" s="15">
        <v>128.1300048828125</v>
      </c>
      <c r="E505" s="15">
        <v>137.80290222167969</v>
      </c>
      <c r="F505" s="15">
        <v>111.1809768676758</v>
      </c>
      <c r="H505" s="16">
        <f t="shared" si="22"/>
        <v>-1.1754571943888813E-3</v>
      </c>
      <c r="I505" s="16">
        <f t="shared" si="22"/>
        <v>-1.0886168209080791E-3</v>
      </c>
      <c r="J505" s="16">
        <f t="shared" si="22"/>
        <v>-1.2495406412698638E-3</v>
      </c>
      <c r="K505" s="16">
        <f t="shared" si="23"/>
        <v>-8.6994021344503868E-3</v>
      </c>
      <c r="L505" s="16">
        <f t="shared" si="24"/>
        <v>-7.1151389985237544E-4</v>
      </c>
    </row>
    <row r="506" spans="1:12" x14ac:dyDescent="0.35">
      <c r="A506" s="18">
        <v>42986</v>
      </c>
      <c r="B506" s="15">
        <v>216.6838073730469</v>
      </c>
      <c r="C506" s="15">
        <v>65.597366333007813</v>
      </c>
      <c r="D506" s="15">
        <v>127.9700012207031</v>
      </c>
      <c r="E506" s="15">
        <v>136.60929870605469</v>
      </c>
      <c r="F506" s="15">
        <v>111.1018981933594</v>
      </c>
      <c r="H506" s="16">
        <f t="shared" si="22"/>
        <v>1.0609345781990558E-2</v>
      </c>
      <c r="I506" s="16">
        <f t="shared" si="22"/>
        <v>-3.0320480055452698E-3</v>
      </c>
      <c r="J506" s="16">
        <f t="shared" si="22"/>
        <v>-1.400714397659864E-2</v>
      </c>
      <c r="K506" s="16">
        <f t="shared" si="23"/>
        <v>1.1445363858096273E-2</v>
      </c>
      <c r="L506" s="16">
        <f t="shared" si="24"/>
        <v>1.0694311661085377E-2</v>
      </c>
    </row>
    <row r="507" spans="1:12" x14ac:dyDescent="0.35">
      <c r="A507" s="18">
        <v>42989</v>
      </c>
      <c r="B507" s="15">
        <v>218.99491882324219</v>
      </c>
      <c r="C507" s="15">
        <v>65.398773193359375</v>
      </c>
      <c r="D507" s="15">
        <v>126.19000244140619</v>
      </c>
      <c r="E507" s="15">
        <v>138.18182373046881</v>
      </c>
      <c r="F507" s="15">
        <v>112.2964324951172</v>
      </c>
      <c r="H507" s="16">
        <f t="shared" si="22"/>
        <v>3.3648612134854717E-3</v>
      </c>
      <c r="I507" s="16">
        <f t="shared" si="22"/>
        <v>-1.459192407692526E-3</v>
      </c>
      <c r="J507" s="16">
        <f t="shared" si="22"/>
        <v>2.9277577169549191E-3</v>
      </c>
      <c r="K507" s="16">
        <f t="shared" si="23"/>
        <v>2.3966705598089453E-3</v>
      </c>
      <c r="L507" s="16">
        <f t="shared" si="24"/>
        <v>3.8254282645863759E-3</v>
      </c>
    </row>
    <row r="508" spans="1:12" x14ac:dyDescent="0.35">
      <c r="A508" s="18">
        <v>42990</v>
      </c>
      <c r="B508" s="15">
        <v>219.73304748535159</v>
      </c>
      <c r="C508" s="15">
        <v>65.303413391113281</v>
      </c>
      <c r="D508" s="15">
        <v>126.55999755859381</v>
      </c>
      <c r="E508" s="15">
        <v>138.5133972167969</v>
      </c>
      <c r="F508" s="15">
        <v>112.7268371582031</v>
      </c>
      <c r="H508" s="16">
        <f t="shared" si="22"/>
        <v>4.7987067739858815E-4</v>
      </c>
      <c r="I508" s="16">
        <f t="shared" si="22"/>
        <v>-1.2167060078331689E-3</v>
      </c>
      <c r="J508" s="16">
        <f t="shared" si="22"/>
        <v>-7.5346111705773822E-3</v>
      </c>
      <c r="K508" s="16">
        <f t="shared" si="23"/>
        <v>1.3662757093142412E-3</v>
      </c>
      <c r="L508" s="16">
        <f t="shared" si="24"/>
        <v>4.6735911592521629E-4</v>
      </c>
    </row>
    <row r="509" spans="1:12" x14ac:dyDescent="0.35">
      <c r="A509" s="18">
        <v>42991</v>
      </c>
      <c r="B509" s="15">
        <v>219.83851623535159</v>
      </c>
      <c r="C509" s="15">
        <v>65.224006652832031</v>
      </c>
      <c r="D509" s="15">
        <v>125.61000061035161</v>
      </c>
      <c r="E509" s="15">
        <v>138.70277404785159</v>
      </c>
      <c r="F509" s="15">
        <v>112.7795333862305</v>
      </c>
      <c r="H509" s="16">
        <f t="shared" si="22"/>
        <v>-3.1967990352367131E-4</v>
      </c>
      <c r="I509" s="16">
        <f t="shared" si="22"/>
        <v>6.0853805059383386E-4</v>
      </c>
      <c r="J509" s="16">
        <f t="shared" si="22"/>
        <v>4.3690981240205188E-3</v>
      </c>
      <c r="K509" s="16">
        <f t="shared" si="23"/>
        <v>-5.8904558843583801E-3</v>
      </c>
      <c r="L509" s="16">
        <f t="shared" si="24"/>
        <v>-3.1170636957826505E-4</v>
      </c>
    </row>
    <row r="510" spans="1:12" x14ac:dyDescent="0.35">
      <c r="A510" s="18">
        <v>42992</v>
      </c>
      <c r="B510" s="15">
        <v>219.76824951171881</v>
      </c>
      <c r="C510" s="15">
        <v>65.263710021972656</v>
      </c>
      <c r="D510" s="15">
        <v>126.1600036621094</v>
      </c>
      <c r="E510" s="15">
        <v>137.8881530761719</v>
      </c>
      <c r="F510" s="15">
        <v>112.744384765625</v>
      </c>
      <c r="H510" s="16">
        <f t="shared" si="22"/>
        <v>1.3450202582094186E-3</v>
      </c>
      <c r="I510" s="16">
        <f t="shared" si="22"/>
        <v>1.2168656186828213E-4</v>
      </c>
      <c r="J510" s="16">
        <f t="shared" si="22"/>
        <v>-5.0062075765588878E-3</v>
      </c>
      <c r="K510" s="16">
        <f t="shared" si="23"/>
        <v>3.4290199546320012E-3</v>
      </c>
      <c r="L510" s="16">
        <f t="shared" si="24"/>
        <v>1.8682421200011423E-3</v>
      </c>
    </row>
    <row r="511" spans="1:12" x14ac:dyDescent="0.35">
      <c r="A511" s="18">
        <v>42993</v>
      </c>
      <c r="B511" s="15">
        <v>220.06404113769531</v>
      </c>
      <c r="C511" s="15">
        <v>65.271652221679688</v>
      </c>
      <c r="D511" s="15">
        <v>125.5299987792969</v>
      </c>
      <c r="E511" s="15">
        <v>138.3617858886719</v>
      </c>
      <c r="F511" s="15">
        <v>112.95521545410161</v>
      </c>
      <c r="H511" s="16">
        <f t="shared" si="22"/>
        <v>2.1246828199264507E-3</v>
      </c>
      <c r="I511" s="16">
        <f t="shared" si="22"/>
        <v>-7.3022461246220987E-4</v>
      </c>
      <c r="J511" s="16">
        <f t="shared" si="22"/>
        <v>-9.3641740072290727E-3</v>
      </c>
      <c r="K511" s="16">
        <f t="shared" si="23"/>
        <v>-1.3111173990621207E-3</v>
      </c>
      <c r="L511" s="16">
        <f t="shared" si="24"/>
        <v>2.4076604731671949E-3</v>
      </c>
    </row>
    <row r="512" spans="1:12" x14ac:dyDescent="0.35">
      <c r="A512" s="18">
        <v>42996</v>
      </c>
      <c r="B512" s="15">
        <v>220.5321044921875</v>
      </c>
      <c r="C512" s="15">
        <v>65.224006652832031</v>
      </c>
      <c r="D512" s="15">
        <v>124.36000061035161</v>
      </c>
      <c r="E512" s="15">
        <v>138.18049621582031</v>
      </c>
      <c r="F512" s="15">
        <v>113.2275009155273</v>
      </c>
      <c r="H512" s="16">
        <f t="shared" si="22"/>
        <v>1.0005515347621769E-3</v>
      </c>
      <c r="I512" s="16">
        <f t="shared" si="22"/>
        <v>-7.3146057654189232E-4</v>
      </c>
      <c r="J512" s="16">
        <f t="shared" si="22"/>
        <v>2.0885390572377388E-3</v>
      </c>
      <c r="K512" s="16">
        <f t="shared" si="23"/>
        <v>1.7157697822797217E-3</v>
      </c>
      <c r="L512" s="16">
        <f t="shared" si="24"/>
        <v>4.652930512266305E-4</v>
      </c>
    </row>
    <row r="513" spans="1:12" x14ac:dyDescent="0.35">
      <c r="A513" s="18">
        <v>42997</v>
      </c>
      <c r="B513" s="15">
        <v>220.75286865234381</v>
      </c>
      <c r="C513" s="15">
        <v>65.176315307617188</v>
      </c>
      <c r="D513" s="15">
        <v>124.620002746582</v>
      </c>
      <c r="E513" s="15">
        <v>138.41778564453119</v>
      </c>
      <c r="F513" s="15">
        <v>113.2801971435547</v>
      </c>
      <c r="H513" s="16">
        <f t="shared" si="22"/>
        <v>3.5998955320207964E-4</v>
      </c>
      <c r="I513" s="16">
        <f t="shared" si="22"/>
        <v>-8.5301255367295286E-4</v>
      </c>
      <c r="J513" s="16">
        <f t="shared" si="22"/>
        <v>-8.0567627066632057E-3</v>
      </c>
      <c r="K513" s="16">
        <f t="shared" si="23"/>
        <v>-3.0914150918465708E-3</v>
      </c>
      <c r="L513" s="16">
        <f t="shared" si="24"/>
        <v>1.6269909737074749E-3</v>
      </c>
    </row>
    <row r="514" spans="1:12" x14ac:dyDescent="0.35">
      <c r="A514" s="18">
        <v>42998</v>
      </c>
      <c r="B514" s="15">
        <v>220.83235168457031</v>
      </c>
      <c r="C514" s="15">
        <v>65.120742797851563</v>
      </c>
      <c r="D514" s="15">
        <v>123.620002746582</v>
      </c>
      <c r="E514" s="15">
        <v>137.99053955078119</v>
      </c>
      <c r="F514" s="15">
        <v>113.4646530151367</v>
      </c>
      <c r="H514" s="16">
        <f t="shared" si="22"/>
        <v>-2.6829590591847079E-3</v>
      </c>
      <c r="I514" s="16">
        <f t="shared" si="22"/>
        <v>-2.4430358280523069E-4</v>
      </c>
      <c r="J514" s="16">
        <f t="shared" si="22"/>
        <v>-7.6330247154426196E-3</v>
      </c>
      <c r="K514" s="16">
        <f t="shared" si="23"/>
        <v>-6.1413306908113035E-3</v>
      </c>
      <c r="L514" s="16">
        <f t="shared" si="24"/>
        <v>-2.7905960727367955E-3</v>
      </c>
    </row>
    <row r="515" spans="1:12" x14ac:dyDescent="0.35">
      <c r="A515" s="18">
        <v>42999</v>
      </c>
      <c r="B515" s="15">
        <v>220.24066162109381</v>
      </c>
      <c r="C515" s="15">
        <v>65.104835510253906</v>
      </c>
      <c r="D515" s="15">
        <v>122.6800003051758</v>
      </c>
      <c r="E515" s="15">
        <v>137.14569091796881</v>
      </c>
      <c r="F515" s="15">
        <v>113.14846038818359</v>
      </c>
      <c r="H515" s="16">
        <f t="shared" si="22"/>
        <v>2.0069080794323521E-4</v>
      </c>
      <c r="I515" s="16">
        <f t="shared" si="22"/>
        <v>9.7603692630201817E-4</v>
      </c>
      <c r="J515" s="16">
        <f t="shared" si="22"/>
        <v>4.5543146609351394E-3</v>
      </c>
      <c r="K515" s="16">
        <f t="shared" si="23"/>
        <v>-9.6954188117752502E-4</v>
      </c>
      <c r="L515" s="16">
        <f t="shared" si="24"/>
        <v>8.0261256436697987E-4</v>
      </c>
    </row>
    <row r="516" spans="1:12" x14ac:dyDescent="0.35">
      <c r="A516" s="18">
        <v>43000</v>
      </c>
      <c r="B516" s="15">
        <v>220.28486633300781</v>
      </c>
      <c r="C516" s="15">
        <v>65.168411254882813</v>
      </c>
      <c r="D516" s="15">
        <v>123.2399978637695</v>
      </c>
      <c r="E516" s="15">
        <v>137.0127868652344</v>
      </c>
      <c r="F516" s="15">
        <v>113.2393112182617</v>
      </c>
      <c r="H516" s="16">
        <f t="shared" ref="H516:J579" si="25">LN(B517/B516)</f>
        <v>-2.0467589969366397E-3</v>
      </c>
      <c r="I516" s="16">
        <f t="shared" si="25"/>
        <v>2.1917592717622409E-3</v>
      </c>
      <c r="J516" s="16">
        <f t="shared" si="25"/>
        <v>1.0412984536013178E-2</v>
      </c>
      <c r="K516" s="16">
        <f t="shared" ref="K516:K579" si="26">LN(E517/E516)</f>
        <v>-1.0588566304276225E-2</v>
      </c>
      <c r="L516" s="16">
        <f t="shared" ref="L516:L579" si="27">LN(F517/F516)</f>
        <v>-1.6373845927679094E-3</v>
      </c>
    </row>
    <row r="517" spans="1:12" x14ac:dyDescent="0.35">
      <c r="A517" s="18">
        <v>43003</v>
      </c>
      <c r="B517" s="15">
        <v>219.83445739746091</v>
      </c>
      <c r="C517" s="15">
        <v>65.3114013671875</v>
      </c>
      <c r="D517" s="15">
        <v>124.5299987792969</v>
      </c>
      <c r="E517" s="15">
        <v>135.5696716308594</v>
      </c>
      <c r="F517" s="15">
        <v>113.0540466308594</v>
      </c>
      <c r="H517" s="16">
        <f t="shared" si="25"/>
        <v>6.0230051466851164E-4</v>
      </c>
      <c r="I517" s="16">
        <f t="shared" si="25"/>
        <v>-4.8688937140149003E-4</v>
      </c>
      <c r="J517" s="16">
        <f t="shared" si="25"/>
        <v>-1.1224726404077373E-2</v>
      </c>
      <c r="K517" s="16">
        <f t="shared" si="26"/>
        <v>2.5876219615407411E-3</v>
      </c>
      <c r="L517" s="16">
        <f t="shared" si="27"/>
        <v>2.3427869933501336E-4</v>
      </c>
    </row>
    <row r="518" spans="1:12" x14ac:dyDescent="0.35">
      <c r="A518" s="18">
        <v>43004</v>
      </c>
      <c r="B518" s="15">
        <v>219.96690368652341</v>
      </c>
      <c r="C518" s="15">
        <v>65.279609680175781</v>
      </c>
      <c r="D518" s="15">
        <v>123.13999938964839</v>
      </c>
      <c r="E518" s="15">
        <v>135.9209289550781</v>
      </c>
      <c r="F518" s="15">
        <v>113.0805358886719</v>
      </c>
      <c r="H518" s="16">
        <f t="shared" si="25"/>
        <v>3.8867189378570715E-3</v>
      </c>
      <c r="I518" s="16">
        <f t="shared" si="25"/>
        <v>-3.0467121553835823E-3</v>
      </c>
      <c r="J518" s="16">
        <f t="shared" si="25"/>
        <v>-9.464790137826945E-3</v>
      </c>
      <c r="K518" s="16">
        <f t="shared" si="26"/>
        <v>8.9704862239128776E-3</v>
      </c>
      <c r="L518" s="16">
        <f t="shared" si="27"/>
        <v>5.4455214373551816E-3</v>
      </c>
    </row>
    <row r="519" spans="1:12" x14ac:dyDescent="0.35">
      <c r="A519" s="18">
        <v>43005</v>
      </c>
      <c r="B519" s="15">
        <v>220.8235168457031</v>
      </c>
      <c r="C519" s="15">
        <v>65.081024169921875</v>
      </c>
      <c r="D519" s="15">
        <v>121.98000335693359</v>
      </c>
      <c r="E519" s="15">
        <v>137.14569091796881</v>
      </c>
      <c r="F519" s="15">
        <v>113.697998046875</v>
      </c>
      <c r="H519" s="16">
        <f t="shared" si="25"/>
        <v>1.1991930623597965E-3</v>
      </c>
      <c r="I519" s="16">
        <f t="shared" si="25"/>
        <v>2.4357255177336049E-4</v>
      </c>
      <c r="J519" s="16">
        <f t="shared" si="25"/>
        <v>1.8837445698115113E-3</v>
      </c>
      <c r="K519" s="16">
        <f t="shared" si="26"/>
        <v>-3.4652275228600366E-4</v>
      </c>
      <c r="L519" s="16">
        <f t="shared" si="27"/>
        <v>1.627984495680817E-3</v>
      </c>
    </row>
    <row r="520" spans="1:12" x14ac:dyDescent="0.35">
      <c r="A520" s="18">
        <v>43006</v>
      </c>
      <c r="B520" s="15">
        <v>221.08848571777341</v>
      </c>
      <c r="C520" s="15">
        <v>65.096878051757813</v>
      </c>
      <c r="D520" s="15">
        <v>122.2099990844727</v>
      </c>
      <c r="E520" s="15">
        <v>137.0981750488281</v>
      </c>
      <c r="F520" s="15">
        <v>113.8832473754883</v>
      </c>
      <c r="H520" s="16">
        <f t="shared" si="25"/>
        <v>3.5091304033759048E-3</v>
      </c>
      <c r="I520" s="16">
        <f t="shared" si="25"/>
        <v>1.2223277694744096E-4</v>
      </c>
      <c r="J520" s="16">
        <f t="shared" si="25"/>
        <v>-5.1683715774130693E-3</v>
      </c>
      <c r="K520" s="16">
        <f t="shared" si="26"/>
        <v>7.1758573966338429E-3</v>
      </c>
      <c r="L520" s="16">
        <f t="shared" si="27"/>
        <v>3.2481730513023678E-3</v>
      </c>
    </row>
    <row r="521" spans="1:12" x14ac:dyDescent="0.35">
      <c r="A521" s="18">
        <v>43007</v>
      </c>
      <c r="B521" s="15">
        <v>221.86567687988281</v>
      </c>
      <c r="C521" s="15">
        <v>65.104835510253906</v>
      </c>
      <c r="D521" s="15">
        <v>121.5800018310547</v>
      </c>
      <c r="E521" s="15">
        <v>138.08551025390619</v>
      </c>
      <c r="F521" s="15">
        <v>114.25376129150391</v>
      </c>
      <c r="H521" s="16">
        <f t="shared" si="25"/>
        <v>4.3289371157195795E-3</v>
      </c>
      <c r="I521" s="16">
        <f t="shared" si="25"/>
        <v>-3.9077545396015175E-4</v>
      </c>
      <c r="J521" s="16">
        <f t="shared" si="25"/>
        <v>-6.6846148898739152E-3</v>
      </c>
      <c r="K521" s="16">
        <f t="shared" si="26"/>
        <v>8.9367598515143116E-4</v>
      </c>
      <c r="L521" s="16">
        <f t="shared" si="27"/>
        <v>5.2363191232159788E-3</v>
      </c>
    </row>
    <row r="522" spans="1:12" x14ac:dyDescent="0.35">
      <c r="A522" s="18">
        <v>43010</v>
      </c>
      <c r="B522" s="15">
        <v>222.82820129394531</v>
      </c>
      <c r="C522" s="15">
        <v>65.079399108886719</v>
      </c>
      <c r="D522" s="15">
        <v>120.76999664306641</v>
      </c>
      <c r="E522" s="15">
        <v>138.20896911621091</v>
      </c>
      <c r="F522" s="15">
        <v>114.8535995483398</v>
      </c>
      <c r="H522" s="16">
        <f t="shared" si="25"/>
        <v>2.1379870844234917E-3</v>
      </c>
      <c r="I522" s="16">
        <f t="shared" si="25"/>
        <v>4.8897274857483987E-4</v>
      </c>
      <c r="J522" s="16">
        <f t="shared" si="25"/>
        <v>4.9673170199586144E-4</v>
      </c>
      <c r="K522" s="16">
        <f t="shared" si="26"/>
        <v>2.1270933404587597E-3</v>
      </c>
      <c r="L522" s="16">
        <f t="shared" si="27"/>
        <v>1.9950736331519605E-3</v>
      </c>
    </row>
    <row r="523" spans="1:12" x14ac:dyDescent="0.35">
      <c r="A523" s="18">
        <v>43011</v>
      </c>
      <c r="B523" s="15">
        <v>223.30511474609381</v>
      </c>
      <c r="C523" s="15">
        <v>65.111228942871094</v>
      </c>
      <c r="D523" s="15">
        <v>120.8300018310547</v>
      </c>
      <c r="E523" s="15">
        <v>138.5032653808594</v>
      </c>
      <c r="F523" s="15">
        <v>115.0829696655273</v>
      </c>
      <c r="H523" s="16">
        <f t="shared" si="25"/>
        <v>1.1853965305654336E-3</v>
      </c>
      <c r="I523" s="16">
        <f t="shared" si="25"/>
        <v>0</v>
      </c>
      <c r="J523" s="16">
        <f t="shared" si="25"/>
        <v>2.8098889387877151E-3</v>
      </c>
      <c r="K523" s="16">
        <f t="shared" si="26"/>
        <v>9.5922339226669844E-4</v>
      </c>
      <c r="L523" s="16">
        <f t="shared" si="27"/>
        <v>9.9578126460349065E-4</v>
      </c>
    </row>
    <row r="524" spans="1:12" x14ac:dyDescent="0.35">
      <c r="A524" s="18">
        <v>43012</v>
      </c>
      <c r="B524" s="15">
        <v>223.5699768066406</v>
      </c>
      <c r="C524" s="15">
        <v>65.111228942871094</v>
      </c>
      <c r="D524" s="15">
        <v>121.1699981689453</v>
      </c>
      <c r="E524" s="15">
        <v>138.63618469238281</v>
      </c>
      <c r="F524" s="15">
        <v>115.197624206543</v>
      </c>
      <c r="H524" s="16">
        <f t="shared" si="25"/>
        <v>5.9078961089615613E-3</v>
      </c>
      <c r="I524" s="16">
        <f t="shared" si="25"/>
        <v>-7.3390059486499071E-4</v>
      </c>
      <c r="J524" s="16">
        <f t="shared" si="25"/>
        <v>-5.3788167236254588E-3</v>
      </c>
      <c r="K524" s="16">
        <f t="shared" si="26"/>
        <v>9.7449366469216925E-3</v>
      </c>
      <c r="L524" s="16">
        <f t="shared" si="27"/>
        <v>5.2698855473353708E-3</v>
      </c>
    </row>
    <row r="525" spans="1:12" x14ac:dyDescent="0.35">
      <c r="A525" s="18">
        <v>43013</v>
      </c>
      <c r="B525" s="15">
        <v>224.89471435546881</v>
      </c>
      <c r="C525" s="15">
        <v>65.063461303710938</v>
      </c>
      <c r="D525" s="15">
        <v>120.51999664306641</v>
      </c>
      <c r="E525" s="15">
        <v>139.99378967285159</v>
      </c>
      <c r="F525" s="15">
        <v>115.8063049316406</v>
      </c>
      <c r="H525" s="16">
        <f t="shared" si="25"/>
        <v>-1.1394196113114175E-3</v>
      </c>
      <c r="I525" s="16">
        <f t="shared" si="25"/>
        <v>-1.1016856903631632E-3</v>
      </c>
      <c r="J525" s="16">
        <f t="shared" si="25"/>
        <v>4.7183541150490563E-3</v>
      </c>
      <c r="K525" s="16">
        <f t="shared" si="26"/>
        <v>1.3547764305979633E-3</v>
      </c>
      <c r="L525" s="16">
        <f t="shared" si="27"/>
        <v>-6.8552543013586527E-4</v>
      </c>
    </row>
    <row r="526" spans="1:12" x14ac:dyDescent="0.35">
      <c r="A526" s="18">
        <v>43014</v>
      </c>
      <c r="B526" s="15">
        <v>224.63861083984381</v>
      </c>
      <c r="C526" s="15">
        <v>64.9918212890625</v>
      </c>
      <c r="D526" s="15">
        <v>121.0899963378906</v>
      </c>
      <c r="E526" s="15">
        <v>140.18357849121091</v>
      </c>
      <c r="F526" s="15">
        <v>115.72694396972661</v>
      </c>
      <c r="H526" s="16">
        <f t="shared" si="25"/>
        <v>-1.6524403797122209E-3</v>
      </c>
      <c r="I526" s="16">
        <f t="shared" si="25"/>
        <v>9.7960973046851163E-4</v>
      </c>
      <c r="J526" s="16">
        <f t="shared" si="25"/>
        <v>8.1425420115544718E-3</v>
      </c>
      <c r="K526" s="16">
        <f t="shared" si="26"/>
        <v>-1.1515192028644667E-3</v>
      </c>
      <c r="L526" s="16">
        <f t="shared" si="27"/>
        <v>-1.9840268804859435E-3</v>
      </c>
    </row>
    <row r="527" spans="1:12" x14ac:dyDescent="0.35">
      <c r="A527" s="18">
        <v>43017</v>
      </c>
      <c r="B527" s="15">
        <v>224.26771545410159</v>
      </c>
      <c r="C527" s="15">
        <v>65.055519104003906</v>
      </c>
      <c r="D527" s="15">
        <v>122.0800018310547</v>
      </c>
      <c r="E527" s="15">
        <v>140.0222473144531</v>
      </c>
      <c r="F527" s="15">
        <v>115.4975662231445</v>
      </c>
      <c r="H527" s="16">
        <f t="shared" si="25"/>
        <v>2.6348460298252622E-3</v>
      </c>
      <c r="I527" s="16">
        <f t="shared" si="25"/>
        <v>4.8915219247761758E-4</v>
      </c>
      <c r="J527" s="16">
        <f t="shared" si="25"/>
        <v>2.6178000095999523E-3</v>
      </c>
      <c r="K527" s="16">
        <f t="shared" si="26"/>
        <v>7.4532251501740695E-4</v>
      </c>
      <c r="L527" s="16">
        <f t="shared" si="27"/>
        <v>2.3650055811341472E-3</v>
      </c>
    </row>
    <row r="528" spans="1:12" x14ac:dyDescent="0.35">
      <c r="A528" s="18">
        <v>43018</v>
      </c>
      <c r="B528" s="15">
        <v>224.8594055175781</v>
      </c>
      <c r="C528" s="15">
        <v>65.087348937988281</v>
      </c>
      <c r="D528" s="15">
        <v>122.40000152587891</v>
      </c>
      <c r="E528" s="15">
        <v>140.12664794921881</v>
      </c>
      <c r="F528" s="15">
        <v>115.7710418701172</v>
      </c>
      <c r="H528" s="16">
        <f t="shared" si="25"/>
        <v>1.5694378287180294E-3</v>
      </c>
      <c r="I528" s="16">
        <f t="shared" si="25"/>
        <v>4.8914736052901441E-4</v>
      </c>
      <c r="J528" s="16">
        <f t="shared" si="25"/>
        <v>3.1812040839058952E-3</v>
      </c>
      <c r="K528" s="16">
        <f t="shared" si="26"/>
        <v>2.9767245165515212E-3</v>
      </c>
      <c r="L528" s="16">
        <f t="shared" si="27"/>
        <v>1.3705860155175922E-3</v>
      </c>
    </row>
    <row r="529" spans="1:12" x14ac:dyDescent="0.35">
      <c r="A529" s="18">
        <v>43019</v>
      </c>
      <c r="B529" s="15">
        <v>225.21258544921881</v>
      </c>
      <c r="C529" s="15">
        <v>65.119194030761719</v>
      </c>
      <c r="D529" s="15">
        <v>122.7900009155273</v>
      </c>
      <c r="E529" s="15">
        <v>140.54438781738281</v>
      </c>
      <c r="F529" s="15">
        <v>115.92982482910161</v>
      </c>
      <c r="H529" s="16">
        <f t="shared" si="25"/>
        <v>-1.4908599125325382E-3</v>
      </c>
      <c r="I529" s="16">
        <f t="shared" si="25"/>
        <v>8.5525698083499556E-4</v>
      </c>
      <c r="J529" s="16">
        <f t="shared" si="25"/>
        <v>8.1405470139349627E-4</v>
      </c>
      <c r="K529" s="16">
        <f t="shared" si="26"/>
        <v>-1.8255189157782526E-3</v>
      </c>
      <c r="L529" s="16">
        <f t="shared" si="27"/>
        <v>-1.2183010571849839E-3</v>
      </c>
    </row>
    <row r="530" spans="1:12" x14ac:dyDescent="0.35">
      <c r="A530" s="18">
        <v>43020</v>
      </c>
      <c r="B530" s="15">
        <v>224.8770751953125</v>
      </c>
      <c r="C530" s="15">
        <v>65.174911499023438</v>
      </c>
      <c r="D530" s="15">
        <v>122.88999938964839</v>
      </c>
      <c r="E530" s="15">
        <v>140.2880554199219</v>
      </c>
      <c r="F530" s="15">
        <v>115.78867340087891</v>
      </c>
      <c r="H530" s="16">
        <f t="shared" si="25"/>
        <v>1.2164910853168297E-3</v>
      </c>
      <c r="I530" s="16">
        <f t="shared" si="25"/>
        <v>2.0733282439143936E-3</v>
      </c>
      <c r="J530" s="16">
        <f t="shared" si="25"/>
        <v>7.5392542965572809E-3</v>
      </c>
      <c r="K530" s="16">
        <f t="shared" si="26"/>
        <v>3.8499122093675225E-3</v>
      </c>
      <c r="L530" s="16">
        <f t="shared" si="27"/>
        <v>7.616696899451831E-4</v>
      </c>
    </row>
    <row r="531" spans="1:12" x14ac:dyDescent="0.35">
      <c r="A531" s="18">
        <v>43021</v>
      </c>
      <c r="B531" s="15">
        <v>225.15080261230469</v>
      </c>
      <c r="C531" s="15">
        <v>65.3101806640625</v>
      </c>
      <c r="D531" s="15">
        <v>123.8199996948242</v>
      </c>
      <c r="E531" s="15">
        <v>140.8291931152344</v>
      </c>
      <c r="F531" s="15">
        <v>115.8768997192383</v>
      </c>
      <c r="H531" s="16">
        <f t="shared" si="25"/>
        <v>1.3327851737074169E-3</v>
      </c>
      <c r="I531" s="16">
        <f t="shared" si="25"/>
        <v>-9.7508651932059034E-4</v>
      </c>
      <c r="J531" s="16">
        <f t="shared" si="25"/>
        <v>-6.888462515220759E-3</v>
      </c>
      <c r="K531" s="16">
        <f t="shared" si="26"/>
        <v>3.4323610830078325E-3</v>
      </c>
      <c r="L531" s="16">
        <f t="shared" si="27"/>
        <v>6.848359848587428E-4</v>
      </c>
    </row>
    <row r="532" spans="1:12" x14ac:dyDescent="0.35">
      <c r="A532" s="18">
        <v>43024</v>
      </c>
      <c r="B532" s="15">
        <v>225.4510803222656</v>
      </c>
      <c r="C532" s="15">
        <v>65.246528625488281</v>
      </c>
      <c r="D532" s="15">
        <v>122.9700012207031</v>
      </c>
      <c r="E532" s="15">
        <v>141.31340026855469</v>
      </c>
      <c r="F532" s="15">
        <v>115.95628356933589</v>
      </c>
      <c r="H532" s="16">
        <f t="shared" si="25"/>
        <v>7.0471851726814727E-4</v>
      </c>
      <c r="I532" s="16">
        <f t="shared" si="25"/>
        <v>1.2206935635845614E-4</v>
      </c>
      <c r="J532" s="16">
        <f t="shared" si="25"/>
        <v>-6.8544044171991213E-3</v>
      </c>
      <c r="K532" s="16">
        <f t="shared" si="26"/>
        <v>1.2755982599679892E-3</v>
      </c>
      <c r="L532" s="16">
        <f t="shared" si="27"/>
        <v>4.561872971659817E-4</v>
      </c>
    </row>
    <row r="533" spans="1:12" x14ac:dyDescent="0.35">
      <c r="A533" s="18">
        <v>43025</v>
      </c>
      <c r="B533" s="15">
        <v>225.6100158691406</v>
      </c>
      <c r="C533" s="15">
        <v>65.254493713378906</v>
      </c>
      <c r="D533" s="15">
        <v>122.129997253418</v>
      </c>
      <c r="E533" s="15">
        <v>141.4937744140625</v>
      </c>
      <c r="F533" s="15">
        <v>116.0091934204102</v>
      </c>
      <c r="H533" s="16">
        <f t="shared" si="25"/>
        <v>9.7817779172781395E-4</v>
      </c>
      <c r="I533" s="16">
        <f t="shared" si="25"/>
        <v>-1.586894055832446E-3</v>
      </c>
      <c r="J533" s="16">
        <f t="shared" si="25"/>
        <v>-3.7735819439881457E-3</v>
      </c>
      <c r="K533" s="16">
        <f t="shared" si="26"/>
        <v>-1.2085459470996438E-3</v>
      </c>
      <c r="L533" s="16">
        <f t="shared" si="27"/>
        <v>1.2919161814223224E-3</v>
      </c>
    </row>
    <row r="534" spans="1:12" x14ac:dyDescent="0.35">
      <c r="A534" s="18">
        <v>43026</v>
      </c>
      <c r="B534" s="15">
        <v>225.830810546875</v>
      </c>
      <c r="C534" s="15">
        <v>65.151023864746094</v>
      </c>
      <c r="D534" s="15">
        <v>121.6699981689453</v>
      </c>
      <c r="E534" s="15">
        <v>141.3228759765625</v>
      </c>
      <c r="F534" s="15">
        <v>116.15916442871089</v>
      </c>
      <c r="H534" s="16">
        <f t="shared" si="25"/>
        <v>2.7367787528451647E-4</v>
      </c>
      <c r="I534" s="16">
        <f t="shared" si="25"/>
        <v>4.8749895159232414E-4</v>
      </c>
      <c r="J534" s="16">
        <f t="shared" si="25"/>
        <v>5.9002156573017472E-3</v>
      </c>
      <c r="K534" s="16">
        <f t="shared" si="26"/>
        <v>-3.7017225929605628E-3</v>
      </c>
      <c r="L534" s="16">
        <f t="shared" si="27"/>
        <v>2.2814810496698816E-4</v>
      </c>
    </row>
    <row r="535" spans="1:12" x14ac:dyDescent="0.35">
      <c r="A535" s="18">
        <v>43027</v>
      </c>
      <c r="B535" s="15">
        <v>225.89262390136719</v>
      </c>
      <c r="C535" s="15">
        <v>65.182792663574219</v>
      </c>
      <c r="D535" s="15">
        <v>122.38999938964839</v>
      </c>
      <c r="E535" s="15">
        <v>140.80070495605469</v>
      </c>
      <c r="F535" s="15">
        <v>116.1856689453125</v>
      </c>
      <c r="H535" s="16">
        <f t="shared" si="25"/>
        <v>5.1472602993981684E-3</v>
      </c>
      <c r="I535" s="16">
        <f t="shared" si="25"/>
        <v>-2.4444507528653412E-3</v>
      </c>
      <c r="J535" s="16">
        <f t="shared" si="25"/>
        <v>-6.3934543954726353E-3</v>
      </c>
      <c r="K535" s="16">
        <f t="shared" si="26"/>
        <v>2.6933039136488794E-3</v>
      </c>
      <c r="L535" s="16">
        <f t="shared" si="27"/>
        <v>5.3759420934673006E-3</v>
      </c>
    </row>
    <row r="536" spans="1:12" x14ac:dyDescent="0.35">
      <c r="A536" s="18">
        <v>43028</v>
      </c>
      <c r="B536" s="15">
        <v>227.058349609375</v>
      </c>
      <c r="C536" s="15">
        <v>65.023651123046875</v>
      </c>
      <c r="D536" s="15">
        <v>121.61000061035161</v>
      </c>
      <c r="E536" s="15">
        <v>141.18043518066409</v>
      </c>
      <c r="F536" s="15">
        <v>116.8119583129883</v>
      </c>
      <c r="H536" s="16">
        <f t="shared" si="25"/>
        <v>-3.8969023513634065E-3</v>
      </c>
      <c r="I536" s="16">
        <f t="shared" si="25"/>
        <v>8.5698204849649366E-4</v>
      </c>
      <c r="J536" s="16">
        <f t="shared" si="25"/>
        <v>1.5611723194447179E-3</v>
      </c>
      <c r="K536" s="16">
        <f t="shared" si="26"/>
        <v>-6.5441053657889327E-3</v>
      </c>
      <c r="L536" s="16">
        <f t="shared" si="27"/>
        <v>-4.237883822301872E-3</v>
      </c>
    </row>
    <row r="537" spans="1:12" x14ac:dyDescent="0.35">
      <c r="A537" s="18">
        <v>43031</v>
      </c>
      <c r="B537" s="15">
        <v>226.17524719238281</v>
      </c>
      <c r="C537" s="15">
        <v>65.079399108886719</v>
      </c>
      <c r="D537" s="15">
        <v>121.8000030517578</v>
      </c>
      <c r="E537" s="15">
        <v>140.2595520019531</v>
      </c>
      <c r="F537" s="15">
        <v>116.31797027587891</v>
      </c>
      <c r="H537" s="16">
        <f t="shared" si="25"/>
        <v>1.7553003478952911E-3</v>
      </c>
      <c r="I537" s="16">
        <f t="shared" si="25"/>
        <v>-1.7138771125089825E-3</v>
      </c>
      <c r="J537" s="16">
        <f t="shared" si="25"/>
        <v>-3.8662591759727706E-3</v>
      </c>
      <c r="K537" s="16">
        <f t="shared" si="26"/>
        <v>1.6906843688450481E-3</v>
      </c>
      <c r="L537" s="16">
        <f t="shared" si="27"/>
        <v>1.7426070681590797E-3</v>
      </c>
    </row>
    <row r="538" spans="1:12" x14ac:dyDescent="0.35">
      <c r="A538" s="18">
        <v>43032</v>
      </c>
      <c r="B538" s="15">
        <v>226.5726013183594</v>
      </c>
      <c r="C538" s="15">
        <v>64.96795654296875</v>
      </c>
      <c r="D538" s="15">
        <v>121.3300018310547</v>
      </c>
      <c r="E538" s="15">
        <v>140.49688720703119</v>
      </c>
      <c r="F538" s="15">
        <v>116.5208435058594</v>
      </c>
      <c r="H538" s="16">
        <f t="shared" si="25"/>
        <v>-4.9622324802103919E-3</v>
      </c>
      <c r="I538" s="16">
        <f t="shared" si="25"/>
        <v>-8.5810009884872693E-4</v>
      </c>
      <c r="J538" s="16">
        <f t="shared" si="25"/>
        <v>1.6479844310606518E-4</v>
      </c>
      <c r="K538" s="16">
        <f t="shared" si="26"/>
        <v>-3.7910058956265214E-3</v>
      </c>
      <c r="L538" s="16">
        <f t="shared" si="27"/>
        <v>-5.2374843506707838E-3</v>
      </c>
    </row>
    <row r="539" spans="1:12" x14ac:dyDescent="0.35">
      <c r="A539" s="18">
        <v>43033</v>
      </c>
      <c r="B539" s="15">
        <v>225.4510803222656</v>
      </c>
      <c r="C539" s="15">
        <v>64.9122314453125</v>
      </c>
      <c r="D539" s="15">
        <v>121.34999847412109</v>
      </c>
      <c r="E539" s="15">
        <v>139.96527099609381</v>
      </c>
      <c r="F539" s="15">
        <v>115.9121627807617</v>
      </c>
      <c r="H539" s="16">
        <f t="shared" si="25"/>
        <v>1.2918075984089256E-3</v>
      </c>
      <c r="I539" s="16">
        <f t="shared" si="25"/>
        <v>-1.2273377464676555E-3</v>
      </c>
      <c r="J539" s="16">
        <f t="shared" si="25"/>
        <v>-8.4409359313987724E-3</v>
      </c>
      <c r="K539" s="16">
        <f t="shared" si="26"/>
        <v>-3.1928987399790442E-3</v>
      </c>
      <c r="L539" s="16">
        <f t="shared" si="27"/>
        <v>1.2930626873539871E-3</v>
      </c>
    </row>
    <row r="540" spans="1:12" x14ac:dyDescent="0.35">
      <c r="A540" s="18">
        <v>43034</v>
      </c>
      <c r="B540" s="15">
        <v>225.74250793457031</v>
      </c>
      <c r="C540" s="15">
        <v>64.832611083984375</v>
      </c>
      <c r="D540" s="15">
        <v>120.3300018310547</v>
      </c>
      <c r="E540" s="15">
        <v>139.51908874511719</v>
      </c>
      <c r="F540" s="15">
        <v>116.062141418457</v>
      </c>
      <c r="H540" s="16">
        <f t="shared" si="25"/>
        <v>8.1428998574925061E-3</v>
      </c>
      <c r="I540" s="16">
        <f t="shared" si="25"/>
        <v>2.2074434890800724E-3</v>
      </c>
      <c r="J540" s="16">
        <f t="shared" si="25"/>
        <v>4.7257865747331934E-3</v>
      </c>
      <c r="K540" s="16">
        <f t="shared" si="26"/>
        <v>2.8707639962281015E-2</v>
      </c>
      <c r="L540" s="16">
        <f t="shared" si="27"/>
        <v>8.0995682232537555E-3</v>
      </c>
    </row>
    <row r="541" spans="1:12" x14ac:dyDescent="0.35">
      <c r="A541" s="18">
        <v>43035</v>
      </c>
      <c r="B541" s="15">
        <v>227.58821105957031</v>
      </c>
      <c r="C541" s="15">
        <v>64.975883483886719</v>
      </c>
      <c r="D541" s="15">
        <v>120.90000152587891</v>
      </c>
      <c r="E541" s="15">
        <v>143.5823974609375</v>
      </c>
      <c r="F541" s="15">
        <v>117.0060119628906</v>
      </c>
      <c r="H541" s="16">
        <f t="shared" si="25"/>
        <v>-3.7320763424448212E-3</v>
      </c>
      <c r="I541" s="16">
        <f t="shared" si="25"/>
        <v>2.3245380832634427E-3</v>
      </c>
      <c r="J541" s="16">
        <f t="shared" si="25"/>
        <v>1.9005561123000938E-3</v>
      </c>
      <c r="K541" s="16">
        <f t="shared" si="26"/>
        <v>2.245130683437597E-3</v>
      </c>
      <c r="L541" s="16">
        <f t="shared" si="27"/>
        <v>-4.3821798768893484E-3</v>
      </c>
    </row>
    <row r="542" spans="1:12" x14ac:dyDescent="0.35">
      <c r="A542" s="18">
        <v>43038</v>
      </c>
      <c r="B542" s="15">
        <v>226.74041748046881</v>
      </c>
      <c r="C542" s="15">
        <v>65.127098083496094</v>
      </c>
      <c r="D542" s="15">
        <v>121.129997253418</v>
      </c>
      <c r="E542" s="15">
        <v>143.9051208496094</v>
      </c>
      <c r="F542" s="15">
        <v>116.4943923950195</v>
      </c>
      <c r="H542" s="16">
        <f t="shared" si="25"/>
        <v>1.556696849653308E-3</v>
      </c>
      <c r="I542" s="16">
        <f t="shared" si="25"/>
        <v>-6.1051822822552279E-4</v>
      </c>
      <c r="J542" s="16">
        <f t="shared" si="25"/>
        <v>-3.804794442604985E-3</v>
      </c>
      <c r="K542" s="16">
        <f t="shared" si="26"/>
        <v>3.7534313997454609E-3</v>
      </c>
      <c r="L542" s="16">
        <f t="shared" si="27"/>
        <v>2.0424923745606775E-3</v>
      </c>
    </row>
    <row r="543" spans="1:12" x14ac:dyDescent="0.35">
      <c r="A543" s="18">
        <v>43039</v>
      </c>
      <c r="B543" s="15">
        <v>227.0936584472656</v>
      </c>
      <c r="C543" s="15">
        <v>65.087348937988281</v>
      </c>
      <c r="D543" s="15">
        <v>120.6699981689453</v>
      </c>
      <c r="E543" s="15">
        <v>144.44627380371091</v>
      </c>
      <c r="F543" s="15">
        <v>116.7325744628906</v>
      </c>
      <c r="H543" s="16">
        <f t="shared" si="25"/>
        <v>1.3213232154319159E-3</v>
      </c>
      <c r="I543" s="16">
        <f t="shared" si="25"/>
        <v>6.4905859783239816E-4</v>
      </c>
      <c r="J543" s="16">
        <f t="shared" si="25"/>
        <v>3.6396966611638428E-3</v>
      </c>
      <c r="K543" s="16">
        <f t="shared" si="26"/>
        <v>-3.2837194058893626E-4</v>
      </c>
      <c r="L543" s="16">
        <f t="shared" si="27"/>
        <v>8.3087634660019291E-4</v>
      </c>
    </row>
    <row r="544" spans="1:12" x14ac:dyDescent="0.35">
      <c r="A544" s="18">
        <v>43040</v>
      </c>
      <c r="B544" s="15">
        <v>227.3939208984375</v>
      </c>
      <c r="C544" s="15">
        <v>65.129608154296875</v>
      </c>
      <c r="D544" s="15">
        <v>121.11000061035161</v>
      </c>
      <c r="E544" s="15">
        <v>144.39884948730469</v>
      </c>
      <c r="F544" s="15">
        <v>116.82960510253911</v>
      </c>
      <c r="H544" s="16">
        <f t="shared" si="25"/>
        <v>3.8845027147638156E-4</v>
      </c>
      <c r="I544" s="16">
        <f t="shared" si="25"/>
        <v>9.7976181643162847E-4</v>
      </c>
      <c r="J544" s="16">
        <f t="shared" si="25"/>
        <v>6.6035355306758774E-4</v>
      </c>
      <c r="K544" s="16">
        <f t="shared" si="26"/>
        <v>-1.9088675453882405E-3</v>
      </c>
      <c r="L544" s="16">
        <f t="shared" si="27"/>
        <v>2.2618611008077139E-4</v>
      </c>
    </row>
    <row r="545" spans="1:12" x14ac:dyDescent="0.35">
      <c r="A545" s="18">
        <v>43041</v>
      </c>
      <c r="B545" s="15">
        <v>227.4822692871094</v>
      </c>
      <c r="C545" s="15">
        <v>65.193450927734375</v>
      </c>
      <c r="D545" s="15">
        <v>121.19000244140619</v>
      </c>
      <c r="E545" s="15">
        <v>144.12347412109381</v>
      </c>
      <c r="F545" s="15">
        <v>116.8560333251953</v>
      </c>
      <c r="H545" s="16">
        <f t="shared" si="25"/>
        <v>3.3331210149456468E-3</v>
      </c>
      <c r="I545" s="16">
        <f t="shared" si="25"/>
        <v>8.5592021643812071E-4</v>
      </c>
      <c r="J545" s="16">
        <f t="shared" si="25"/>
        <v>-4.7144513322973647E-3</v>
      </c>
      <c r="K545" s="16">
        <f t="shared" si="26"/>
        <v>9.5716572060224828E-3</v>
      </c>
      <c r="L545" s="16">
        <f t="shared" si="27"/>
        <v>2.6386895457982448E-3</v>
      </c>
    </row>
    <row r="546" spans="1:12" x14ac:dyDescent="0.35">
      <c r="A546" s="18">
        <v>43042</v>
      </c>
      <c r="B546" s="15">
        <v>228.24176025390619</v>
      </c>
      <c r="C546" s="15">
        <v>65.249275207519531</v>
      </c>
      <c r="D546" s="15">
        <v>120.620002746582</v>
      </c>
      <c r="E546" s="15">
        <v>145.50959777832031</v>
      </c>
      <c r="F546" s="15">
        <v>117.1647872924805</v>
      </c>
      <c r="H546" s="16">
        <f t="shared" si="25"/>
        <v>1.546331525751824E-3</v>
      </c>
      <c r="I546" s="16">
        <f t="shared" si="25"/>
        <v>7.3333032721285482E-4</v>
      </c>
      <c r="J546" s="16">
        <f t="shared" si="25"/>
        <v>8.5029509793442589E-3</v>
      </c>
      <c r="K546" s="16">
        <f t="shared" si="26"/>
        <v>3.3867295125212171E-3</v>
      </c>
      <c r="L546" s="16">
        <f t="shared" si="27"/>
        <v>1.8805616050713574E-3</v>
      </c>
    </row>
    <row r="547" spans="1:12" x14ac:dyDescent="0.35">
      <c r="A547" s="18">
        <v>43045</v>
      </c>
      <c r="B547" s="15">
        <v>228.594970703125</v>
      </c>
      <c r="C547" s="15">
        <v>65.297142028808594</v>
      </c>
      <c r="D547" s="15">
        <v>121.65000152587891</v>
      </c>
      <c r="E547" s="15">
        <v>146.00323486328119</v>
      </c>
      <c r="F547" s="15">
        <v>117.3853302001953</v>
      </c>
      <c r="H547" s="16">
        <f t="shared" si="25"/>
        <v>-6.9558001685613813E-4</v>
      </c>
      <c r="I547" s="16">
        <f t="shared" si="25"/>
        <v>3.6506201582403195E-4</v>
      </c>
      <c r="J547" s="16">
        <f t="shared" si="25"/>
        <v>-3.6235108435320571E-3</v>
      </c>
      <c r="K547" s="16">
        <f t="shared" si="26"/>
        <v>5.8518890780675397E-4</v>
      </c>
      <c r="L547" s="16">
        <f t="shared" si="27"/>
        <v>-1.729957817404934E-3</v>
      </c>
    </row>
    <row r="548" spans="1:12" x14ac:dyDescent="0.35">
      <c r="A548" s="18">
        <v>43046</v>
      </c>
      <c r="B548" s="15">
        <v>228.43601989746091</v>
      </c>
      <c r="C548" s="15">
        <v>65.32098388671875</v>
      </c>
      <c r="D548" s="15">
        <v>121.2099990844727</v>
      </c>
      <c r="E548" s="15">
        <v>146.08869934082031</v>
      </c>
      <c r="F548" s="15">
        <v>117.18243408203119</v>
      </c>
      <c r="H548" s="16">
        <f t="shared" si="25"/>
        <v>1.6996014907442658E-3</v>
      </c>
      <c r="I548" s="16">
        <f t="shared" si="25"/>
        <v>-7.316599577608761E-4</v>
      </c>
      <c r="J548" s="16">
        <f t="shared" si="25"/>
        <v>3.4590561197046649E-3</v>
      </c>
      <c r="K548" s="16">
        <f t="shared" si="26"/>
        <v>4.0212253096278943E-3</v>
      </c>
      <c r="L548" s="16">
        <f t="shared" si="27"/>
        <v>1.6546914162323565E-3</v>
      </c>
    </row>
    <row r="549" spans="1:12" x14ac:dyDescent="0.35">
      <c r="A549" s="18">
        <v>43047</v>
      </c>
      <c r="B549" s="15">
        <v>228.82460021972659</v>
      </c>
      <c r="C549" s="15">
        <v>65.273208618164063</v>
      </c>
      <c r="D549" s="15">
        <v>121.629997253418</v>
      </c>
      <c r="E549" s="15">
        <v>146.6773376464844</v>
      </c>
      <c r="F549" s="15">
        <v>117.3764953613281</v>
      </c>
      <c r="H549" s="16">
        <f t="shared" si="25"/>
        <v>-3.6341694033181077E-3</v>
      </c>
      <c r="I549" s="16">
        <f t="shared" si="25"/>
        <v>-9.7856405416413511E-4</v>
      </c>
      <c r="J549" s="16">
        <f t="shared" si="25"/>
        <v>4.1024016451006113E-3</v>
      </c>
      <c r="K549" s="16">
        <f t="shared" si="26"/>
        <v>-5.2565728308376584E-3</v>
      </c>
      <c r="L549" s="16">
        <f t="shared" si="27"/>
        <v>-4.0664906642437779E-3</v>
      </c>
    </row>
    <row r="550" spans="1:12" x14ac:dyDescent="0.35">
      <c r="A550" s="18">
        <v>43048</v>
      </c>
      <c r="B550" s="15">
        <v>227.99452209472659</v>
      </c>
      <c r="C550" s="15">
        <v>65.209365844726563</v>
      </c>
      <c r="D550" s="15">
        <v>122.129997253418</v>
      </c>
      <c r="E550" s="15">
        <v>145.90834045410159</v>
      </c>
      <c r="F550" s="15">
        <v>116.9001541137695</v>
      </c>
      <c r="H550" s="16">
        <f t="shared" si="25"/>
        <v>-3.1011680165577761E-4</v>
      </c>
      <c r="I550" s="16">
        <f t="shared" si="25"/>
        <v>-4.0446148584470159E-3</v>
      </c>
      <c r="J550" s="16">
        <f t="shared" si="25"/>
        <v>-8.2217023399463723E-3</v>
      </c>
      <c r="K550" s="16">
        <f t="shared" si="26"/>
        <v>-6.5258744145772689E-5</v>
      </c>
      <c r="L550" s="16">
        <f t="shared" si="27"/>
        <v>1.5087943750097824E-4</v>
      </c>
    </row>
    <row r="551" spans="1:12" x14ac:dyDescent="0.35">
      <c r="A551" s="18">
        <v>43049</v>
      </c>
      <c r="B551" s="15">
        <v>227.923828125</v>
      </c>
      <c r="C551" s="15">
        <v>64.946151733398438</v>
      </c>
      <c r="D551" s="15">
        <v>121.129997253418</v>
      </c>
      <c r="E551" s="15">
        <v>145.89881896972659</v>
      </c>
      <c r="F551" s="15">
        <v>116.9177932739258</v>
      </c>
      <c r="H551" s="16">
        <f t="shared" si="25"/>
        <v>9.2946007473803239E-4</v>
      </c>
      <c r="I551" s="16">
        <f t="shared" si="25"/>
        <v>1.2322118517830576E-4</v>
      </c>
      <c r="J551" s="16">
        <f t="shared" si="25"/>
        <v>1.484906303430995E-3</v>
      </c>
      <c r="K551" s="16">
        <f t="shared" si="26"/>
        <v>1.2356370024786782E-3</v>
      </c>
      <c r="L551" s="16">
        <f t="shared" si="27"/>
        <v>5.2783361217394274E-4</v>
      </c>
    </row>
    <row r="552" spans="1:12" x14ac:dyDescent="0.35">
      <c r="A552" s="18">
        <v>43052</v>
      </c>
      <c r="B552" s="15">
        <v>228.1357727050781</v>
      </c>
      <c r="C552" s="15">
        <v>64.954154968261719</v>
      </c>
      <c r="D552" s="15">
        <v>121.30999755859381</v>
      </c>
      <c r="E552" s="15">
        <v>146.07920837402341</v>
      </c>
      <c r="F552" s="15">
        <v>116.9795227050781</v>
      </c>
      <c r="H552" s="16">
        <f t="shared" si="25"/>
        <v>-2.3253390424312261E-3</v>
      </c>
      <c r="I552" s="16">
        <f t="shared" si="25"/>
        <v>1.2263329836123447E-3</v>
      </c>
      <c r="J552" s="16">
        <f t="shared" si="25"/>
        <v>2.0587153071540609E-3</v>
      </c>
      <c r="K552" s="16">
        <f t="shared" si="26"/>
        <v>-3.6461851846416801E-3</v>
      </c>
      <c r="L552" s="16">
        <f t="shared" si="27"/>
        <v>-1.8112963897176776E-3</v>
      </c>
    </row>
    <row r="553" spans="1:12" x14ac:dyDescent="0.35">
      <c r="A553" s="18">
        <v>43053</v>
      </c>
      <c r="B553" s="15">
        <v>227.60589599609381</v>
      </c>
      <c r="C553" s="15">
        <v>65.033859252929688</v>
      </c>
      <c r="D553" s="15">
        <v>121.55999755859381</v>
      </c>
      <c r="E553" s="15">
        <v>145.54754638671881</v>
      </c>
      <c r="F553" s="15">
        <v>116.7678298950195</v>
      </c>
      <c r="H553" s="16">
        <f t="shared" si="25"/>
        <v>-5.017871380667796E-3</v>
      </c>
      <c r="I553" s="16">
        <f t="shared" si="25"/>
        <v>2.328437357200792E-3</v>
      </c>
      <c r="J553" s="16">
        <f t="shared" si="25"/>
        <v>-1.2346702455873363E-3</v>
      </c>
      <c r="K553" s="16">
        <f t="shared" si="26"/>
        <v>-4.7073468901312207E-3</v>
      </c>
      <c r="L553" s="16">
        <f t="shared" si="27"/>
        <v>-5.1503875786150736E-3</v>
      </c>
    </row>
    <row r="554" spans="1:12" x14ac:dyDescent="0.35">
      <c r="A554" s="18">
        <v>43054</v>
      </c>
      <c r="B554" s="15">
        <v>226.46665954589841</v>
      </c>
      <c r="C554" s="15">
        <v>65.185462951660156</v>
      </c>
      <c r="D554" s="15">
        <v>121.4100036621094</v>
      </c>
      <c r="E554" s="15">
        <v>144.864013671875</v>
      </c>
      <c r="F554" s="15">
        <v>116.1679763793945</v>
      </c>
      <c r="H554" s="16">
        <f t="shared" si="25"/>
        <v>8.4650397038572248E-3</v>
      </c>
      <c r="I554" s="16">
        <f t="shared" si="25"/>
        <v>-1.3471165525501029E-3</v>
      </c>
      <c r="J554" s="16">
        <f t="shared" si="25"/>
        <v>-8.23865246278463E-5</v>
      </c>
      <c r="K554" s="16">
        <f t="shared" si="26"/>
        <v>1.2698310869942749E-2</v>
      </c>
      <c r="L554" s="16">
        <f t="shared" si="27"/>
        <v>9.0709526454482749E-3</v>
      </c>
    </row>
    <row r="555" spans="1:12" x14ac:dyDescent="0.35">
      <c r="A555" s="18">
        <v>43055</v>
      </c>
      <c r="B555" s="15">
        <v>228.391845703125</v>
      </c>
      <c r="C555" s="15">
        <v>65.097709655761719</v>
      </c>
      <c r="D555" s="15">
        <v>121.40000152587891</v>
      </c>
      <c r="E555" s="15">
        <v>146.71527099609381</v>
      </c>
      <c r="F555" s="15">
        <v>117.2265243530273</v>
      </c>
      <c r="H555" s="16">
        <f t="shared" si="25"/>
        <v>-2.9430845875668358E-3</v>
      </c>
      <c r="I555" s="16">
        <f t="shared" si="25"/>
        <v>9.7977333654245403E-4</v>
      </c>
      <c r="J555" s="16">
        <f t="shared" si="25"/>
        <v>1.1954609509227086E-2</v>
      </c>
      <c r="K555" s="16">
        <f t="shared" si="26"/>
        <v>-3.8249340393039471E-3</v>
      </c>
      <c r="L555" s="16">
        <f t="shared" si="27"/>
        <v>-1.8828507665959041E-3</v>
      </c>
    </row>
    <row r="556" spans="1:12" x14ac:dyDescent="0.35">
      <c r="A556" s="18">
        <v>43056</v>
      </c>
      <c r="B556" s="15">
        <v>227.72065734863281</v>
      </c>
      <c r="C556" s="15">
        <v>65.161521911621094</v>
      </c>
      <c r="D556" s="15">
        <v>122.86000061035161</v>
      </c>
      <c r="E556" s="15">
        <v>146.15516662597659</v>
      </c>
      <c r="F556" s="15">
        <v>117.0060119628906</v>
      </c>
      <c r="H556" s="16">
        <f t="shared" si="25"/>
        <v>1.7048022916058175E-3</v>
      </c>
      <c r="I556" s="16">
        <f t="shared" si="25"/>
        <v>-6.1242156544059239E-4</v>
      </c>
      <c r="J556" s="16">
        <f t="shared" si="25"/>
        <v>-1.2696268046166E-2</v>
      </c>
      <c r="K556" s="16">
        <f t="shared" si="26"/>
        <v>-7.7986850839521359E-4</v>
      </c>
      <c r="L556" s="16">
        <f t="shared" si="27"/>
        <v>2.5600650820054253E-3</v>
      </c>
    </row>
    <row r="557" spans="1:12" x14ac:dyDescent="0.35">
      <c r="A557" s="18">
        <v>43059</v>
      </c>
      <c r="B557" s="15">
        <v>228.10920715332031</v>
      </c>
      <c r="C557" s="15">
        <v>65.121627807617188</v>
      </c>
      <c r="D557" s="15">
        <v>121.30999755859381</v>
      </c>
      <c r="E557" s="15">
        <v>146.0412292480469</v>
      </c>
      <c r="F557" s="15">
        <v>117.3059387207031</v>
      </c>
      <c r="H557" s="16">
        <f t="shared" si="25"/>
        <v>6.5216412891338001E-3</v>
      </c>
      <c r="I557" s="16">
        <f t="shared" si="25"/>
        <v>8.5686381278711064E-4</v>
      </c>
      <c r="J557" s="16">
        <f t="shared" si="25"/>
        <v>1.6473488437392673E-3</v>
      </c>
      <c r="K557" s="16">
        <f t="shared" si="26"/>
        <v>1.0797877021551194E-2</v>
      </c>
      <c r="L557" s="16">
        <f t="shared" si="27"/>
        <v>6.8943822773832129E-3</v>
      </c>
    </row>
    <row r="558" spans="1:12" x14ac:dyDescent="0.35">
      <c r="A558" s="18">
        <v>43060</v>
      </c>
      <c r="B558" s="15">
        <v>229.6017150878906</v>
      </c>
      <c r="C558" s="15">
        <v>65.177452087402344</v>
      </c>
      <c r="D558" s="15">
        <v>121.5100021362305</v>
      </c>
      <c r="E558" s="15">
        <v>147.626708984375</v>
      </c>
      <c r="F558" s="15">
        <v>118.1174850463867</v>
      </c>
      <c r="H558" s="16">
        <f t="shared" si="25"/>
        <v>-8.84743139644351E-4</v>
      </c>
      <c r="I558" s="16">
        <f t="shared" si="25"/>
        <v>2.0789713455530087E-3</v>
      </c>
      <c r="J558" s="16">
        <f t="shared" si="25"/>
        <v>9.1750878754080431E-3</v>
      </c>
      <c r="K558" s="16">
        <f t="shared" si="26"/>
        <v>1.2208736696556594E-3</v>
      </c>
      <c r="L558" s="16">
        <f t="shared" si="27"/>
        <v>-7.4702216358186275E-4</v>
      </c>
    </row>
    <row r="559" spans="1:12" x14ac:dyDescent="0.35">
      <c r="A559" s="18">
        <v>43061</v>
      </c>
      <c r="B559" s="15">
        <v>229.39866638183591</v>
      </c>
      <c r="C559" s="15">
        <v>65.313095092773438</v>
      </c>
      <c r="D559" s="15">
        <v>122.629997253418</v>
      </c>
      <c r="E559" s="15">
        <v>147.80705261230469</v>
      </c>
      <c r="F559" s="15">
        <v>118.02928161621089</v>
      </c>
      <c r="H559" s="16">
        <f t="shared" si="25"/>
        <v>2.3067890856385545E-3</v>
      </c>
      <c r="I559" s="16">
        <f t="shared" si="25"/>
        <v>-2.4428504833544883E-4</v>
      </c>
      <c r="J559" s="16">
        <f t="shared" si="25"/>
        <v>-2.5311102507155196E-3</v>
      </c>
      <c r="K559" s="16">
        <f t="shared" si="26"/>
        <v>3.6544232154028704E-3</v>
      </c>
      <c r="L559" s="16">
        <f t="shared" si="27"/>
        <v>2.3142061413295102E-3</v>
      </c>
    </row>
    <row r="560" spans="1:12" x14ac:dyDescent="0.35">
      <c r="A560" s="18">
        <v>43063</v>
      </c>
      <c r="B560" s="15">
        <v>229.92845153808591</v>
      </c>
      <c r="C560" s="15">
        <v>65.297142028808594</v>
      </c>
      <c r="D560" s="15">
        <v>122.3199996948242</v>
      </c>
      <c r="E560" s="15">
        <v>148.34819030761719</v>
      </c>
      <c r="F560" s="15">
        <v>118.3027420043945</v>
      </c>
      <c r="H560" s="16">
        <f t="shared" si="25"/>
        <v>-4.9924226868728575E-4</v>
      </c>
      <c r="I560" s="16">
        <f t="shared" si="25"/>
        <v>-3.6659794193682349E-4</v>
      </c>
      <c r="J560" s="16">
        <f t="shared" si="25"/>
        <v>4.1607413323200082E-3</v>
      </c>
      <c r="K560" s="16">
        <f t="shared" si="26"/>
        <v>-4.4794377686372116E-4</v>
      </c>
      <c r="L560" s="16">
        <f t="shared" si="27"/>
        <v>-1.0443227013611828E-3</v>
      </c>
    </row>
    <row r="561" spans="1:12" x14ac:dyDescent="0.35">
      <c r="A561" s="18">
        <v>43066</v>
      </c>
      <c r="B561" s="15">
        <v>229.8136901855469</v>
      </c>
      <c r="C561" s="15">
        <v>65.273208618164063</v>
      </c>
      <c r="D561" s="15">
        <v>122.8300018310547</v>
      </c>
      <c r="E561" s="15">
        <v>148.28175354003909</v>
      </c>
      <c r="F561" s="15">
        <v>118.17926025390619</v>
      </c>
      <c r="H561" s="16">
        <f t="shared" si="25"/>
        <v>1.009365122690069E-2</v>
      </c>
      <c r="I561" s="16">
        <f t="shared" si="25"/>
        <v>0</v>
      </c>
      <c r="J561" s="16">
        <f t="shared" si="25"/>
        <v>-1.6287471547645773E-4</v>
      </c>
      <c r="K561" s="16">
        <f t="shared" si="26"/>
        <v>2.5574934505876883E-3</v>
      </c>
      <c r="L561" s="16">
        <f t="shared" si="27"/>
        <v>9.8784888501328785E-3</v>
      </c>
    </row>
    <row r="562" spans="1:12" x14ac:dyDescent="0.35">
      <c r="A562" s="18">
        <v>43067</v>
      </c>
      <c r="B562" s="15">
        <v>232.14509582519531</v>
      </c>
      <c r="C562" s="15">
        <v>65.273208618164063</v>
      </c>
      <c r="D562" s="15">
        <v>122.80999755859381</v>
      </c>
      <c r="E562" s="15">
        <v>148.6614685058594</v>
      </c>
      <c r="F562" s="15">
        <v>119.35247802734381</v>
      </c>
      <c r="H562" s="16">
        <f t="shared" si="25"/>
        <v>-6.0864348584093819E-4</v>
      </c>
      <c r="I562" s="16">
        <f t="shared" si="25"/>
        <v>-2.4475049353301823E-3</v>
      </c>
      <c r="J562" s="16">
        <f t="shared" si="25"/>
        <v>-6.2895583924220686E-3</v>
      </c>
      <c r="K562" s="16">
        <f t="shared" si="26"/>
        <v>-1.7587673311960084E-2</v>
      </c>
      <c r="L562" s="16">
        <f t="shared" si="27"/>
        <v>0</v>
      </c>
    </row>
    <row r="563" spans="1:12" x14ac:dyDescent="0.35">
      <c r="A563" s="18">
        <v>43068</v>
      </c>
      <c r="B563" s="15">
        <v>232.00384521484381</v>
      </c>
      <c r="C563" s="15">
        <v>65.1136474609375</v>
      </c>
      <c r="D563" s="15">
        <v>122.0400009155273</v>
      </c>
      <c r="E563" s="15">
        <v>146.06971740722659</v>
      </c>
      <c r="F563" s="15">
        <v>119.35247802734381</v>
      </c>
      <c r="H563" s="16">
        <f t="shared" si="25"/>
        <v>8.7168119379728345E-3</v>
      </c>
      <c r="I563" s="16">
        <f t="shared" si="25"/>
        <v>-1.4711018431930838E-3</v>
      </c>
      <c r="J563" s="16">
        <f t="shared" si="25"/>
        <v>-7.7322293914409632E-3</v>
      </c>
      <c r="K563" s="16">
        <f t="shared" si="26"/>
        <v>8.3493017578830323E-3</v>
      </c>
      <c r="L563" s="16">
        <f t="shared" si="27"/>
        <v>7.6573109221285702E-3</v>
      </c>
    </row>
    <row r="564" spans="1:12" x14ac:dyDescent="0.35">
      <c r="A564" s="18">
        <v>43069</v>
      </c>
      <c r="B564" s="15">
        <v>234.03501892089841</v>
      </c>
      <c r="C564" s="15">
        <v>65.017929077148438</v>
      </c>
      <c r="D564" s="15">
        <v>121.09999847412109</v>
      </c>
      <c r="E564" s="15">
        <v>147.2944030761719</v>
      </c>
      <c r="F564" s="15">
        <v>120.269905090332</v>
      </c>
      <c r="H564" s="16">
        <f t="shared" si="25"/>
        <v>-2.0775630289477068E-3</v>
      </c>
      <c r="I564" s="16">
        <f t="shared" si="25"/>
        <v>2.6761764168060087E-3</v>
      </c>
      <c r="J564" s="16">
        <f t="shared" si="25"/>
        <v>4.0380612309280023E-3</v>
      </c>
      <c r="K564" s="16">
        <f t="shared" si="26"/>
        <v>-4.262738187844799E-3</v>
      </c>
      <c r="L564" s="16">
        <f t="shared" si="27"/>
        <v>-1.9819784490425797E-3</v>
      </c>
    </row>
    <row r="565" spans="1:12" x14ac:dyDescent="0.35">
      <c r="A565" s="18">
        <v>43070</v>
      </c>
      <c r="B565" s="15">
        <v>233.54930114746091</v>
      </c>
      <c r="C565" s="15">
        <v>65.192161560058594</v>
      </c>
      <c r="D565" s="15">
        <v>121.5899963378906</v>
      </c>
      <c r="E565" s="15">
        <v>146.66786193847659</v>
      </c>
      <c r="F565" s="15">
        <v>120.0317687988281</v>
      </c>
      <c r="H565" s="16">
        <f t="shared" si="25"/>
        <v>-1.210920818019877E-3</v>
      </c>
      <c r="I565" s="16">
        <f t="shared" si="25"/>
        <v>1.2322428467826009E-4</v>
      </c>
      <c r="J565" s="16">
        <f t="shared" si="25"/>
        <v>-3.3776531546076591E-3</v>
      </c>
      <c r="K565" s="16">
        <f t="shared" si="26"/>
        <v>-1.1589023908016647E-2</v>
      </c>
      <c r="L565" s="16">
        <f t="shared" si="27"/>
        <v>-1.3239077795964341E-3</v>
      </c>
    </row>
    <row r="566" spans="1:12" x14ac:dyDescent="0.35">
      <c r="A566" s="18">
        <v>43073</v>
      </c>
      <c r="B566" s="15">
        <v>233.26666259765619</v>
      </c>
      <c r="C566" s="15">
        <v>65.2001953125</v>
      </c>
      <c r="D566" s="15">
        <v>121.1800003051758</v>
      </c>
      <c r="E566" s="15">
        <v>144.9779357910156</v>
      </c>
      <c r="F566" s="15">
        <v>119.8729629516602</v>
      </c>
      <c r="H566" s="16">
        <f t="shared" si="25"/>
        <v>-3.6031139502899654E-3</v>
      </c>
      <c r="I566" s="16">
        <f t="shared" si="25"/>
        <v>1.2250973856702996E-3</v>
      </c>
      <c r="J566" s="16">
        <f t="shared" si="25"/>
        <v>-7.1221883700489288E-3</v>
      </c>
      <c r="K566" s="16">
        <f t="shared" si="26"/>
        <v>6.5454004118860754E-4</v>
      </c>
      <c r="L566" s="16">
        <f t="shared" si="27"/>
        <v>-4.2775961015226183E-3</v>
      </c>
    </row>
    <row r="567" spans="1:12" x14ac:dyDescent="0.35">
      <c r="A567" s="18">
        <v>43074</v>
      </c>
      <c r="B567" s="15">
        <v>232.42768859863281</v>
      </c>
      <c r="C567" s="15">
        <v>65.280120849609375</v>
      </c>
      <c r="D567" s="15">
        <v>120.3199996948242</v>
      </c>
      <c r="E567" s="15">
        <v>145.07286071777341</v>
      </c>
      <c r="F567" s="15">
        <v>119.3612899780273</v>
      </c>
      <c r="H567" s="16">
        <f t="shared" si="25"/>
        <v>1.8997194984098241E-4</v>
      </c>
      <c r="I567" s="16">
        <f t="shared" si="25"/>
        <v>1.1014926629779659E-3</v>
      </c>
      <c r="J567" s="16">
        <f t="shared" si="25"/>
        <v>-2.079954164184071E-3</v>
      </c>
      <c r="K567" s="16">
        <f t="shared" si="26"/>
        <v>4.5052212006935991E-3</v>
      </c>
      <c r="L567" s="16">
        <f t="shared" si="27"/>
        <v>-5.9142097353991529E-4</v>
      </c>
    </row>
    <row r="568" spans="1:12" x14ac:dyDescent="0.35">
      <c r="A568" s="18">
        <v>43075</v>
      </c>
      <c r="B568" s="15">
        <v>232.47184753417969</v>
      </c>
      <c r="C568" s="15">
        <v>65.352066040039063</v>
      </c>
      <c r="D568" s="15">
        <v>120.0699996948242</v>
      </c>
      <c r="E568" s="15">
        <v>145.72792053222659</v>
      </c>
      <c r="F568" s="15">
        <v>119.2907180786133</v>
      </c>
      <c r="H568" s="16">
        <f t="shared" si="25"/>
        <v>3.1481822227368635E-3</v>
      </c>
      <c r="I568" s="16">
        <f t="shared" si="25"/>
        <v>-1.346251820138505E-3</v>
      </c>
      <c r="J568" s="16">
        <f t="shared" si="25"/>
        <v>-1.3246352701112138E-2</v>
      </c>
      <c r="K568" s="16">
        <f t="shared" si="26"/>
        <v>3.3820816576195624E-3</v>
      </c>
      <c r="L568" s="16">
        <f t="shared" si="27"/>
        <v>3.9855433148851096E-3</v>
      </c>
    </row>
    <row r="569" spans="1:12" x14ac:dyDescent="0.35">
      <c r="A569" s="18">
        <v>43076</v>
      </c>
      <c r="B569" s="15">
        <v>233.2048645019531</v>
      </c>
      <c r="C569" s="15">
        <v>65.264144897460938</v>
      </c>
      <c r="D569" s="15">
        <v>118.4899978637695</v>
      </c>
      <c r="E569" s="15">
        <v>146.22161865234381</v>
      </c>
      <c r="F569" s="15">
        <v>119.76710510253911</v>
      </c>
      <c r="H569" s="16">
        <f t="shared" si="25"/>
        <v>5.4383221520686266E-3</v>
      </c>
      <c r="I569" s="16">
        <f t="shared" si="25"/>
        <v>-3.6795275747452408E-4</v>
      </c>
      <c r="J569" s="16">
        <f t="shared" si="25"/>
        <v>-8.4352506986912502E-5</v>
      </c>
      <c r="K569" s="16">
        <f t="shared" si="26"/>
        <v>4.4051813161878357E-3</v>
      </c>
      <c r="L569" s="16">
        <f t="shared" si="27"/>
        <v>5.2152217471079319E-3</v>
      </c>
    </row>
    <row r="570" spans="1:12" x14ac:dyDescent="0.35">
      <c r="A570" s="18">
        <v>43077</v>
      </c>
      <c r="B570" s="15">
        <v>234.4765625</v>
      </c>
      <c r="C570" s="15">
        <v>65.240135192871094</v>
      </c>
      <c r="D570" s="15">
        <v>118.48000335693359</v>
      </c>
      <c r="E570" s="15">
        <v>146.86717224121091</v>
      </c>
      <c r="F570" s="15">
        <v>120.3933486938477</v>
      </c>
      <c r="H570" s="16">
        <f t="shared" si="25"/>
        <v>3.0080979534431317E-3</v>
      </c>
      <c r="I570" s="16">
        <f t="shared" si="25"/>
        <v>-7.3560975571366506E-4</v>
      </c>
      <c r="J570" s="16">
        <f t="shared" si="25"/>
        <v>-3.9748135531071441E-3</v>
      </c>
      <c r="K570" s="16">
        <f t="shared" si="26"/>
        <v>7.7269866963879689E-3</v>
      </c>
      <c r="L570" s="16">
        <f t="shared" si="27"/>
        <v>2.3422192496329428E-3</v>
      </c>
    </row>
    <row r="571" spans="1:12" x14ac:dyDescent="0.35">
      <c r="A571" s="18">
        <v>43080</v>
      </c>
      <c r="B571" s="15">
        <v>235.1829528808594</v>
      </c>
      <c r="C571" s="15">
        <v>65.192161560058594</v>
      </c>
      <c r="D571" s="15">
        <v>118.0100021362305</v>
      </c>
      <c r="E571" s="15">
        <v>148.00640869140619</v>
      </c>
      <c r="F571" s="15">
        <v>120.675666809082</v>
      </c>
      <c r="H571" s="16">
        <f t="shared" si="25"/>
        <v>1.7635830280038462E-3</v>
      </c>
      <c r="I571" s="16">
        <f t="shared" si="25"/>
        <v>-1.2218607761028464E-4</v>
      </c>
      <c r="J571" s="16">
        <f t="shared" si="25"/>
        <v>1.1856318079055527E-3</v>
      </c>
      <c r="K571" s="16">
        <f t="shared" si="26"/>
        <v>-1.3478501512659818E-3</v>
      </c>
      <c r="L571" s="16">
        <f t="shared" si="27"/>
        <v>1.095863860626406E-3</v>
      </c>
    </row>
    <row r="572" spans="1:12" x14ac:dyDescent="0.35">
      <c r="A572" s="18">
        <v>43081</v>
      </c>
      <c r="B572" s="15">
        <v>235.59808349609381</v>
      </c>
      <c r="C572" s="15">
        <v>65.184196472167969</v>
      </c>
      <c r="D572" s="15">
        <v>118.15000152587891</v>
      </c>
      <c r="E572" s="15">
        <v>147.80705261230469</v>
      </c>
      <c r="F572" s="15">
        <v>120.8079833984375</v>
      </c>
      <c r="H572" s="16">
        <f t="shared" si="25"/>
        <v>-1.1250519182550124E-4</v>
      </c>
      <c r="I572" s="16">
        <f t="shared" si="25"/>
        <v>2.8163136081289326E-3</v>
      </c>
      <c r="J572" s="16">
        <f t="shared" si="25"/>
        <v>8.596013189973703E-3</v>
      </c>
      <c r="K572" s="16">
        <f t="shared" si="26"/>
        <v>1.9251211801656796E-3</v>
      </c>
      <c r="L572" s="16">
        <f t="shared" si="27"/>
        <v>1.4625180520153145E-4</v>
      </c>
    </row>
    <row r="573" spans="1:12" x14ac:dyDescent="0.35">
      <c r="A573" s="18">
        <v>43082</v>
      </c>
      <c r="B573" s="15">
        <v>235.57157897949219</v>
      </c>
      <c r="C573" s="15">
        <v>65.368034362792969</v>
      </c>
      <c r="D573" s="15">
        <v>119.1699981689453</v>
      </c>
      <c r="E573" s="15">
        <v>148.09187316894531</v>
      </c>
      <c r="F573" s="15">
        <v>120.8256530761719</v>
      </c>
      <c r="H573" s="16">
        <f t="shared" si="25"/>
        <v>-4.0943457899265947E-3</v>
      </c>
      <c r="I573" s="16">
        <f t="shared" si="25"/>
        <v>3.6688293800254669E-4</v>
      </c>
      <c r="J573" s="16">
        <f t="shared" si="25"/>
        <v>-2.0159424324845865E-3</v>
      </c>
      <c r="K573" s="16">
        <f t="shared" si="26"/>
        <v>-7.0573622567854561E-4</v>
      </c>
      <c r="L573" s="16">
        <f t="shared" si="27"/>
        <v>-4.6836578058050944E-3</v>
      </c>
    </row>
    <row r="574" spans="1:12" x14ac:dyDescent="0.35">
      <c r="A574" s="18">
        <v>43083</v>
      </c>
      <c r="B574" s="15">
        <v>234.6090393066406</v>
      </c>
      <c r="C574" s="15">
        <v>65.392021179199219</v>
      </c>
      <c r="D574" s="15">
        <v>118.9300003051758</v>
      </c>
      <c r="E574" s="15">
        <v>147.9873962402344</v>
      </c>
      <c r="F574" s="15">
        <v>120.2610702514648</v>
      </c>
      <c r="H574" s="16">
        <f t="shared" si="25"/>
        <v>8.2926869592000081E-3</v>
      </c>
      <c r="I574" s="16">
        <f t="shared" si="25"/>
        <v>1.2168111990106366E-4</v>
      </c>
      <c r="J574" s="16">
        <f t="shared" si="25"/>
        <v>2.0998705742963399E-3</v>
      </c>
      <c r="K574" s="16">
        <f t="shared" si="26"/>
        <v>1.1291373718351521E-2</v>
      </c>
      <c r="L574" s="16">
        <f t="shared" si="27"/>
        <v>8.9094575017120217E-3</v>
      </c>
    </row>
    <row r="575" spans="1:12" x14ac:dyDescent="0.35">
      <c r="A575" s="18">
        <v>43084</v>
      </c>
      <c r="B575" s="15">
        <v>236.56266784667969</v>
      </c>
      <c r="C575" s="15">
        <v>65.399978637695313</v>
      </c>
      <c r="D575" s="15">
        <v>119.1800003051758</v>
      </c>
      <c r="E575" s="15">
        <v>149.6678466796875</v>
      </c>
      <c r="F575" s="15">
        <v>121.3373184204102</v>
      </c>
      <c r="H575" s="16">
        <f t="shared" si="25"/>
        <v>6.3213729974162169E-3</v>
      </c>
      <c r="I575" s="16">
        <f t="shared" si="25"/>
        <v>-1.5894369672440067E-3</v>
      </c>
      <c r="J575" s="16">
        <f t="shared" si="25"/>
        <v>4.6042778868208671E-3</v>
      </c>
      <c r="K575" s="16">
        <f t="shared" si="26"/>
        <v>8.3488906843384603E-3</v>
      </c>
      <c r="L575" s="16">
        <f t="shared" si="27"/>
        <v>6.8827932210397931E-3</v>
      </c>
    </row>
    <row r="576" spans="1:12" x14ac:dyDescent="0.35">
      <c r="A576" s="18">
        <v>43087</v>
      </c>
      <c r="B576" s="15">
        <v>238.06280517578119</v>
      </c>
      <c r="C576" s="15">
        <v>65.296112060546875</v>
      </c>
      <c r="D576" s="15">
        <v>119.73000335693359</v>
      </c>
      <c r="E576" s="15">
        <v>150.9226379394531</v>
      </c>
      <c r="F576" s="15">
        <v>122.1753387451172</v>
      </c>
      <c r="H576" s="16">
        <f t="shared" si="25"/>
        <v>-3.847747765543487E-3</v>
      </c>
      <c r="I576" s="16">
        <f t="shared" si="25"/>
        <v>-3.0650446749402754E-3</v>
      </c>
      <c r="J576" s="16">
        <f t="shared" si="25"/>
        <v>7.5137834254397444E-4</v>
      </c>
      <c r="K576" s="16">
        <f t="shared" si="26"/>
        <v>-5.9427871126035746E-3</v>
      </c>
      <c r="L576" s="16">
        <f t="shared" si="27"/>
        <v>-4.0513419924234984E-3</v>
      </c>
    </row>
    <row r="577" spans="1:12" x14ac:dyDescent="0.35">
      <c r="A577" s="18">
        <v>43088</v>
      </c>
      <c r="B577" s="15">
        <v>237.1485595703125</v>
      </c>
      <c r="C577" s="15">
        <v>65.096282958984375</v>
      </c>
      <c r="D577" s="15">
        <v>119.8199996948242</v>
      </c>
      <c r="E577" s="15">
        <v>150.02839660644531</v>
      </c>
      <c r="F577" s="15">
        <v>121.6813659667969</v>
      </c>
      <c r="H577" s="16">
        <f t="shared" si="25"/>
        <v>-5.2433777653787918E-4</v>
      </c>
      <c r="I577" s="16">
        <f t="shared" si="25"/>
        <v>-1.9668192945844691E-3</v>
      </c>
      <c r="J577" s="16">
        <f t="shared" si="25"/>
        <v>2.667110232852299E-3</v>
      </c>
      <c r="K577" s="16">
        <f t="shared" si="26"/>
        <v>-1.0784615863168037E-3</v>
      </c>
      <c r="L577" s="16">
        <f t="shared" si="27"/>
        <v>-7.3110612690723958E-5</v>
      </c>
    </row>
    <row r="578" spans="1:12" x14ac:dyDescent="0.35">
      <c r="A578" s="18">
        <v>43089</v>
      </c>
      <c r="B578" s="15">
        <v>237.02424621582031</v>
      </c>
      <c r="C578" s="15">
        <v>64.968376159667969</v>
      </c>
      <c r="D578" s="15">
        <v>120.13999938964839</v>
      </c>
      <c r="E578" s="15">
        <v>149.86668395996091</v>
      </c>
      <c r="F578" s="15">
        <v>121.67247009277339</v>
      </c>
      <c r="H578" s="16">
        <f t="shared" si="25"/>
        <v>2.0577359652013357E-3</v>
      </c>
      <c r="I578" s="16">
        <f t="shared" si="25"/>
        <v>6.1492198486348833E-4</v>
      </c>
      <c r="J578" s="16">
        <f t="shared" si="25"/>
        <v>1.4140004111249061E-3</v>
      </c>
      <c r="K578" s="16">
        <f t="shared" si="26"/>
        <v>1.2665077440384494E-4</v>
      </c>
      <c r="L578" s="16">
        <f t="shared" si="27"/>
        <v>2.2780862211243908E-3</v>
      </c>
    </row>
    <row r="579" spans="1:12" x14ac:dyDescent="0.35">
      <c r="A579" s="18">
        <v>43090</v>
      </c>
      <c r="B579" s="15">
        <v>237.5124816894531</v>
      </c>
      <c r="C579" s="15">
        <v>65.008338928222656</v>
      </c>
      <c r="D579" s="15">
        <v>120.30999755859381</v>
      </c>
      <c r="E579" s="15">
        <v>149.88566589355469</v>
      </c>
      <c r="F579" s="15">
        <v>121.94996643066411</v>
      </c>
      <c r="H579" s="16">
        <f t="shared" si="25"/>
        <v>-2.6182921232548872E-4</v>
      </c>
      <c r="I579" s="16">
        <f t="shared" si="25"/>
        <v>4.9220507160021275E-4</v>
      </c>
      <c r="J579" s="16">
        <f t="shared" si="25"/>
        <v>5.2228502791833642E-3</v>
      </c>
      <c r="K579" s="16">
        <f t="shared" si="26"/>
        <v>-1.1431866568811396E-3</v>
      </c>
      <c r="L579" s="16">
        <f t="shared" si="27"/>
        <v>-3.6361200966009003E-4</v>
      </c>
    </row>
    <row r="580" spans="1:12" x14ac:dyDescent="0.35">
      <c r="A580" s="18">
        <v>43091</v>
      </c>
      <c r="B580" s="15">
        <v>237.45030212402341</v>
      </c>
      <c r="C580" s="15">
        <v>65.04034423828125</v>
      </c>
      <c r="D580" s="15">
        <v>120.94000244140619</v>
      </c>
      <c r="E580" s="15">
        <v>149.71441650390619</v>
      </c>
      <c r="F580" s="15">
        <v>121.905632019043</v>
      </c>
      <c r="H580" s="16">
        <f t="shared" ref="H580:J643" si="28">LN(B581/B580)</f>
        <v>-1.1968055026480022E-3</v>
      </c>
      <c r="I580" s="16">
        <f t="shared" si="28"/>
        <v>9.9786348736458411E-4</v>
      </c>
      <c r="J580" s="16">
        <f t="shared" si="28"/>
        <v>6.8394169191069972E-3</v>
      </c>
      <c r="K580" s="16">
        <f t="shared" ref="K580:K643" si="29">LN(E581/E580)</f>
        <v>-5.4158527826727943E-3</v>
      </c>
      <c r="L580" s="16">
        <f t="shared" ref="L580:L643" si="30">LN(F581/F580)</f>
        <v>-8.0008641870131091E-4</v>
      </c>
    </row>
    <row r="581" spans="1:12" x14ac:dyDescent="0.35">
      <c r="A581" s="18">
        <v>43095</v>
      </c>
      <c r="B581" s="15">
        <v>237.1662902832031</v>
      </c>
      <c r="C581" s="15">
        <v>65.105278015136719</v>
      </c>
      <c r="D581" s="15">
        <v>121.76999664306641</v>
      </c>
      <c r="E581" s="15">
        <v>148.90577697753909</v>
      </c>
      <c r="F581" s="15">
        <v>121.8081359863281</v>
      </c>
      <c r="H581" s="16">
        <f t="shared" si="28"/>
        <v>4.8621222059361155E-4</v>
      </c>
      <c r="I581" s="16">
        <f t="shared" si="28"/>
        <v>3.0720987463074005E-3</v>
      </c>
      <c r="J581" s="16">
        <f t="shared" si="28"/>
        <v>3.7705513021491178E-3</v>
      </c>
      <c r="K581" s="16">
        <f t="shared" si="29"/>
        <v>1.2798031354366369E-4</v>
      </c>
      <c r="L581" s="16">
        <f t="shared" si="30"/>
        <v>3.6358993543303473E-4</v>
      </c>
    </row>
    <row r="582" spans="1:12" x14ac:dyDescent="0.35">
      <c r="A582" s="18">
        <v>43096</v>
      </c>
      <c r="B582" s="15">
        <v>237.28163146972659</v>
      </c>
      <c r="C582" s="15">
        <v>65.305595397949219</v>
      </c>
      <c r="D582" s="15">
        <v>122.23000335693359</v>
      </c>
      <c r="E582" s="15">
        <v>148.9248352050781</v>
      </c>
      <c r="F582" s="15">
        <v>121.85243225097661</v>
      </c>
      <c r="H582" s="16">
        <f t="shared" si="28"/>
        <v>2.0556345297785567E-3</v>
      </c>
      <c r="I582" s="16">
        <f t="shared" si="28"/>
        <v>-6.139925036656161E-4</v>
      </c>
      <c r="J582" s="16">
        <f t="shared" si="28"/>
        <v>5.0595432932777126E-3</v>
      </c>
      <c r="K582" s="16">
        <f t="shared" si="29"/>
        <v>1.2130012348621007E-3</v>
      </c>
      <c r="L582" s="16">
        <f t="shared" si="30"/>
        <v>2.1803921897105907E-3</v>
      </c>
    </row>
    <row r="583" spans="1:12" x14ac:dyDescent="0.35">
      <c r="A583" s="18">
        <v>43097</v>
      </c>
      <c r="B583" s="15">
        <v>237.7698974609375</v>
      </c>
      <c r="C583" s="15">
        <v>65.265510559082031</v>
      </c>
      <c r="D583" s="15">
        <v>122.84999847412109</v>
      </c>
      <c r="E583" s="15">
        <v>149.1055908203125</v>
      </c>
      <c r="F583" s="15">
        <v>122.118408203125</v>
      </c>
      <c r="H583" s="16">
        <f t="shared" si="28"/>
        <v>-3.7778342576317279E-3</v>
      </c>
      <c r="I583" s="16">
        <f t="shared" si="28"/>
        <v>1.5947333854667216E-3</v>
      </c>
      <c r="J583" s="16">
        <f t="shared" si="28"/>
        <v>6.4909197612103911E-3</v>
      </c>
      <c r="K583" s="16">
        <f t="shared" si="29"/>
        <v>-6.2084813524311971E-3</v>
      </c>
      <c r="L583" s="16">
        <f t="shared" si="30"/>
        <v>-3.7092244480323327E-3</v>
      </c>
    </row>
    <row r="584" spans="1:12" x14ac:dyDescent="0.35">
      <c r="A584" s="18">
        <v>43098</v>
      </c>
      <c r="B584" s="15">
        <v>236.87333679199219</v>
      </c>
      <c r="C584" s="15">
        <v>65.369674682617188</v>
      </c>
      <c r="D584" s="15">
        <v>123.65000152587891</v>
      </c>
      <c r="E584" s="15">
        <v>148.1827392578125</v>
      </c>
      <c r="F584" s="15">
        <v>121.66628265380859</v>
      </c>
      <c r="H584" s="16">
        <f t="shared" si="28"/>
        <v>7.1318080988451013E-3</v>
      </c>
      <c r="I584" s="16">
        <f t="shared" si="28"/>
        <v>-2.8236164287239497E-3</v>
      </c>
      <c r="J584" s="16">
        <f t="shared" si="28"/>
        <v>1.2058023762451863E-2</v>
      </c>
      <c r="K584" s="16">
        <f t="shared" si="29"/>
        <v>1.7375171058058952E-2</v>
      </c>
      <c r="L584" s="16">
        <f t="shared" si="30"/>
        <v>7.0425347757409745E-3</v>
      </c>
    </row>
    <row r="585" spans="1:12" x14ac:dyDescent="0.35">
      <c r="A585" s="18">
        <v>43102</v>
      </c>
      <c r="B585" s="15">
        <v>238.56871032714841</v>
      </c>
      <c r="C585" s="15">
        <v>65.185356140136719</v>
      </c>
      <c r="D585" s="15">
        <v>125.15000152587891</v>
      </c>
      <c r="E585" s="15">
        <v>150.7799377441406</v>
      </c>
      <c r="F585" s="15">
        <v>122.52614593505859</v>
      </c>
      <c r="H585" s="16">
        <f t="shared" si="28"/>
        <v>6.3054398114126059E-3</v>
      </c>
      <c r="I585" s="16">
        <f t="shared" si="28"/>
        <v>8.6070410483759315E-4</v>
      </c>
      <c r="J585" s="16">
        <f t="shared" si="28"/>
        <v>-2.6403330092136272E-3</v>
      </c>
      <c r="K585" s="16">
        <f t="shared" si="29"/>
        <v>9.670126490729021E-3</v>
      </c>
      <c r="L585" s="16">
        <f t="shared" si="30"/>
        <v>5.7712633878689752E-3</v>
      </c>
    </row>
    <row r="586" spans="1:12" x14ac:dyDescent="0.35">
      <c r="A586" s="18">
        <v>43103</v>
      </c>
      <c r="B586" s="15">
        <v>240.07774353027341</v>
      </c>
      <c r="C586" s="15">
        <v>65.241485595703125</v>
      </c>
      <c r="D586" s="15">
        <v>124.8199996948242</v>
      </c>
      <c r="E586" s="15">
        <v>152.24507141113281</v>
      </c>
      <c r="F586" s="15">
        <v>123.2353210449219</v>
      </c>
      <c r="H586" s="16">
        <f t="shared" si="28"/>
        <v>4.2054649986954136E-3</v>
      </c>
      <c r="I586" s="16">
        <f t="shared" si="28"/>
        <v>-4.9162320335768134E-4</v>
      </c>
      <c r="J586" s="16">
        <f t="shared" si="28"/>
        <v>5.1142783102632108E-3</v>
      </c>
      <c r="K586" s="16">
        <f t="shared" si="29"/>
        <v>1.7477018740058314E-3</v>
      </c>
      <c r="L586" s="16">
        <f t="shared" si="30"/>
        <v>3.8053637815258622E-3</v>
      </c>
    </row>
    <row r="587" spans="1:12" x14ac:dyDescent="0.35">
      <c r="A587" s="18">
        <v>43104</v>
      </c>
      <c r="B587" s="15">
        <v>241.0895080566406</v>
      </c>
      <c r="C587" s="15">
        <v>65.209419250488281</v>
      </c>
      <c r="D587" s="15">
        <v>125.4599990844727</v>
      </c>
      <c r="E587" s="15">
        <v>152.5113830566406</v>
      </c>
      <c r="F587" s="15">
        <v>123.7051696777344</v>
      </c>
      <c r="H587" s="16">
        <f t="shared" si="28"/>
        <v>6.6423036408836105E-3</v>
      </c>
      <c r="I587" s="16">
        <f t="shared" si="28"/>
        <v>-1.3523619834317805E-3</v>
      </c>
      <c r="J587" s="16">
        <f t="shared" si="28"/>
        <v>-1.0367021379347082E-3</v>
      </c>
      <c r="K587" s="16">
        <f t="shared" si="29"/>
        <v>9.9933356499330821E-3</v>
      </c>
      <c r="L587" s="16">
        <f t="shared" si="30"/>
        <v>5.8587341877583774E-3</v>
      </c>
    </row>
    <row r="588" spans="1:12" x14ac:dyDescent="0.35">
      <c r="A588" s="18">
        <v>43105</v>
      </c>
      <c r="B588" s="15">
        <v>242.69622802734381</v>
      </c>
      <c r="C588" s="15">
        <v>65.121292114257813</v>
      </c>
      <c r="D588" s="15">
        <v>125.3300018310547</v>
      </c>
      <c r="E588" s="15">
        <v>154.0431213378906</v>
      </c>
      <c r="F588" s="15">
        <v>124.4320526123047</v>
      </c>
      <c r="H588" s="16">
        <f t="shared" si="28"/>
        <v>1.8272750144947612E-3</v>
      </c>
      <c r="I588" s="16">
        <f t="shared" si="28"/>
        <v>1.2242123921868487E-4</v>
      </c>
      <c r="J588" s="16">
        <f t="shared" si="28"/>
        <v>-1.5962553903672727E-4</v>
      </c>
      <c r="K588" s="16">
        <f t="shared" si="29"/>
        <v>3.8829479272723373E-3</v>
      </c>
      <c r="L588" s="16">
        <f t="shared" si="30"/>
        <v>2.2771727565269592E-3</v>
      </c>
    </row>
    <row r="589" spans="1:12" x14ac:dyDescent="0.35">
      <c r="A589" s="18">
        <v>43108</v>
      </c>
      <c r="B589" s="15">
        <v>243.1401062011719</v>
      </c>
      <c r="C589" s="15">
        <v>65.129264831542969</v>
      </c>
      <c r="D589" s="15">
        <v>125.30999755859381</v>
      </c>
      <c r="E589" s="15">
        <v>154.6424255371094</v>
      </c>
      <c r="F589" s="15">
        <v>124.7157287597656</v>
      </c>
      <c r="H589" s="16">
        <f t="shared" si="28"/>
        <v>2.2607804507337884E-3</v>
      </c>
      <c r="I589" s="16">
        <f t="shared" si="28"/>
        <v>-2.9572926071075711E-3</v>
      </c>
      <c r="J589" s="16">
        <f t="shared" si="28"/>
        <v>-4.6392196430420337E-3</v>
      </c>
      <c r="K589" s="16">
        <f t="shared" si="29"/>
        <v>6.1371745355136883E-5</v>
      </c>
      <c r="L589" s="16">
        <f t="shared" si="30"/>
        <v>1.8460640100953461E-3</v>
      </c>
    </row>
    <row r="590" spans="1:12" x14ac:dyDescent="0.35">
      <c r="A590" s="18">
        <v>43109</v>
      </c>
      <c r="B590" s="15">
        <v>243.69041442871091</v>
      </c>
      <c r="C590" s="15">
        <v>64.936943054199219</v>
      </c>
      <c r="D590" s="15">
        <v>124.73000335693359</v>
      </c>
      <c r="E590" s="15">
        <v>154.65191650390619</v>
      </c>
      <c r="F590" s="15">
        <v>124.946174621582</v>
      </c>
      <c r="H590" s="16">
        <f t="shared" si="28"/>
        <v>-1.5314314367088503E-3</v>
      </c>
      <c r="I590" s="16">
        <f t="shared" si="28"/>
        <v>1.2288623358350104E-4</v>
      </c>
      <c r="J590" s="16">
        <f t="shared" si="28"/>
        <v>2.4022706924070698E-3</v>
      </c>
      <c r="K590" s="16">
        <f t="shared" si="29"/>
        <v>-2.3399208418115034E-3</v>
      </c>
      <c r="L590" s="16">
        <f t="shared" si="30"/>
        <v>-1.5622556424494953E-3</v>
      </c>
    </row>
    <row r="591" spans="1:12" x14ac:dyDescent="0.35">
      <c r="A591" s="18">
        <v>43110</v>
      </c>
      <c r="B591" s="15">
        <v>243.3175048828125</v>
      </c>
      <c r="C591" s="15">
        <v>64.944923400878906</v>
      </c>
      <c r="D591" s="15">
        <v>125.0299987792969</v>
      </c>
      <c r="E591" s="15">
        <v>154.29046630859381</v>
      </c>
      <c r="F591" s="15">
        <v>124.7511291503906</v>
      </c>
      <c r="H591" s="16">
        <f t="shared" si="28"/>
        <v>7.2699845715976825E-3</v>
      </c>
      <c r="I591" s="16">
        <f t="shared" si="28"/>
        <v>0</v>
      </c>
      <c r="J591" s="16">
        <f t="shared" si="28"/>
        <v>3.2738773212114772E-3</v>
      </c>
      <c r="K591" s="16">
        <f t="shared" si="29"/>
        <v>6.8204255048135189E-3</v>
      </c>
      <c r="L591" s="16">
        <f t="shared" si="30"/>
        <v>8.4206745543166824E-3</v>
      </c>
    </row>
    <row r="592" spans="1:12" x14ac:dyDescent="0.35">
      <c r="A592" s="18">
        <v>43111</v>
      </c>
      <c r="B592" s="15">
        <v>245.0928649902344</v>
      </c>
      <c r="C592" s="15">
        <v>64.944923400878906</v>
      </c>
      <c r="D592" s="15">
        <v>125.44000244140619</v>
      </c>
      <c r="E592" s="15">
        <v>155.34638977050781</v>
      </c>
      <c r="F592" s="15">
        <v>125.80605316162109</v>
      </c>
      <c r="H592" s="16">
        <f t="shared" si="28"/>
        <v>6.4977303513300963E-3</v>
      </c>
      <c r="I592" s="16">
        <f t="shared" si="28"/>
        <v>-1.2288623358349505E-4</v>
      </c>
      <c r="J592" s="16">
        <f t="shared" si="28"/>
        <v>1.2044492942167671E-2</v>
      </c>
      <c r="K592" s="16">
        <f t="shared" si="29"/>
        <v>7.3225606518124093E-3</v>
      </c>
      <c r="L592" s="16">
        <f t="shared" si="30"/>
        <v>5.8312393974169468E-3</v>
      </c>
    </row>
    <row r="593" spans="1:12" x14ac:dyDescent="0.35">
      <c r="A593" s="18">
        <v>43112</v>
      </c>
      <c r="B593" s="15">
        <v>246.69059753417969</v>
      </c>
      <c r="C593" s="15">
        <v>64.936943054199219</v>
      </c>
      <c r="D593" s="15">
        <v>126.9599990844727</v>
      </c>
      <c r="E593" s="15">
        <v>156.48809814453119</v>
      </c>
      <c r="F593" s="15">
        <v>126.5418014526367</v>
      </c>
      <c r="H593" s="16">
        <f t="shared" si="28"/>
        <v>-3.4242768139999356E-3</v>
      </c>
      <c r="I593" s="16">
        <f t="shared" si="28"/>
        <v>7.4026085624310752E-4</v>
      </c>
      <c r="J593" s="16">
        <f t="shared" si="28"/>
        <v>1.6526906271694295E-3</v>
      </c>
      <c r="K593" s="16">
        <f t="shared" si="29"/>
        <v>-2.8615524638457928E-3</v>
      </c>
      <c r="L593" s="16">
        <f t="shared" si="30"/>
        <v>-4.4229233625439155E-3</v>
      </c>
    </row>
    <row r="594" spans="1:12" x14ac:dyDescent="0.35">
      <c r="A594" s="18">
        <v>43116</v>
      </c>
      <c r="B594" s="15">
        <v>245.84730529785159</v>
      </c>
      <c r="C594" s="15">
        <v>64.985031127929688</v>
      </c>
      <c r="D594" s="15">
        <v>127.1699981689453</v>
      </c>
      <c r="E594" s="15">
        <v>156.04093933105469</v>
      </c>
      <c r="F594" s="15">
        <v>125.9833526611328</v>
      </c>
      <c r="H594" s="16">
        <f t="shared" si="28"/>
        <v>9.4865408344536536E-3</v>
      </c>
      <c r="I594" s="16">
        <f t="shared" si="28"/>
        <v>-1.1105381142340253E-3</v>
      </c>
      <c r="J594" s="16">
        <f t="shared" si="28"/>
        <v>-8.1323632373542787E-3</v>
      </c>
      <c r="K594" s="16">
        <f t="shared" si="29"/>
        <v>1.0733483607778035E-2</v>
      </c>
      <c r="L594" s="16">
        <f t="shared" si="30"/>
        <v>9.1750642674643581E-3</v>
      </c>
    </row>
    <row r="595" spans="1:12" x14ac:dyDescent="0.35">
      <c r="A595" s="18">
        <v>43117</v>
      </c>
      <c r="B595" s="15">
        <v>248.1906433105469</v>
      </c>
      <c r="C595" s="15">
        <v>64.91290283203125</v>
      </c>
      <c r="D595" s="15">
        <v>126.13999938964839</v>
      </c>
      <c r="E595" s="15">
        <v>157.7248229980469</v>
      </c>
      <c r="F595" s="15">
        <v>127.1445770263672</v>
      </c>
      <c r="H595" s="16">
        <f t="shared" si="28"/>
        <v>-1.6822805595262569E-3</v>
      </c>
      <c r="I595" s="16">
        <f t="shared" si="28"/>
        <v>-1.9769739171175459E-3</v>
      </c>
      <c r="J595" s="16">
        <f t="shared" si="28"/>
        <v>-2.2222134485849264E-3</v>
      </c>
      <c r="K595" s="16">
        <f t="shared" si="29"/>
        <v>1.8069979235771418E-4</v>
      </c>
      <c r="L595" s="16">
        <f t="shared" si="30"/>
        <v>-1.7445653432481005E-3</v>
      </c>
    </row>
    <row r="596" spans="1:12" x14ac:dyDescent="0.35">
      <c r="A596" s="18">
        <v>43118</v>
      </c>
      <c r="B596" s="15">
        <v>247.7734680175781</v>
      </c>
      <c r="C596" s="15">
        <v>64.784698486328125</v>
      </c>
      <c r="D596" s="15">
        <v>125.86000061035161</v>
      </c>
      <c r="E596" s="15">
        <v>157.7533264160156</v>
      </c>
      <c r="F596" s="15">
        <v>126.92295837402339</v>
      </c>
      <c r="H596" s="16">
        <f t="shared" si="28"/>
        <v>4.5393567762106353E-3</v>
      </c>
      <c r="I596" s="16">
        <f t="shared" si="28"/>
        <v>-2.1051506374809891E-3</v>
      </c>
      <c r="J596" s="16">
        <f t="shared" si="28"/>
        <v>4.4394996120159522E-3</v>
      </c>
      <c r="K596" s="16">
        <f t="shared" si="29"/>
        <v>3.1311310961588375E-3</v>
      </c>
      <c r="L596" s="16">
        <f t="shared" si="30"/>
        <v>5.1555238121426148E-3</v>
      </c>
    </row>
    <row r="597" spans="1:12" x14ac:dyDescent="0.35">
      <c r="A597" s="18">
        <v>43119</v>
      </c>
      <c r="B597" s="15">
        <v>248.9007568359375</v>
      </c>
      <c r="C597" s="15">
        <v>64.648460388183594</v>
      </c>
      <c r="D597" s="15">
        <v>126.4199981689453</v>
      </c>
      <c r="E597" s="15">
        <v>158.248046875</v>
      </c>
      <c r="F597" s="15">
        <v>127.57900238037109</v>
      </c>
      <c r="H597" s="16">
        <f t="shared" si="28"/>
        <v>8.0982098944295238E-3</v>
      </c>
      <c r="I597" s="16">
        <f t="shared" si="28"/>
        <v>-7.4458861851306923E-4</v>
      </c>
      <c r="J597" s="16">
        <f t="shared" si="28"/>
        <v>1.817705935429852E-3</v>
      </c>
      <c r="K597" s="16">
        <f t="shared" si="29"/>
        <v>1.0644199908123838E-2</v>
      </c>
      <c r="L597" s="16">
        <f t="shared" si="30"/>
        <v>7.8896607050894692E-3</v>
      </c>
    </row>
    <row r="598" spans="1:12" x14ac:dyDescent="0.35">
      <c r="A598" s="18">
        <v>43122</v>
      </c>
      <c r="B598" s="15">
        <v>250.9245910644531</v>
      </c>
      <c r="C598" s="15">
        <v>64.600341796875</v>
      </c>
      <c r="D598" s="15">
        <v>126.65000152587891</v>
      </c>
      <c r="E598" s="15">
        <v>159.94146728515619</v>
      </c>
      <c r="F598" s="15">
        <v>128.58953857421881</v>
      </c>
      <c r="H598" s="16">
        <f t="shared" si="28"/>
        <v>2.1199684638454866E-3</v>
      </c>
      <c r="I598" s="16">
        <f t="shared" si="28"/>
        <v>2.6019301977288278E-3</v>
      </c>
      <c r="J598" s="16">
        <f t="shared" si="28"/>
        <v>4.961985943158902E-3</v>
      </c>
      <c r="K598" s="16">
        <f t="shared" si="29"/>
        <v>8.233860890110585E-3</v>
      </c>
      <c r="L598" s="16">
        <f t="shared" si="30"/>
        <v>2.4785201496328054E-3</v>
      </c>
    </row>
    <row r="599" spans="1:12" x14ac:dyDescent="0.35">
      <c r="A599" s="18">
        <v>43123</v>
      </c>
      <c r="B599" s="15">
        <v>251.45710754394531</v>
      </c>
      <c r="C599" s="15">
        <v>64.768646240234375</v>
      </c>
      <c r="D599" s="15">
        <v>127.2799987792969</v>
      </c>
      <c r="E599" s="15">
        <v>161.26383972167969</v>
      </c>
      <c r="F599" s="15">
        <v>128.90864562988281</v>
      </c>
      <c r="H599" s="16">
        <f t="shared" si="28"/>
        <v>-3.8819407399044383E-4</v>
      </c>
      <c r="I599" s="16">
        <f t="shared" si="28"/>
        <v>-1.114250367121187E-3</v>
      </c>
      <c r="J599" s="16">
        <f t="shared" si="28"/>
        <v>1.2104345577545075E-2</v>
      </c>
      <c r="K599" s="16">
        <f t="shared" si="29"/>
        <v>-6.5100916511412728E-3</v>
      </c>
      <c r="L599" s="16">
        <f t="shared" si="30"/>
        <v>-9.6304038273601711E-4</v>
      </c>
    </row>
    <row r="600" spans="1:12" x14ac:dyDescent="0.35">
      <c r="A600" s="18">
        <v>43124</v>
      </c>
      <c r="B600" s="15">
        <v>251.35951232910159</v>
      </c>
      <c r="C600" s="15">
        <v>64.696517944335938</v>
      </c>
      <c r="D600" s="15">
        <v>128.83000183105469</v>
      </c>
      <c r="E600" s="15">
        <v>160.2174072265625</v>
      </c>
      <c r="F600" s="15">
        <v>128.78456115722659</v>
      </c>
      <c r="H600" s="16">
        <f t="shared" si="28"/>
        <v>4.2393482611240396E-4</v>
      </c>
      <c r="I600" s="16">
        <f t="shared" si="28"/>
        <v>2.7210901143605863E-3</v>
      </c>
      <c r="J600" s="16">
        <f t="shared" si="28"/>
        <v>-6.6978490279026876E-3</v>
      </c>
      <c r="K600" s="16">
        <f t="shared" si="29"/>
        <v>-3.5653947151947446E-4</v>
      </c>
      <c r="L600" s="16">
        <f t="shared" si="30"/>
        <v>4.1270980938591304E-4</v>
      </c>
    </row>
    <row r="601" spans="1:12" x14ac:dyDescent="0.35">
      <c r="A601" s="18">
        <v>43125</v>
      </c>
      <c r="B601" s="15">
        <v>251.4660949707031</v>
      </c>
      <c r="C601" s="15">
        <v>64.872802734375</v>
      </c>
      <c r="D601" s="15">
        <v>127.9700012207031</v>
      </c>
      <c r="E601" s="15">
        <v>160.16029357910159</v>
      </c>
      <c r="F601" s="15">
        <v>128.83772277832031</v>
      </c>
      <c r="H601" s="16">
        <f t="shared" si="28"/>
        <v>1.1510684690174499E-2</v>
      </c>
      <c r="I601" s="16">
        <f t="shared" si="28"/>
        <v>-1.8538854640286415E-3</v>
      </c>
      <c r="J601" s="16">
        <f t="shared" si="28"/>
        <v>7.8117563867970434E-4</v>
      </c>
      <c r="K601" s="16">
        <f t="shared" si="29"/>
        <v>1.5209202953350903E-2</v>
      </c>
      <c r="L601" s="16">
        <f t="shared" si="30"/>
        <v>1.0404019592007839E-2</v>
      </c>
    </row>
    <row r="602" spans="1:12" x14ac:dyDescent="0.35">
      <c r="A602" s="18">
        <v>43126</v>
      </c>
      <c r="B602" s="15">
        <v>254.37736511230469</v>
      </c>
      <c r="C602" s="15">
        <v>64.752647399902344</v>
      </c>
      <c r="D602" s="15">
        <v>128.07000732421881</v>
      </c>
      <c r="E602" s="15">
        <v>162.61482238769531</v>
      </c>
      <c r="F602" s="15">
        <v>130.1851501464844</v>
      </c>
      <c r="H602" s="16">
        <f t="shared" si="28"/>
        <v>-6.6516593470495817E-3</v>
      </c>
      <c r="I602" s="16">
        <f t="shared" si="28"/>
        <v>-1.3626160890399411E-3</v>
      </c>
      <c r="J602" s="16">
        <f t="shared" si="28"/>
        <v>-5.6378571834707816E-3</v>
      </c>
      <c r="K602" s="16">
        <f t="shared" si="29"/>
        <v>-4.8679230630210638E-3</v>
      </c>
      <c r="L602" s="16">
        <f t="shared" si="30"/>
        <v>-6.5584045288733439E-3</v>
      </c>
    </row>
    <row r="603" spans="1:12" x14ac:dyDescent="0.35">
      <c r="A603" s="18">
        <v>43129</v>
      </c>
      <c r="B603" s="15">
        <v>252.6909484863281</v>
      </c>
      <c r="C603" s="15">
        <v>64.664474487304688</v>
      </c>
      <c r="D603" s="15">
        <v>127.34999847412109</v>
      </c>
      <c r="E603" s="15">
        <v>161.82514953613281</v>
      </c>
      <c r="F603" s="15">
        <v>129.3341369628906</v>
      </c>
      <c r="H603" s="16">
        <f t="shared" si="28"/>
        <v>-1.0310480997139463E-2</v>
      </c>
      <c r="I603" s="16">
        <f t="shared" si="28"/>
        <v>-1.860691075514922E-3</v>
      </c>
      <c r="J603" s="16">
        <f t="shared" si="28"/>
        <v>-4.32812337307631E-3</v>
      </c>
      <c r="K603" s="16">
        <f t="shared" si="29"/>
        <v>-8.2644128193042638E-3</v>
      </c>
      <c r="L603" s="16">
        <f t="shared" si="30"/>
        <v>-1.0472658496392813E-2</v>
      </c>
    </row>
    <row r="604" spans="1:12" x14ac:dyDescent="0.35">
      <c r="A604" s="18">
        <v>43130</v>
      </c>
      <c r="B604" s="15">
        <v>250.0989685058594</v>
      </c>
      <c r="C604" s="15">
        <v>64.544265747070313</v>
      </c>
      <c r="D604" s="15">
        <v>126.8000030517578</v>
      </c>
      <c r="E604" s="15">
        <v>160.49327087402341</v>
      </c>
      <c r="F604" s="15">
        <v>127.9867324829102</v>
      </c>
      <c r="H604" s="16">
        <f t="shared" si="28"/>
        <v>4.9736001917729655E-4</v>
      </c>
      <c r="I604" s="16">
        <f t="shared" si="28"/>
        <v>2.4831590590970509E-4</v>
      </c>
      <c r="J604" s="16">
        <f t="shared" si="28"/>
        <v>6.6810895704915597E-3</v>
      </c>
      <c r="K604" s="16">
        <f t="shared" si="29"/>
        <v>4.140838631715593E-3</v>
      </c>
      <c r="L604" s="16">
        <f t="shared" si="30"/>
        <v>3.4633851374360757E-4</v>
      </c>
    </row>
    <row r="605" spans="1:12" x14ac:dyDescent="0.35">
      <c r="A605" s="18">
        <v>43131</v>
      </c>
      <c r="B605" s="15">
        <v>250.223388671875</v>
      </c>
      <c r="C605" s="15">
        <v>64.560295104980469</v>
      </c>
      <c r="D605" s="15">
        <v>127.65000152587891</v>
      </c>
      <c r="E605" s="15">
        <v>161.15922546386719</v>
      </c>
      <c r="F605" s="15">
        <v>128.03106689453119</v>
      </c>
      <c r="H605" s="16">
        <f t="shared" si="28"/>
        <v>-1.135983036900187E-3</v>
      </c>
      <c r="I605" s="16">
        <f t="shared" si="28"/>
        <v>-2.7783620553002669E-3</v>
      </c>
      <c r="J605" s="16">
        <f t="shared" si="28"/>
        <v>3.2848909860554712E-3</v>
      </c>
      <c r="K605" s="16">
        <f t="shared" si="29"/>
        <v>-8.5370268333015628E-3</v>
      </c>
      <c r="L605" s="16">
        <f t="shared" si="30"/>
        <v>-4.1572791978596111E-4</v>
      </c>
    </row>
    <row r="606" spans="1:12" x14ac:dyDescent="0.35">
      <c r="A606" s="18">
        <v>43132</v>
      </c>
      <c r="B606" s="15">
        <v>249.9393005371094</v>
      </c>
      <c r="C606" s="15">
        <v>64.381172180175781</v>
      </c>
      <c r="D606" s="15">
        <v>128.07000732421881</v>
      </c>
      <c r="E606" s="15">
        <v>159.78926086425781</v>
      </c>
      <c r="F606" s="15">
        <v>127.9778518676758</v>
      </c>
      <c r="H606" s="16">
        <f t="shared" si="28"/>
        <v>-2.2010208211255843E-2</v>
      </c>
      <c r="I606" s="16">
        <f t="shared" si="28"/>
        <v>-2.9987197189055106E-3</v>
      </c>
      <c r="J606" s="16">
        <f t="shared" si="28"/>
        <v>-1.3204686797241112E-2</v>
      </c>
      <c r="K606" s="16">
        <f t="shared" si="29"/>
        <v>-2.0146779094482925E-2</v>
      </c>
      <c r="L606" s="16">
        <f t="shared" si="30"/>
        <v>-2.1494067170365054E-2</v>
      </c>
    </row>
    <row r="607" spans="1:12" x14ac:dyDescent="0.35">
      <c r="A607" s="18">
        <v>43133</v>
      </c>
      <c r="B607" s="15">
        <v>244.49818420410159</v>
      </c>
      <c r="C607" s="15">
        <v>64.188400268554688</v>
      </c>
      <c r="D607" s="15">
        <v>126.38999938964839</v>
      </c>
      <c r="E607" s="15">
        <v>156.60223388671881</v>
      </c>
      <c r="F607" s="15">
        <v>125.2564392089844</v>
      </c>
      <c r="H607" s="16">
        <f t="shared" si="28"/>
        <v>-4.2722364866602615E-2</v>
      </c>
      <c r="I607" s="16">
        <f t="shared" si="28"/>
        <v>4.3699312578585441E-3</v>
      </c>
      <c r="J607" s="16">
        <f t="shared" si="28"/>
        <v>2.5286437555199137E-3</v>
      </c>
      <c r="K607" s="16">
        <f t="shared" si="29"/>
        <v>-4.0224728233062897E-2</v>
      </c>
      <c r="L607" s="16">
        <f t="shared" si="30"/>
        <v>-4.014387015973675E-2</v>
      </c>
    </row>
    <row r="608" spans="1:12" x14ac:dyDescent="0.35">
      <c r="A608" s="18">
        <v>43136</v>
      </c>
      <c r="B608" s="15">
        <v>234.27262878417969</v>
      </c>
      <c r="C608" s="15">
        <v>64.469512939453125</v>
      </c>
      <c r="D608" s="15">
        <v>126.7099990844727</v>
      </c>
      <c r="E608" s="15">
        <v>150.42796325683591</v>
      </c>
      <c r="F608" s="15">
        <v>120.327751159668</v>
      </c>
      <c r="H608" s="16">
        <f t="shared" si="28"/>
        <v>1.9510648797758365E-2</v>
      </c>
      <c r="I608" s="16">
        <f t="shared" si="28"/>
        <v>-3.244134702122948E-3</v>
      </c>
      <c r="J608" s="16">
        <f t="shared" si="28"/>
        <v>-1.0551899645680993E-2</v>
      </c>
      <c r="K608" s="16">
        <f t="shared" si="29"/>
        <v>2.6153589302384057E-2</v>
      </c>
      <c r="L608" s="16">
        <f t="shared" si="30"/>
        <v>1.6222479126366623E-2</v>
      </c>
    </row>
    <row r="609" spans="1:12" x14ac:dyDescent="0.35">
      <c r="A609" s="18">
        <v>43137</v>
      </c>
      <c r="B609" s="15">
        <v>238.88832092285159</v>
      </c>
      <c r="C609" s="15">
        <v>64.260704040527344</v>
      </c>
      <c r="D609" s="15">
        <v>125.379997253418</v>
      </c>
      <c r="E609" s="15">
        <v>154.4140930175781</v>
      </c>
      <c r="F609" s="15">
        <v>122.2956848144531</v>
      </c>
      <c r="H609" s="16">
        <f t="shared" si="28"/>
        <v>-5.4398565024690836E-3</v>
      </c>
      <c r="I609" s="16">
        <f t="shared" si="28"/>
        <v>-2.2519100109302218E-3</v>
      </c>
      <c r="J609" s="16">
        <f t="shared" si="28"/>
        <v>-4.7167720834539019E-3</v>
      </c>
      <c r="K609" s="16">
        <f t="shared" si="29"/>
        <v>-1.3022280171163893E-2</v>
      </c>
      <c r="L609" s="16">
        <f t="shared" si="30"/>
        <v>-4.4315787560979336E-3</v>
      </c>
    </row>
    <row r="610" spans="1:12" x14ac:dyDescent="0.35">
      <c r="A610" s="18">
        <v>43138</v>
      </c>
      <c r="B610" s="15">
        <v>237.59233093261719</v>
      </c>
      <c r="C610" s="15">
        <v>64.116157531738281</v>
      </c>
      <c r="D610" s="15">
        <v>124.7900009155273</v>
      </c>
      <c r="E610" s="15">
        <v>152.41630554199219</v>
      </c>
      <c r="F610" s="15">
        <v>121.7549209594727</v>
      </c>
      <c r="H610" s="16">
        <f t="shared" si="28"/>
        <v>-3.8230359990306842E-2</v>
      </c>
      <c r="I610" s="16">
        <f t="shared" si="28"/>
        <v>-7.5255887842889003E-4</v>
      </c>
      <c r="J610" s="16">
        <f t="shared" si="28"/>
        <v>1.5214195043948336E-3</v>
      </c>
      <c r="K610" s="16">
        <f t="shared" si="29"/>
        <v>-4.3111016728874477E-2</v>
      </c>
      <c r="L610" s="16">
        <f t="shared" si="30"/>
        <v>-3.662889718393314E-2</v>
      </c>
    </row>
    <row r="611" spans="1:12" x14ac:dyDescent="0.35">
      <c r="A611" s="18">
        <v>43139</v>
      </c>
      <c r="B611" s="15">
        <v>228.68052673339841</v>
      </c>
      <c r="C611" s="15">
        <v>64.067924499511719</v>
      </c>
      <c r="D611" s="15">
        <v>124.98000335693359</v>
      </c>
      <c r="E611" s="15">
        <v>145.985107421875</v>
      </c>
      <c r="F611" s="15">
        <v>117.375862121582</v>
      </c>
      <c r="H611" s="16">
        <f t="shared" si="28"/>
        <v>1.4909839148393065E-2</v>
      </c>
      <c r="I611" s="16">
        <f t="shared" si="28"/>
        <v>-2.5100212322894727E-3</v>
      </c>
      <c r="J611" s="16">
        <f t="shared" si="28"/>
        <v>-1.6817358427458674E-3</v>
      </c>
      <c r="K611" s="16">
        <f t="shared" si="29"/>
        <v>1.7122267955811978E-2</v>
      </c>
      <c r="L611" s="16">
        <f t="shared" si="30"/>
        <v>1.365103837619365E-2</v>
      </c>
    </row>
    <row r="612" spans="1:12" x14ac:dyDescent="0.35">
      <c r="A612" s="18">
        <v>43140</v>
      </c>
      <c r="B612" s="15">
        <v>232.11566162109381</v>
      </c>
      <c r="C612" s="15">
        <v>63.907314300537109</v>
      </c>
      <c r="D612" s="15">
        <v>124.76999664306641</v>
      </c>
      <c r="E612" s="15">
        <v>148.5062255859375</v>
      </c>
      <c r="F612" s="15">
        <v>118.98915100097661</v>
      </c>
      <c r="H612" s="16">
        <f t="shared" si="28"/>
        <v>1.4577427716146497E-2</v>
      </c>
      <c r="I612" s="16">
        <f t="shared" si="28"/>
        <v>2.5108889123246446E-4</v>
      </c>
      <c r="J612" s="16">
        <f t="shared" si="28"/>
        <v>4.7973715177867284E-3</v>
      </c>
      <c r="K612" s="16">
        <f t="shared" si="29"/>
        <v>1.7589266014747952E-2</v>
      </c>
      <c r="L612" s="16">
        <f t="shared" si="30"/>
        <v>1.3247465829696804E-2</v>
      </c>
    </row>
    <row r="613" spans="1:12" x14ac:dyDescent="0.35">
      <c r="A613" s="18">
        <v>43143</v>
      </c>
      <c r="B613" s="15">
        <v>235.52409362792969</v>
      </c>
      <c r="C613" s="15">
        <v>63.923362731933587</v>
      </c>
      <c r="D613" s="15">
        <v>125.370002746582</v>
      </c>
      <c r="E613" s="15">
        <v>151.1414489746094</v>
      </c>
      <c r="F613" s="15">
        <v>120.57594299316411</v>
      </c>
      <c r="H613" s="16">
        <f t="shared" si="28"/>
        <v>2.4843902144162976E-3</v>
      </c>
      <c r="I613" s="16">
        <f t="shared" si="28"/>
        <v>8.79716123423059E-4</v>
      </c>
      <c r="J613" s="16">
        <f t="shared" si="28"/>
        <v>5.6472535967856735E-3</v>
      </c>
      <c r="K613" s="16">
        <f t="shared" si="29"/>
        <v>5.1485544794596192E-3</v>
      </c>
      <c r="L613" s="16">
        <f t="shared" si="30"/>
        <v>3.1561498435079111E-3</v>
      </c>
    </row>
    <row r="614" spans="1:12" x14ac:dyDescent="0.35">
      <c r="A614" s="18">
        <v>43144</v>
      </c>
      <c r="B614" s="15">
        <v>236.1099548339844</v>
      </c>
      <c r="C614" s="15">
        <v>63.979621887207031</v>
      </c>
      <c r="D614" s="15">
        <v>126.0800018310547</v>
      </c>
      <c r="E614" s="15">
        <v>151.92161560058591</v>
      </c>
      <c r="F614" s="15">
        <v>120.9570999145508</v>
      </c>
      <c r="H614" s="16">
        <f t="shared" si="28"/>
        <v>1.3405990002622608E-2</v>
      </c>
      <c r="I614" s="16">
        <f t="shared" si="28"/>
        <v>-3.2698531054048945E-3</v>
      </c>
      <c r="J614" s="16">
        <f t="shared" si="28"/>
        <v>1.6908852519764518E-2</v>
      </c>
      <c r="K614" s="16">
        <f t="shared" si="29"/>
        <v>1.8550231151824567E-2</v>
      </c>
      <c r="L614" s="16">
        <f t="shared" si="30"/>
        <v>1.3900712712083402E-2</v>
      </c>
    </row>
    <row r="615" spans="1:12" x14ac:dyDescent="0.35">
      <c r="A615" s="18">
        <v>43145</v>
      </c>
      <c r="B615" s="15">
        <v>239.29655456542969</v>
      </c>
      <c r="C615" s="15">
        <v>63.770759582519531</v>
      </c>
      <c r="D615" s="15">
        <v>128.22999572753909</v>
      </c>
      <c r="E615" s="15">
        <v>154.76609802246091</v>
      </c>
      <c r="F615" s="15">
        <v>122.6502304077148</v>
      </c>
      <c r="H615" s="16">
        <f t="shared" si="28"/>
        <v>1.26793276750962E-2</v>
      </c>
      <c r="I615" s="16">
        <f t="shared" si="28"/>
        <v>1.007440977872929E-3</v>
      </c>
      <c r="J615" s="16">
        <f t="shared" si="28"/>
        <v>1.1691607653977454E-3</v>
      </c>
      <c r="K615" s="16">
        <f t="shared" si="29"/>
        <v>1.8393789354999916E-2</v>
      </c>
      <c r="L615" s="16">
        <f t="shared" si="30"/>
        <v>1.2140723926835618E-2</v>
      </c>
    </row>
    <row r="616" spans="1:12" x14ac:dyDescent="0.35">
      <c r="A616" s="18">
        <v>43146</v>
      </c>
      <c r="B616" s="15">
        <v>242.34999084472659</v>
      </c>
      <c r="C616" s="15">
        <v>63.835037231445313</v>
      </c>
      <c r="D616" s="15">
        <v>128.3800048828125</v>
      </c>
      <c r="E616" s="15">
        <v>157.63917541503909</v>
      </c>
      <c r="F616" s="15">
        <v>124.1483688354492</v>
      </c>
      <c r="H616" s="16">
        <f t="shared" si="28"/>
        <v>2.9304418758882507E-4</v>
      </c>
      <c r="I616" s="16">
        <f t="shared" si="28"/>
        <v>2.1365983552419773E-3</v>
      </c>
      <c r="J616" s="16">
        <f t="shared" si="28"/>
        <v>-3.2769459911660957E-3</v>
      </c>
      <c r="K616" s="16">
        <f t="shared" si="29"/>
        <v>-4.4756689579365048E-3</v>
      </c>
      <c r="L616" s="16">
        <f t="shared" si="30"/>
        <v>4.2842586898738906E-4</v>
      </c>
    </row>
    <row r="617" spans="1:12" x14ac:dyDescent="0.35">
      <c r="A617" s="18">
        <v>43147</v>
      </c>
      <c r="B617" s="15">
        <v>242.4210205078125</v>
      </c>
      <c r="C617" s="15">
        <v>63.971572875976563</v>
      </c>
      <c r="D617" s="15">
        <v>127.9599990844727</v>
      </c>
      <c r="E617" s="15">
        <v>156.9352111816406</v>
      </c>
      <c r="F617" s="15">
        <v>124.2015686035156</v>
      </c>
      <c r="H617" s="16">
        <f t="shared" si="28"/>
        <v>-6.2809096257722434E-3</v>
      </c>
      <c r="I617" s="16">
        <f t="shared" si="28"/>
        <v>-1.0049912423655016E-3</v>
      </c>
      <c r="J617" s="16">
        <f t="shared" si="28"/>
        <v>-1.3532867750938361E-2</v>
      </c>
      <c r="K617" s="16">
        <f t="shared" si="29"/>
        <v>1.9983120127278512E-3</v>
      </c>
      <c r="L617" s="16">
        <f t="shared" si="30"/>
        <v>-6.0133084286796094E-3</v>
      </c>
    </row>
    <row r="618" spans="1:12" x14ac:dyDescent="0.35">
      <c r="A618" s="18">
        <v>43151</v>
      </c>
      <c r="B618" s="15">
        <v>240.9031677246094</v>
      </c>
      <c r="C618" s="15">
        <v>63.907314300537109</v>
      </c>
      <c r="D618" s="15">
        <v>126.2399978637695</v>
      </c>
      <c r="E618" s="15">
        <v>157.24913024902341</v>
      </c>
      <c r="F618" s="15">
        <v>123.4569473266602</v>
      </c>
      <c r="H618" s="16">
        <f t="shared" si="28"/>
        <v>-4.9864964027897746E-3</v>
      </c>
      <c r="I618" s="16">
        <f t="shared" si="28"/>
        <v>-3.7776333785525993E-3</v>
      </c>
      <c r="J618" s="16">
        <f t="shared" si="28"/>
        <v>-4.6049640577853004E-3</v>
      </c>
      <c r="K618" s="16">
        <f t="shared" si="29"/>
        <v>-2.8474891644555372E-3</v>
      </c>
      <c r="L618" s="16">
        <f t="shared" si="30"/>
        <v>-4.6783452422188895E-3</v>
      </c>
    </row>
    <row r="619" spans="1:12" x14ac:dyDescent="0.35">
      <c r="A619" s="18">
        <v>43152</v>
      </c>
      <c r="B619" s="15">
        <v>239.70489501953119</v>
      </c>
      <c r="C619" s="15">
        <v>63.666351318359382</v>
      </c>
      <c r="D619" s="15">
        <v>125.6600036621094</v>
      </c>
      <c r="E619" s="15">
        <v>156.802001953125</v>
      </c>
      <c r="F619" s="15">
        <v>122.88072204589839</v>
      </c>
      <c r="H619" s="16">
        <f t="shared" si="28"/>
        <v>1.295271993670016E-3</v>
      </c>
      <c r="I619" s="16">
        <f t="shared" si="28"/>
        <v>1.2608173509261517E-3</v>
      </c>
      <c r="J619" s="16">
        <f t="shared" si="28"/>
        <v>5.0801774014139767E-3</v>
      </c>
      <c r="K619" s="16">
        <f t="shared" si="29"/>
        <v>-1.2116135656561545E-4</v>
      </c>
      <c r="L619" s="16">
        <f t="shared" si="30"/>
        <v>6.4916561784068806E-4</v>
      </c>
    </row>
    <row r="620" spans="1:12" x14ac:dyDescent="0.35">
      <c r="A620" s="18">
        <v>43153</v>
      </c>
      <c r="B620" s="15">
        <v>240.01557922363281</v>
      </c>
      <c r="C620" s="15">
        <v>63.746673583984382</v>
      </c>
      <c r="D620" s="15">
        <v>126.3000030517578</v>
      </c>
      <c r="E620" s="15">
        <v>156.78300476074219</v>
      </c>
      <c r="F620" s="15">
        <v>122.9605178833008</v>
      </c>
      <c r="H620" s="16">
        <f t="shared" si="28"/>
        <v>1.5813554118191631E-2</v>
      </c>
      <c r="I620" s="16">
        <f t="shared" si="28"/>
        <v>2.6424578793372141E-3</v>
      </c>
      <c r="J620" s="16">
        <f t="shared" si="28"/>
        <v>-1.2676571223936312E-3</v>
      </c>
      <c r="K620" s="16">
        <f t="shared" si="29"/>
        <v>2.0242815784943843E-2</v>
      </c>
      <c r="L620" s="16">
        <f t="shared" si="30"/>
        <v>1.5381068096997538E-2</v>
      </c>
    </row>
    <row r="621" spans="1:12" x14ac:dyDescent="0.35">
      <c r="A621" s="18">
        <v>43154</v>
      </c>
      <c r="B621" s="15">
        <v>243.84124755859381</v>
      </c>
      <c r="C621" s="15">
        <v>63.91534423828125</v>
      </c>
      <c r="D621" s="15">
        <v>126.13999938964839</v>
      </c>
      <c r="E621" s="15">
        <v>159.98907470703119</v>
      </c>
      <c r="F621" s="15">
        <v>124.8664016723633</v>
      </c>
      <c r="H621" s="16">
        <f t="shared" si="28"/>
        <v>1.1545334898938171E-2</v>
      </c>
      <c r="I621" s="16">
        <f t="shared" si="28"/>
        <v>5.0264822199320438E-4</v>
      </c>
      <c r="J621" s="16">
        <f t="shared" si="28"/>
        <v>2.4545525850459709E-3</v>
      </c>
      <c r="K621" s="16">
        <f t="shared" si="29"/>
        <v>1.3173073758369623E-2</v>
      </c>
      <c r="L621" s="16">
        <f t="shared" si="30"/>
        <v>1.0452021850007103E-2</v>
      </c>
    </row>
    <row r="622" spans="1:12" x14ac:dyDescent="0.35">
      <c r="A622" s="18">
        <v>43157</v>
      </c>
      <c r="B622" s="15">
        <v>246.67279052734381</v>
      </c>
      <c r="C622" s="15">
        <v>63.947479248046882</v>
      </c>
      <c r="D622" s="15">
        <v>126.4499969482422</v>
      </c>
      <c r="E622" s="15">
        <v>162.1105651855469</v>
      </c>
      <c r="F622" s="15">
        <v>126.178352355957</v>
      </c>
      <c r="H622" s="16">
        <f t="shared" si="28"/>
        <v>-1.2565167183016162E-2</v>
      </c>
      <c r="I622" s="16">
        <f t="shared" si="28"/>
        <v>-2.137942258179093E-3</v>
      </c>
      <c r="J622" s="16">
        <f t="shared" si="28"/>
        <v>-1.0493774054731984E-2</v>
      </c>
      <c r="K622" s="16">
        <f t="shared" si="29"/>
        <v>-1.2460026309455655E-2</v>
      </c>
      <c r="L622" s="16">
        <f t="shared" si="30"/>
        <v>-1.2655347044607123E-2</v>
      </c>
    </row>
    <row r="623" spans="1:12" x14ac:dyDescent="0.35">
      <c r="A623" s="18">
        <v>43158</v>
      </c>
      <c r="B623" s="15">
        <v>243.59269714355469</v>
      </c>
      <c r="C623" s="15">
        <v>63.810909271240227</v>
      </c>
      <c r="D623" s="15">
        <v>125.129997253418</v>
      </c>
      <c r="E623" s="15">
        <v>160.10319519042969</v>
      </c>
      <c r="F623" s="15">
        <v>124.5915832519531</v>
      </c>
      <c r="H623" s="16">
        <f t="shared" si="28"/>
        <v>-1.0181642303742756E-2</v>
      </c>
      <c r="I623" s="16">
        <f t="shared" si="28"/>
        <v>1.2583808196020899E-3</v>
      </c>
      <c r="J623" s="16">
        <f t="shared" si="28"/>
        <v>-1.039437624833975E-3</v>
      </c>
      <c r="K623" s="16">
        <f t="shared" si="29"/>
        <v>-6.4381071697376885E-3</v>
      </c>
      <c r="L623" s="16">
        <f t="shared" si="30"/>
        <v>-1.108942010450626E-2</v>
      </c>
    </row>
    <row r="624" spans="1:12" x14ac:dyDescent="0.35">
      <c r="A624" s="18">
        <v>43159</v>
      </c>
      <c r="B624" s="15">
        <v>241.12510681152341</v>
      </c>
      <c r="C624" s="15">
        <v>63.891258239746087</v>
      </c>
      <c r="D624" s="15">
        <v>125</v>
      </c>
      <c r="E624" s="15">
        <v>159.07574462890619</v>
      </c>
      <c r="F624" s="15">
        <v>123.2175674438477</v>
      </c>
      <c r="H624" s="16">
        <f t="shared" si="28"/>
        <v>-1.4647413920901771E-2</v>
      </c>
      <c r="I624" s="16">
        <f t="shared" si="28"/>
        <v>1.6994026056206715E-3</v>
      </c>
      <c r="J624" s="16">
        <f t="shared" si="28"/>
        <v>-2.242502765231249E-3</v>
      </c>
      <c r="K624" s="16">
        <f t="shared" si="29"/>
        <v>-1.6461554868338783E-2</v>
      </c>
      <c r="L624" s="16">
        <f t="shared" si="30"/>
        <v>-1.1941454118205448E-2</v>
      </c>
    </row>
    <row r="625" spans="1:12" x14ac:dyDescent="0.35">
      <c r="A625" s="18">
        <v>43160</v>
      </c>
      <c r="B625" s="15">
        <v>237.6189880371094</v>
      </c>
      <c r="C625" s="15">
        <v>63.999927520751953</v>
      </c>
      <c r="D625" s="15">
        <v>124.7200012207031</v>
      </c>
      <c r="E625" s="15">
        <v>156.4785461425781</v>
      </c>
      <c r="F625" s="15">
        <v>121.7549209594727</v>
      </c>
      <c r="H625" s="16">
        <f t="shared" si="28"/>
        <v>5.1417749132268813E-3</v>
      </c>
      <c r="I625" s="16">
        <f t="shared" si="28"/>
        <v>-1.8877930664551656E-3</v>
      </c>
      <c r="J625" s="16">
        <f t="shared" si="28"/>
        <v>5.3576407977507382E-3</v>
      </c>
      <c r="K625" s="16">
        <f t="shared" si="29"/>
        <v>9.1388254742363426E-3</v>
      </c>
      <c r="L625" s="16">
        <f t="shared" si="30"/>
        <v>6.4590251270486192E-3</v>
      </c>
    </row>
    <row r="626" spans="1:12" x14ac:dyDescent="0.35">
      <c r="A626" s="18">
        <v>43161</v>
      </c>
      <c r="B626" s="15">
        <v>238.84391784667969</v>
      </c>
      <c r="C626" s="15">
        <v>63.879222869873047</v>
      </c>
      <c r="D626" s="15">
        <v>125.38999938964839</v>
      </c>
      <c r="E626" s="15">
        <v>157.9151306152344</v>
      </c>
      <c r="F626" s="15">
        <v>122.54388427734381</v>
      </c>
      <c r="H626" s="16">
        <f t="shared" si="28"/>
        <v>1.1491531565113514E-2</v>
      </c>
      <c r="I626" s="16">
        <f t="shared" si="28"/>
        <v>-6.3069452080571724E-4</v>
      </c>
      <c r="J626" s="16">
        <f t="shared" si="28"/>
        <v>-1.6761714003694563E-3</v>
      </c>
      <c r="K626" s="16">
        <f t="shared" si="29"/>
        <v>1.1023910212701344E-2</v>
      </c>
      <c r="L626" s="16">
        <f t="shared" si="30"/>
        <v>1.1221585025122664E-2</v>
      </c>
    </row>
    <row r="627" spans="1:12" x14ac:dyDescent="0.35">
      <c r="A627" s="18">
        <v>43164</v>
      </c>
      <c r="B627" s="15">
        <v>241.60443115234381</v>
      </c>
      <c r="C627" s="15">
        <v>63.838947296142578</v>
      </c>
      <c r="D627" s="15">
        <v>125.1800003051758</v>
      </c>
      <c r="E627" s="15">
        <v>159.66560363769531</v>
      </c>
      <c r="F627" s="15">
        <v>123.9267654418945</v>
      </c>
      <c r="H627" s="16">
        <f t="shared" si="28"/>
        <v>2.5318771899425253E-3</v>
      </c>
      <c r="I627" s="16">
        <f t="shared" si="28"/>
        <v>3.7853612242774243E-4</v>
      </c>
      <c r="J627" s="16">
        <f t="shared" si="28"/>
        <v>1.0726720619182182E-2</v>
      </c>
      <c r="K627" s="16">
        <f t="shared" si="29"/>
        <v>4.2212629045968696E-3</v>
      </c>
      <c r="L627" s="16">
        <f t="shared" si="30"/>
        <v>3.6410760848423034E-3</v>
      </c>
    </row>
    <row r="628" spans="1:12" x14ac:dyDescent="0.35">
      <c r="A628" s="18">
        <v>43165</v>
      </c>
      <c r="B628" s="15">
        <v>242.2169189453125</v>
      </c>
      <c r="C628" s="15">
        <v>63.863117218017578</v>
      </c>
      <c r="D628" s="15">
        <v>126.5299987792969</v>
      </c>
      <c r="E628" s="15">
        <v>160.34101867675781</v>
      </c>
      <c r="F628" s="15">
        <v>124.3788146972656</v>
      </c>
      <c r="H628" s="16">
        <f t="shared" si="28"/>
        <v>-3.6651710150820279E-4</v>
      </c>
      <c r="I628" s="16">
        <f t="shared" si="28"/>
        <v>-2.5228174574308429E-4</v>
      </c>
      <c r="J628" s="16">
        <f t="shared" si="28"/>
        <v>-6.4222029145696328E-3</v>
      </c>
      <c r="K628" s="16">
        <f t="shared" si="29"/>
        <v>2.3113492105621162E-3</v>
      </c>
      <c r="L628" s="16">
        <f t="shared" si="30"/>
        <v>8.5489787068541447E-4</v>
      </c>
    </row>
    <row r="629" spans="1:12" x14ac:dyDescent="0.35">
      <c r="A629" s="18">
        <v>43166</v>
      </c>
      <c r="B629" s="15">
        <v>242.12815856933591</v>
      </c>
      <c r="C629" s="15">
        <v>63.847007751464837</v>
      </c>
      <c r="D629" s="15">
        <v>125.7200012207031</v>
      </c>
      <c r="E629" s="15">
        <v>160.71205139160159</v>
      </c>
      <c r="F629" s="15">
        <v>124.4851913452148</v>
      </c>
      <c r="H629" s="16">
        <f t="shared" si="28"/>
        <v>4.8275310457682845E-3</v>
      </c>
      <c r="I629" s="16">
        <f t="shared" si="28"/>
        <v>1.133364505731152E-3</v>
      </c>
      <c r="J629" s="16">
        <f t="shared" si="28"/>
        <v>-2.389131123572725E-3</v>
      </c>
      <c r="K629" s="16">
        <f t="shared" si="29"/>
        <v>5.4903750293578846E-3</v>
      </c>
      <c r="L629" s="16">
        <f t="shared" si="30"/>
        <v>3.7672896713187836E-3</v>
      </c>
    </row>
    <row r="630" spans="1:12" x14ac:dyDescent="0.35">
      <c r="A630" s="18">
        <v>43167</v>
      </c>
      <c r="B630" s="15">
        <v>243.29986572265619</v>
      </c>
      <c r="C630" s="15">
        <v>63.919410705566413</v>
      </c>
      <c r="D630" s="15">
        <v>125.4199981689453</v>
      </c>
      <c r="E630" s="15">
        <v>161.59684753417969</v>
      </c>
      <c r="F630" s="15">
        <v>124.9550476074219</v>
      </c>
      <c r="H630" s="16">
        <f t="shared" si="28"/>
        <v>1.725243325211678E-2</v>
      </c>
      <c r="I630" s="16">
        <f t="shared" si="28"/>
        <v>-1.2596188824159364E-3</v>
      </c>
      <c r="J630" s="16">
        <f t="shared" si="28"/>
        <v>9.5634966660850321E-4</v>
      </c>
      <c r="K630" s="16">
        <f t="shared" si="29"/>
        <v>1.9241546291235808E-2</v>
      </c>
      <c r="L630" s="16">
        <f t="shared" si="30"/>
        <v>1.6463810547256329E-2</v>
      </c>
    </row>
    <row r="631" spans="1:12" x14ac:dyDescent="0.35">
      <c r="A631" s="18">
        <v>43168</v>
      </c>
      <c r="B631" s="15">
        <v>247.53379821777341</v>
      </c>
      <c r="C631" s="15">
        <v>63.838947296142578</v>
      </c>
      <c r="D631" s="15">
        <v>125.5400009155273</v>
      </c>
      <c r="E631" s="15">
        <v>164.736328125</v>
      </c>
      <c r="F631" s="15">
        <v>127.02931213378911</v>
      </c>
      <c r="H631" s="16">
        <f t="shared" si="28"/>
        <v>-1.2556597543526991E-3</v>
      </c>
      <c r="I631" s="16">
        <f t="shared" si="28"/>
        <v>1.0077981272050083E-3</v>
      </c>
      <c r="J631" s="16">
        <f t="shared" si="28"/>
        <v>0</v>
      </c>
      <c r="K631" s="16">
        <f t="shared" si="29"/>
        <v>5.2988438497606292E-3</v>
      </c>
      <c r="L631" s="16">
        <f t="shared" si="30"/>
        <v>-5.5811414384023125E-4</v>
      </c>
    </row>
    <row r="632" spans="1:12" x14ac:dyDescent="0.35">
      <c r="A632" s="18">
        <v>43171</v>
      </c>
      <c r="B632" s="15">
        <v>247.2231750488281</v>
      </c>
      <c r="C632" s="15">
        <v>63.903316497802727</v>
      </c>
      <c r="D632" s="15">
        <v>125.5400009155273</v>
      </c>
      <c r="E632" s="15">
        <v>165.61155700683591</v>
      </c>
      <c r="F632" s="15">
        <v>126.95843505859381</v>
      </c>
      <c r="H632" s="16">
        <f t="shared" si="28"/>
        <v>-6.4836250961028885E-3</v>
      </c>
      <c r="I632" s="16">
        <f t="shared" si="28"/>
        <v>2.5182075521101215E-4</v>
      </c>
      <c r="J632" s="16">
        <f t="shared" si="28"/>
        <v>1.9098992281924672E-3</v>
      </c>
      <c r="K632" s="16">
        <f t="shared" si="29"/>
        <v>-1.3707818446384603E-2</v>
      </c>
      <c r="L632" s="16">
        <f t="shared" si="30"/>
        <v>-6.2333700242707974E-3</v>
      </c>
    </row>
    <row r="633" spans="1:12" x14ac:dyDescent="0.35">
      <c r="A633" s="18">
        <v>43172</v>
      </c>
      <c r="B633" s="15">
        <v>245.6254577636719</v>
      </c>
      <c r="C633" s="15">
        <v>63.919410705566413</v>
      </c>
      <c r="D633" s="15">
        <v>125.7799987792969</v>
      </c>
      <c r="E633" s="15">
        <v>163.35687255859381</v>
      </c>
      <c r="F633" s="15">
        <v>126.1695175170898</v>
      </c>
      <c r="H633" s="16">
        <f t="shared" si="28"/>
        <v>-5.1450643955761252E-3</v>
      </c>
      <c r="I633" s="16">
        <f t="shared" si="28"/>
        <v>2.1386643573202226E-3</v>
      </c>
      <c r="J633" s="16">
        <f t="shared" si="28"/>
        <v>-6.3624809219567369E-4</v>
      </c>
      <c r="K633" s="16">
        <f t="shared" si="29"/>
        <v>-1.7515476836861584E-4</v>
      </c>
      <c r="L633" s="16">
        <f t="shared" si="30"/>
        <v>-5.0717698565128644E-3</v>
      </c>
    </row>
    <row r="634" spans="1:12" x14ac:dyDescent="0.35">
      <c r="A634" s="18">
        <v>43173</v>
      </c>
      <c r="B634" s="15">
        <v>244.36494445800781</v>
      </c>
      <c r="C634" s="15">
        <v>64.056259155273438</v>
      </c>
      <c r="D634" s="15">
        <v>125.6999969482422</v>
      </c>
      <c r="E634" s="15">
        <v>163.32826232910159</v>
      </c>
      <c r="F634" s="15">
        <v>125.53123474121089</v>
      </c>
      <c r="H634" s="16">
        <f t="shared" si="28"/>
        <v>-1.0902179116341884E-3</v>
      </c>
      <c r="I634" s="16">
        <f t="shared" si="28"/>
        <v>1.262428972182282E-4</v>
      </c>
      <c r="J634" s="16">
        <f t="shared" si="28"/>
        <v>-6.3846619697598122E-3</v>
      </c>
      <c r="K634" s="16">
        <f t="shared" si="29"/>
        <v>-8.738966793468317E-4</v>
      </c>
      <c r="L634" s="16">
        <f t="shared" si="30"/>
        <v>-1.3426109044230418E-3</v>
      </c>
    </row>
    <row r="635" spans="1:12" x14ac:dyDescent="0.35">
      <c r="A635" s="18">
        <v>43174</v>
      </c>
      <c r="B635" s="15">
        <v>244.09867858886719</v>
      </c>
      <c r="C635" s="15">
        <v>64.064346313476563</v>
      </c>
      <c r="D635" s="15">
        <v>124.90000152587891</v>
      </c>
      <c r="E635" s="15">
        <v>163.18559265136719</v>
      </c>
      <c r="F635" s="15">
        <v>125.36280822753911</v>
      </c>
      <c r="H635" s="16">
        <f t="shared" si="28"/>
        <v>1.0837238573466032E-3</v>
      </c>
      <c r="I635" s="16">
        <f t="shared" si="28"/>
        <v>-8.8069769526801899E-4</v>
      </c>
      <c r="J635" s="16">
        <f t="shared" si="28"/>
        <v>-2.4048352412031218E-3</v>
      </c>
      <c r="K635" s="16">
        <f t="shared" si="29"/>
        <v>-2.9777244403264096E-3</v>
      </c>
      <c r="L635" s="16">
        <f t="shared" si="30"/>
        <v>1.6959051643561493E-3</v>
      </c>
    </row>
    <row r="636" spans="1:12" x14ac:dyDescent="0.35">
      <c r="A636" s="18">
        <v>43175</v>
      </c>
      <c r="B636" s="15">
        <v>244.36335754394531</v>
      </c>
      <c r="C636" s="15">
        <v>64.007949829101563</v>
      </c>
      <c r="D636" s="15">
        <v>124.59999847412109</v>
      </c>
      <c r="E636" s="15">
        <v>162.70039367675781</v>
      </c>
      <c r="F636" s="15">
        <v>125.5755920410156</v>
      </c>
      <c r="H636" s="16">
        <f t="shared" si="28"/>
        <v>-1.3622712835313491E-2</v>
      </c>
      <c r="I636" s="16">
        <f t="shared" si="28"/>
        <v>-7.5448764971875804E-4</v>
      </c>
      <c r="J636" s="16">
        <f t="shared" si="28"/>
        <v>2.1646240154513659E-3</v>
      </c>
      <c r="K636" s="16">
        <f t="shared" si="29"/>
        <v>-2.1566991712923044E-2</v>
      </c>
      <c r="L636" s="16">
        <f t="shared" si="30"/>
        <v>-1.2931130194579034E-2</v>
      </c>
    </row>
    <row r="637" spans="1:12" x14ac:dyDescent="0.35">
      <c r="A637" s="18">
        <v>43178</v>
      </c>
      <c r="B637" s="15">
        <v>241.0570373535156</v>
      </c>
      <c r="C637" s="15">
        <v>63.959674835205078</v>
      </c>
      <c r="D637" s="15">
        <v>124.870002746582</v>
      </c>
      <c r="E637" s="15">
        <v>159.22900390625</v>
      </c>
      <c r="F637" s="15">
        <v>123.9622116088867</v>
      </c>
      <c r="H637" s="16">
        <f t="shared" si="28"/>
        <v>1.6991598795370643E-3</v>
      </c>
      <c r="I637" s="16">
        <f t="shared" si="28"/>
        <v>-1.258646271161782E-3</v>
      </c>
      <c r="J637" s="16">
        <f t="shared" si="28"/>
        <v>-4.4947919586215109E-3</v>
      </c>
      <c r="K637" s="16">
        <f t="shared" si="29"/>
        <v>3.2859452828373392E-3</v>
      </c>
      <c r="L637" s="16">
        <f t="shared" si="30"/>
        <v>1.5005991373804805E-3</v>
      </c>
    </row>
    <row r="638" spans="1:12" x14ac:dyDescent="0.35">
      <c r="A638" s="18">
        <v>43179</v>
      </c>
      <c r="B638" s="15">
        <v>241.46697998046881</v>
      </c>
      <c r="C638" s="15">
        <v>63.879222869873047</v>
      </c>
      <c r="D638" s="15">
        <v>124.30999755859381</v>
      </c>
      <c r="E638" s="15">
        <v>159.7530822753906</v>
      </c>
      <c r="F638" s="15">
        <v>124.1483688354492</v>
      </c>
      <c r="H638" s="16">
        <f t="shared" si="28"/>
        <v>-1.9208592893456616E-3</v>
      </c>
      <c r="I638" s="16">
        <f t="shared" si="28"/>
        <v>0</v>
      </c>
      <c r="J638" s="16">
        <f t="shared" si="28"/>
        <v>1.7305793278473564E-2</v>
      </c>
      <c r="K638" s="16">
        <f t="shared" si="29"/>
        <v>-4.3638379375547376E-3</v>
      </c>
      <c r="L638" s="16">
        <f t="shared" si="30"/>
        <v>-8.5715675144748267E-4</v>
      </c>
    </row>
    <row r="639" spans="1:12" x14ac:dyDescent="0.35">
      <c r="A639" s="18">
        <v>43180</v>
      </c>
      <c r="B639" s="15">
        <v>241.00360107421881</v>
      </c>
      <c r="C639" s="15">
        <v>63.879222869873047</v>
      </c>
      <c r="D639" s="15">
        <v>126.48000335693359</v>
      </c>
      <c r="E639" s="15">
        <v>159.0574645996094</v>
      </c>
      <c r="F639" s="15">
        <v>124.0419998168945</v>
      </c>
      <c r="H639" s="16">
        <f t="shared" si="28"/>
        <v>-2.5314996218079661E-2</v>
      </c>
      <c r="I639" s="16">
        <f t="shared" si="28"/>
        <v>1.6355737241866939E-3</v>
      </c>
      <c r="J639" s="16">
        <f t="shared" si="28"/>
        <v>-3.9610286020946425E-3</v>
      </c>
      <c r="K639" s="16">
        <f t="shared" si="29"/>
        <v>-2.4991813427787082E-2</v>
      </c>
      <c r="L639" s="16">
        <f t="shared" si="30"/>
        <v>-2.4801801890192432E-2</v>
      </c>
    </row>
    <row r="640" spans="1:12" x14ac:dyDescent="0.35">
      <c r="A640" s="18">
        <v>43181</v>
      </c>
      <c r="B640" s="15">
        <v>234.97917175292969</v>
      </c>
      <c r="C640" s="15">
        <v>63.983787536621087</v>
      </c>
      <c r="D640" s="15">
        <v>125.98000335693359</v>
      </c>
      <c r="E640" s="15">
        <v>155.131591796875</v>
      </c>
      <c r="F640" s="15">
        <v>121.0033721923828</v>
      </c>
      <c r="H640" s="16">
        <f t="shared" si="28"/>
        <v>-2.154508898707759E-2</v>
      </c>
      <c r="I640" s="16">
        <f t="shared" si="28"/>
        <v>2.5221934226853082E-4</v>
      </c>
      <c r="J640" s="16">
        <f t="shared" si="28"/>
        <v>1.2855551688487529E-2</v>
      </c>
      <c r="K640" s="16">
        <f t="shared" si="29"/>
        <v>-2.6705135531373006E-2</v>
      </c>
      <c r="L640" s="16">
        <f t="shared" si="30"/>
        <v>-2.1186590017522659E-2</v>
      </c>
    </row>
    <row r="641" spans="1:12" x14ac:dyDescent="0.35">
      <c r="A641" s="18">
        <v>43182</v>
      </c>
      <c r="B641" s="15">
        <v>229.9706726074219</v>
      </c>
      <c r="C641" s="15">
        <v>63.999927520751953</v>
      </c>
      <c r="D641" s="15">
        <v>127.61000061035161</v>
      </c>
      <c r="E641" s="15">
        <v>151.0436096191406</v>
      </c>
      <c r="F641" s="15">
        <v>118.46669006347661</v>
      </c>
      <c r="H641" s="16">
        <f t="shared" si="28"/>
        <v>2.699160713567245E-2</v>
      </c>
      <c r="I641" s="16">
        <f t="shared" si="28"/>
        <v>-6.2914679529328969E-4</v>
      </c>
      <c r="J641" s="16">
        <f t="shared" si="28"/>
        <v>5.2366227801974559E-3</v>
      </c>
      <c r="K641" s="16">
        <f t="shared" si="29"/>
        <v>3.6484826905209655E-2</v>
      </c>
      <c r="L641" s="16">
        <f t="shared" si="30"/>
        <v>2.6029274803047339E-2</v>
      </c>
    </row>
    <row r="642" spans="1:12" x14ac:dyDescent="0.35">
      <c r="A642" s="18">
        <v>43185</v>
      </c>
      <c r="B642" s="15">
        <v>236.2624816894531</v>
      </c>
      <c r="C642" s="15">
        <v>63.959674835205078</v>
      </c>
      <c r="D642" s="15">
        <v>128.2799987792969</v>
      </c>
      <c r="E642" s="15">
        <v>156.65617370605469</v>
      </c>
      <c r="F642" s="15">
        <v>121.5907745361328</v>
      </c>
      <c r="H642" s="16">
        <f t="shared" si="28"/>
        <v>-1.7158059585519941E-2</v>
      </c>
      <c r="I642" s="16">
        <f t="shared" si="28"/>
        <v>3.3912852494149162E-3</v>
      </c>
      <c r="J642" s="16">
        <f t="shared" si="28"/>
        <v>-6.1774519150597619E-3</v>
      </c>
      <c r="K642" s="16">
        <f t="shared" si="29"/>
        <v>-3.2895182758403384E-2</v>
      </c>
      <c r="L642" s="16">
        <f t="shared" si="30"/>
        <v>-1.7873626362800772E-2</v>
      </c>
    </row>
    <row r="643" spans="1:12" x14ac:dyDescent="0.35">
      <c r="A643" s="18">
        <v>43186</v>
      </c>
      <c r="B643" s="15">
        <v>232.2432556152344</v>
      </c>
      <c r="C643" s="15">
        <v>64.176948547363281</v>
      </c>
      <c r="D643" s="15">
        <v>127.4899978637695</v>
      </c>
      <c r="E643" s="15">
        <v>151.58677673339841</v>
      </c>
      <c r="F643" s="15">
        <v>119.4368133544922</v>
      </c>
      <c r="H643" s="16">
        <f t="shared" si="28"/>
        <v>-2.9590472082661108E-3</v>
      </c>
      <c r="I643" s="16">
        <f t="shared" si="28"/>
        <v>-1.2518911389417452E-4</v>
      </c>
      <c r="J643" s="16">
        <f t="shared" si="28"/>
        <v>-1.3901136089334598E-2</v>
      </c>
      <c r="K643" s="16">
        <f t="shared" si="29"/>
        <v>-1.157055724773637E-2</v>
      </c>
      <c r="L643" s="16">
        <f t="shared" si="30"/>
        <v>-2.3126312648521731E-3</v>
      </c>
    </row>
    <row r="644" spans="1:12" x14ac:dyDescent="0.35">
      <c r="A644" s="18">
        <v>43187</v>
      </c>
      <c r="B644" s="15">
        <v>231.55705261230469</v>
      </c>
      <c r="C644" s="15">
        <v>64.168914794921875</v>
      </c>
      <c r="D644" s="15">
        <v>125.73000335693359</v>
      </c>
      <c r="E644" s="15">
        <v>149.84294128417969</v>
      </c>
      <c r="F644" s="15">
        <v>119.1609191894531</v>
      </c>
      <c r="H644" s="16">
        <f t="shared" ref="H644:J707" si="31">LN(B645/B644)</f>
        <v>1.2696446585102418E-2</v>
      </c>
      <c r="I644" s="16">
        <f t="shared" si="31"/>
        <v>2.5055533052576614E-3</v>
      </c>
      <c r="J644" s="16">
        <f t="shared" si="31"/>
        <v>4.7707982436818476E-4</v>
      </c>
      <c r="K644" s="16">
        <f t="shared" ref="K644:K707" si="32">LN(E645/E644)</f>
        <v>1.8149074548687385E-2</v>
      </c>
      <c r="L644" s="16">
        <f t="shared" ref="L644:L707" si="33">LN(F645/F644)</f>
        <v>1.3650163829316888E-2</v>
      </c>
    </row>
    <row r="645" spans="1:12" x14ac:dyDescent="0.35">
      <c r="A645" s="18">
        <v>43188</v>
      </c>
      <c r="B645" s="15">
        <v>234.5157470703125</v>
      </c>
      <c r="C645" s="15">
        <v>64.32989501953125</v>
      </c>
      <c r="D645" s="15">
        <v>125.7900009155273</v>
      </c>
      <c r="E645" s="15">
        <v>152.5872802734375</v>
      </c>
      <c r="F645" s="15">
        <v>120.7986373901367</v>
      </c>
      <c r="H645" s="16">
        <f t="shared" si="31"/>
        <v>-2.1820984518313616E-2</v>
      </c>
      <c r="I645" s="16">
        <f t="shared" si="31"/>
        <v>-1.2560313092101501E-4</v>
      </c>
      <c r="J645" s="16">
        <f t="shared" si="31"/>
        <v>1.1618397461991748E-2</v>
      </c>
      <c r="K645" s="16">
        <f t="shared" si="32"/>
        <v>-2.9276006100798141E-2</v>
      </c>
      <c r="L645" s="16">
        <f t="shared" si="33"/>
        <v>-2.3030869912694665E-2</v>
      </c>
    </row>
    <row r="646" spans="1:12" x14ac:dyDescent="0.35">
      <c r="A646" s="18">
        <v>43192</v>
      </c>
      <c r="B646" s="15">
        <v>229.45381164550781</v>
      </c>
      <c r="C646" s="15">
        <v>64.321815490722656</v>
      </c>
      <c r="D646" s="15">
        <v>127.2600021362305</v>
      </c>
      <c r="E646" s="15">
        <v>148.18489074707031</v>
      </c>
      <c r="F646" s="15">
        <v>118.0483322143555</v>
      </c>
      <c r="H646" s="16">
        <f t="shared" si="31"/>
        <v>1.2735593841604441E-2</v>
      </c>
      <c r="I646" s="16">
        <f t="shared" si="31"/>
        <v>-1.1293574651494646E-3</v>
      </c>
      <c r="J646" s="16">
        <f t="shared" si="31"/>
        <v>-7.5722010717780182E-3</v>
      </c>
      <c r="K646" s="16">
        <f t="shared" si="32"/>
        <v>1.119067627995469E-2</v>
      </c>
      <c r="L646" s="16">
        <f t="shared" si="33"/>
        <v>1.2364087715936257E-2</v>
      </c>
    </row>
    <row r="647" spans="1:12" x14ac:dyDescent="0.35">
      <c r="A647" s="18">
        <v>43193</v>
      </c>
      <c r="B647" s="15">
        <v>232.39472961425781</v>
      </c>
      <c r="C647" s="15">
        <v>64.249214172363281</v>
      </c>
      <c r="D647" s="15">
        <v>126.3000030517578</v>
      </c>
      <c r="E647" s="15">
        <v>149.85249328613281</v>
      </c>
      <c r="F647" s="15">
        <v>119.51695251464839</v>
      </c>
      <c r="H647" s="16">
        <f t="shared" si="31"/>
        <v>1.0642096984551605E-2</v>
      </c>
      <c r="I647" s="16">
        <f t="shared" si="31"/>
        <v>0</v>
      </c>
      <c r="J647" s="16">
        <f t="shared" si="31"/>
        <v>1.1868954626523271E-3</v>
      </c>
      <c r="K647" s="16">
        <f t="shared" si="32"/>
        <v>1.5647350623169132E-2</v>
      </c>
      <c r="L647" s="16">
        <f t="shared" si="33"/>
        <v>1.1182144578251124E-2</v>
      </c>
    </row>
    <row r="648" spans="1:12" x14ac:dyDescent="0.35">
      <c r="A648" s="18">
        <v>43194</v>
      </c>
      <c r="B648" s="15">
        <v>234.881103515625</v>
      </c>
      <c r="C648" s="15">
        <v>64.249214172363281</v>
      </c>
      <c r="D648" s="15">
        <v>126.4499969482422</v>
      </c>
      <c r="E648" s="15">
        <v>152.2157287597656</v>
      </c>
      <c r="F648" s="15">
        <v>120.8609085083008</v>
      </c>
      <c r="H648" s="16">
        <f t="shared" si="31"/>
        <v>7.8612220324180693E-3</v>
      </c>
      <c r="I648" s="16">
        <f t="shared" si="31"/>
        <v>-1.3825754117971665E-3</v>
      </c>
      <c r="J648" s="16">
        <f t="shared" si="31"/>
        <v>-5.1535804567211917E-3</v>
      </c>
      <c r="K648" s="16">
        <f t="shared" si="32"/>
        <v>5.6803300828344979E-3</v>
      </c>
      <c r="L648" s="16">
        <f t="shared" si="33"/>
        <v>6.9717668401473388E-3</v>
      </c>
    </row>
    <row r="649" spans="1:12" x14ac:dyDescent="0.35">
      <c r="A649" s="18">
        <v>43195</v>
      </c>
      <c r="B649" s="15">
        <v>236.7348327636719</v>
      </c>
      <c r="C649" s="15">
        <v>64.160446166992188</v>
      </c>
      <c r="D649" s="15">
        <v>125.8000030517578</v>
      </c>
      <c r="E649" s="15">
        <v>153.08282470703119</v>
      </c>
      <c r="F649" s="15">
        <v>121.7064666748047</v>
      </c>
      <c r="H649" s="16">
        <f t="shared" si="31"/>
        <v>-2.2537981154681558E-2</v>
      </c>
      <c r="I649" s="16">
        <f t="shared" si="31"/>
        <v>2.5119328769465672E-3</v>
      </c>
      <c r="J649" s="16">
        <f t="shared" si="31"/>
        <v>4.6789913047757719E-3</v>
      </c>
      <c r="K649" s="16">
        <f t="shared" si="32"/>
        <v>-2.534194536913258E-2</v>
      </c>
      <c r="L649" s="16">
        <f t="shared" si="33"/>
        <v>-2.1211886098695402E-2</v>
      </c>
    </row>
    <row r="650" spans="1:12" x14ac:dyDescent="0.35">
      <c r="A650" s="18">
        <v>43196</v>
      </c>
      <c r="B650" s="15">
        <v>231.458984375</v>
      </c>
      <c r="C650" s="15">
        <v>64.321815490722656</v>
      </c>
      <c r="D650" s="15">
        <v>126.38999938964839</v>
      </c>
      <c r="E650" s="15">
        <v>149.25215148925781</v>
      </c>
      <c r="F650" s="15">
        <v>119.1520309448242</v>
      </c>
      <c r="H650" s="16">
        <f t="shared" si="31"/>
        <v>4.9163354023954589E-3</v>
      </c>
      <c r="I650" s="16">
        <f t="shared" si="31"/>
        <v>1.002843172060725E-3</v>
      </c>
      <c r="J650" s="16">
        <f t="shared" si="31"/>
        <v>3.3963960355942956E-3</v>
      </c>
      <c r="K650" s="16">
        <f t="shared" si="32"/>
        <v>6.9983830423616085E-3</v>
      </c>
      <c r="L650" s="16">
        <f t="shared" si="33"/>
        <v>3.3555941575181989E-3</v>
      </c>
    </row>
    <row r="651" spans="1:12" x14ac:dyDescent="0.35">
      <c r="A651" s="18">
        <v>43199</v>
      </c>
      <c r="B651" s="15">
        <v>232.59971618652341</v>
      </c>
      <c r="C651" s="15">
        <v>64.3863525390625</v>
      </c>
      <c r="D651" s="15">
        <v>126.8199996948242</v>
      </c>
      <c r="E651" s="15">
        <v>150.30033874511719</v>
      </c>
      <c r="F651" s="15">
        <v>119.5525283813477</v>
      </c>
      <c r="H651" s="16">
        <f t="shared" si="31"/>
        <v>1.5775363741832769E-2</v>
      </c>
      <c r="I651" s="16">
        <f t="shared" si="31"/>
        <v>-1.7553690102379018E-3</v>
      </c>
      <c r="J651" s="16">
        <f t="shared" si="31"/>
        <v>2.362787969159084E-3</v>
      </c>
      <c r="K651" s="16">
        <f t="shared" si="32"/>
        <v>2.1823195180031771E-2</v>
      </c>
      <c r="L651" s="16">
        <f t="shared" si="33"/>
        <v>1.6099580826753196E-2</v>
      </c>
    </row>
    <row r="652" spans="1:12" x14ac:dyDescent="0.35">
      <c r="A652" s="18">
        <v>43200</v>
      </c>
      <c r="B652" s="15">
        <v>236.29815673828119</v>
      </c>
      <c r="C652" s="15">
        <v>64.273429870605469</v>
      </c>
      <c r="D652" s="15">
        <v>127.120002746582</v>
      </c>
      <c r="E652" s="15">
        <v>153.6164245605469</v>
      </c>
      <c r="F652" s="15">
        <v>121.4928512573242</v>
      </c>
      <c r="H652" s="16">
        <f t="shared" si="31"/>
        <v>-5.2562548246863653E-3</v>
      </c>
      <c r="I652" s="16">
        <f t="shared" si="31"/>
        <v>7.5252583817710713E-4</v>
      </c>
      <c r="J652" s="16">
        <f t="shared" si="31"/>
        <v>7.7577307979448352E-3</v>
      </c>
      <c r="K652" s="16">
        <f t="shared" si="32"/>
        <v>-5.7852188908345007E-3</v>
      </c>
      <c r="L652" s="16">
        <f t="shared" si="33"/>
        <v>-4.6260797446660744E-3</v>
      </c>
    </row>
    <row r="653" spans="1:12" x14ac:dyDescent="0.35">
      <c r="A653" s="18">
        <v>43201</v>
      </c>
      <c r="B653" s="15">
        <v>235.05937194824219</v>
      </c>
      <c r="C653" s="15">
        <v>64.321815490722656</v>
      </c>
      <c r="D653" s="15">
        <v>128.11000061035159</v>
      </c>
      <c r="E653" s="15">
        <v>152.73028564453119</v>
      </c>
      <c r="F653" s="15">
        <v>120.93211364746089</v>
      </c>
      <c r="H653" s="16">
        <f t="shared" si="31"/>
        <v>8.1935545878792319E-3</v>
      </c>
      <c r="I653" s="16">
        <f t="shared" si="31"/>
        <v>-1.8830904837074814E-3</v>
      </c>
      <c r="J653" s="16">
        <f t="shared" si="31"/>
        <v>-1.1698777825105863E-2</v>
      </c>
      <c r="K653" s="16">
        <f t="shared" si="32"/>
        <v>1.1969442559707066E-2</v>
      </c>
      <c r="L653" s="16">
        <f t="shared" si="33"/>
        <v>8.0636416363436599E-3</v>
      </c>
    </row>
    <row r="654" spans="1:12" x14ac:dyDescent="0.35">
      <c r="A654" s="18">
        <v>43202</v>
      </c>
      <c r="B654" s="15">
        <v>236.9932556152344</v>
      </c>
      <c r="C654" s="15">
        <v>64.2008056640625</v>
      </c>
      <c r="D654" s="15">
        <v>126.620002746582</v>
      </c>
      <c r="E654" s="15">
        <v>154.5693664550781</v>
      </c>
      <c r="F654" s="15">
        <v>121.9112091064453</v>
      </c>
      <c r="H654" s="16">
        <f t="shared" si="31"/>
        <v>-2.9372997631928566E-3</v>
      </c>
      <c r="I654" s="16">
        <f t="shared" si="31"/>
        <v>7.5373301855794308E-4</v>
      </c>
      <c r="J654" s="16">
        <f t="shared" si="31"/>
        <v>6.5336100698647707E-3</v>
      </c>
      <c r="K654" s="16">
        <f t="shared" si="32"/>
        <v>-5.1919082974554599E-3</v>
      </c>
      <c r="L654" s="16">
        <f t="shared" si="33"/>
        <v>-2.851334759279556E-3</v>
      </c>
    </row>
    <row r="655" spans="1:12" x14ac:dyDescent="0.35">
      <c r="A655" s="18">
        <v>43203</v>
      </c>
      <c r="B655" s="15">
        <v>236.29815673828119</v>
      </c>
      <c r="C655" s="15">
        <v>64.249214172363281</v>
      </c>
      <c r="D655" s="15">
        <v>127.4499969482422</v>
      </c>
      <c r="E655" s="15">
        <v>153.76893615722659</v>
      </c>
      <c r="F655" s="15">
        <v>121.564094543457</v>
      </c>
      <c r="H655" s="16">
        <f t="shared" si="31"/>
        <v>8.1880512165350312E-3</v>
      </c>
      <c r="I655" s="16">
        <f t="shared" si="31"/>
        <v>1.2574505296169324E-4</v>
      </c>
      <c r="J655" s="16">
        <f t="shared" si="31"/>
        <v>1.4113245973425364E-3</v>
      </c>
      <c r="K655" s="16">
        <f t="shared" si="32"/>
        <v>7.5933011642003063E-3</v>
      </c>
      <c r="L655" s="16">
        <f t="shared" si="33"/>
        <v>8.3119725282632187E-3</v>
      </c>
    </row>
    <row r="656" spans="1:12" x14ac:dyDescent="0.35">
      <c r="A656" s="18">
        <v>43206</v>
      </c>
      <c r="B656" s="15">
        <v>238.24092102050781</v>
      </c>
      <c r="C656" s="15">
        <v>64.257293701171875</v>
      </c>
      <c r="D656" s="15">
        <v>127.629997253418</v>
      </c>
      <c r="E656" s="15">
        <v>154.94099426269531</v>
      </c>
      <c r="F656" s="15">
        <v>122.578742980957</v>
      </c>
      <c r="H656" s="16">
        <f t="shared" si="31"/>
        <v>1.0641707670929566E-2</v>
      </c>
      <c r="I656" s="16">
        <f t="shared" si="31"/>
        <v>3.7630950511590718E-4</v>
      </c>
      <c r="J656" s="16">
        <f t="shared" si="31"/>
        <v>9.3979760909249619E-4</v>
      </c>
      <c r="K656" s="16">
        <f t="shared" si="32"/>
        <v>2.1296759681562347E-2</v>
      </c>
      <c r="L656" s="16">
        <f t="shared" si="33"/>
        <v>1.0473360942115997E-2</v>
      </c>
    </row>
    <row r="657" spans="1:12" x14ac:dyDescent="0.35">
      <c r="A657" s="18">
        <v>43207</v>
      </c>
      <c r="B657" s="15">
        <v>240.78974914550781</v>
      </c>
      <c r="C657" s="15">
        <v>64.281478881835938</v>
      </c>
      <c r="D657" s="15">
        <v>127.75</v>
      </c>
      <c r="E657" s="15">
        <v>158.276123046875</v>
      </c>
      <c r="F657" s="15">
        <v>123.8693008422852</v>
      </c>
      <c r="H657" s="16">
        <f t="shared" si="31"/>
        <v>7.39758390319236E-4</v>
      </c>
      <c r="I657" s="16">
        <f t="shared" si="31"/>
        <v>-3.2685241637568172E-3</v>
      </c>
      <c r="J657" s="16">
        <f t="shared" si="31"/>
        <v>7.8246071846648912E-4</v>
      </c>
      <c r="K657" s="16">
        <f t="shared" si="32"/>
        <v>2.0448029930437597E-3</v>
      </c>
      <c r="L657" s="16">
        <f t="shared" si="33"/>
        <v>1.3645697334501398E-3</v>
      </c>
    </row>
    <row r="658" spans="1:12" x14ac:dyDescent="0.35">
      <c r="A658" s="18">
        <v>43208</v>
      </c>
      <c r="B658" s="15">
        <v>240.96794128417969</v>
      </c>
      <c r="C658" s="15">
        <v>64.07171630859375</v>
      </c>
      <c r="D658" s="15">
        <v>127.84999847412109</v>
      </c>
      <c r="E658" s="15">
        <v>158.60009765625</v>
      </c>
      <c r="F658" s="15">
        <v>124.038444519043</v>
      </c>
      <c r="H658" s="16">
        <f t="shared" si="31"/>
        <v>-5.5627193608049005E-3</v>
      </c>
      <c r="I658" s="16">
        <f t="shared" si="31"/>
        <v>-2.3957564190600225E-3</v>
      </c>
      <c r="J658" s="16">
        <f t="shared" si="31"/>
        <v>-1.957330849889553E-3</v>
      </c>
      <c r="K658" s="16">
        <f t="shared" si="32"/>
        <v>-9.2349154221267066E-3</v>
      </c>
      <c r="L658" s="16">
        <f t="shared" si="33"/>
        <v>-5.4683737157432029E-3</v>
      </c>
    </row>
    <row r="659" spans="1:12" x14ac:dyDescent="0.35">
      <c r="A659" s="18">
        <v>43209</v>
      </c>
      <c r="B659" s="15">
        <v>239.6312255859375</v>
      </c>
      <c r="C659" s="15">
        <v>63.918399810791023</v>
      </c>
      <c r="D659" s="15">
        <v>127.59999847412109</v>
      </c>
      <c r="E659" s="15">
        <v>157.1421813964844</v>
      </c>
      <c r="F659" s="15">
        <v>123.3620071411133</v>
      </c>
      <c r="H659" s="16">
        <f t="shared" si="31"/>
        <v>-8.5155225345783913E-3</v>
      </c>
      <c r="I659" s="16">
        <f t="shared" si="31"/>
        <v>-2.5279862829661339E-3</v>
      </c>
      <c r="J659" s="16">
        <f t="shared" si="31"/>
        <v>-7.6309321796946671E-3</v>
      </c>
      <c r="K659" s="16">
        <f t="shared" si="32"/>
        <v>-1.5953694415273372E-2</v>
      </c>
      <c r="L659" s="16">
        <f t="shared" si="33"/>
        <v>-7.9683057094557929E-3</v>
      </c>
    </row>
    <row r="660" spans="1:12" x14ac:dyDescent="0.35">
      <c r="A660" s="18">
        <v>43210</v>
      </c>
      <c r="B660" s="15">
        <v>237.59930419921881</v>
      </c>
      <c r="C660" s="15">
        <v>63.75701904296875</v>
      </c>
      <c r="D660" s="15">
        <v>126.629997253418</v>
      </c>
      <c r="E660" s="15">
        <v>154.65507507324219</v>
      </c>
      <c r="F660" s="15">
        <v>122.382926940918</v>
      </c>
      <c r="H660" s="16">
        <f t="shared" si="31"/>
        <v>-1.502876855945526E-4</v>
      </c>
      <c r="I660" s="16">
        <f t="shared" si="31"/>
        <v>-5.0630518596084533E-4</v>
      </c>
      <c r="J660" s="16">
        <f t="shared" si="31"/>
        <v>-8.0079278822520663E-3</v>
      </c>
      <c r="K660" s="16">
        <f t="shared" si="32"/>
        <v>-2.5292738770062674E-3</v>
      </c>
      <c r="L660" s="16">
        <f t="shared" si="33"/>
        <v>-3.6369739294186569E-4</v>
      </c>
    </row>
    <row r="661" spans="1:12" x14ac:dyDescent="0.35">
      <c r="A661" s="18">
        <v>43213</v>
      </c>
      <c r="B661" s="15">
        <v>237.5635986328125</v>
      </c>
      <c r="C661" s="15">
        <v>63.724746704101563</v>
      </c>
      <c r="D661" s="15">
        <v>125.620002746582</v>
      </c>
      <c r="E661" s="15">
        <v>154.264404296875</v>
      </c>
      <c r="F661" s="15">
        <v>122.3384246826172</v>
      </c>
      <c r="H661" s="16">
        <f t="shared" si="31"/>
        <v>-1.3559004324649737E-2</v>
      </c>
      <c r="I661" s="16">
        <f t="shared" si="31"/>
        <v>-1.7738497234072593E-3</v>
      </c>
      <c r="J661" s="16">
        <f t="shared" si="31"/>
        <v>4.8441674681118374E-3</v>
      </c>
      <c r="K661" s="16">
        <f t="shared" si="32"/>
        <v>-2.1414882384326109E-2</v>
      </c>
      <c r="L661" s="16">
        <f t="shared" si="33"/>
        <v>-1.2076892119390595E-2</v>
      </c>
    </row>
    <row r="662" spans="1:12" x14ac:dyDescent="0.35">
      <c r="A662" s="18">
        <v>43214</v>
      </c>
      <c r="B662" s="15">
        <v>234.36421203613281</v>
      </c>
      <c r="C662" s="15">
        <v>63.611808776855469</v>
      </c>
      <c r="D662" s="15">
        <v>126.23000335693359</v>
      </c>
      <c r="E662" s="15">
        <v>150.9959716796875</v>
      </c>
      <c r="F662" s="15">
        <v>120.8698425292969</v>
      </c>
      <c r="H662" s="16">
        <f t="shared" si="31"/>
        <v>2.468808550686194E-3</v>
      </c>
      <c r="I662" s="16">
        <f t="shared" si="31"/>
        <v>-1.3966790311851537E-3</v>
      </c>
      <c r="J662" s="16">
        <f t="shared" si="31"/>
        <v>-6.5172673215021975E-3</v>
      </c>
      <c r="K662" s="16">
        <f t="shared" si="32"/>
        <v>1.1981898507946445E-3</v>
      </c>
      <c r="L662" s="16">
        <f t="shared" si="33"/>
        <v>1.1041295068994752E-3</v>
      </c>
    </row>
    <row r="663" spans="1:12" x14ac:dyDescent="0.35">
      <c r="A663" s="18">
        <v>43215</v>
      </c>
      <c r="B663" s="15">
        <v>234.94352722167969</v>
      </c>
      <c r="C663" s="15">
        <v>63.523025512695313</v>
      </c>
      <c r="D663" s="15">
        <v>125.4100036621094</v>
      </c>
      <c r="E663" s="15">
        <v>151.177001953125</v>
      </c>
      <c r="F663" s="15">
        <v>121.0033721923828</v>
      </c>
      <c r="H663" s="16">
        <f t="shared" si="31"/>
        <v>1.0114382215262062E-2</v>
      </c>
      <c r="I663" s="16">
        <f t="shared" si="31"/>
        <v>2.0304638844881981E-3</v>
      </c>
      <c r="J663" s="16">
        <f t="shared" si="31"/>
        <v>-3.5146807713922058E-3</v>
      </c>
      <c r="K663" s="16">
        <f t="shared" si="32"/>
        <v>2.0834412594678567E-2</v>
      </c>
      <c r="L663" s="16">
        <f t="shared" si="33"/>
        <v>9.4439498542501256E-3</v>
      </c>
    </row>
    <row r="664" spans="1:12" x14ac:dyDescent="0.35">
      <c r="A664" s="18">
        <v>43216</v>
      </c>
      <c r="B664" s="15">
        <v>237.33189392089841</v>
      </c>
      <c r="C664" s="15">
        <v>63.652137756347663</v>
      </c>
      <c r="D664" s="15">
        <v>124.9700012207031</v>
      </c>
      <c r="E664" s="15">
        <v>154.35972595214841</v>
      </c>
      <c r="F664" s="15">
        <v>122.1515350341797</v>
      </c>
      <c r="H664" s="16">
        <f t="shared" si="31"/>
        <v>9.3849503886802026E-4</v>
      </c>
      <c r="I664" s="16">
        <f t="shared" si="31"/>
        <v>1.5199374686241198E-3</v>
      </c>
      <c r="J664" s="16">
        <f t="shared" si="31"/>
        <v>4.2320403061773208E-3</v>
      </c>
      <c r="K664" s="16">
        <f t="shared" si="32"/>
        <v>6.1694355401634377E-4</v>
      </c>
      <c r="L664" s="16">
        <f t="shared" si="33"/>
        <v>6.5516176356272739E-4</v>
      </c>
    </row>
    <row r="665" spans="1:12" x14ac:dyDescent="0.35">
      <c r="A665" s="18">
        <v>43217</v>
      </c>
      <c r="B665" s="15">
        <v>237.55473327636719</v>
      </c>
      <c r="C665" s="15">
        <v>63.748958587646477</v>
      </c>
      <c r="D665" s="15">
        <v>125.5</v>
      </c>
      <c r="E665" s="15">
        <v>154.4549865722656</v>
      </c>
      <c r="F665" s="15">
        <v>122.23159027099609</v>
      </c>
      <c r="H665" s="16">
        <f t="shared" si="31"/>
        <v>-7.720374550540786E-3</v>
      </c>
      <c r="I665" s="16">
        <f t="shared" si="31"/>
        <v>5.0641198506992191E-4</v>
      </c>
      <c r="J665" s="16">
        <f t="shared" si="31"/>
        <v>-7.2774416543523734E-3</v>
      </c>
      <c r="K665" s="16">
        <f t="shared" si="32"/>
        <v>-7.1199749508083542E-3</v>
      </c>
      <c r="L665" s="16">
        <f t="shared" si="33"/>
        <v>-7.308144318881004E-3</v>
      </c>
    </row>
    <row r="666" spans="1:12" x14ac:dyDescent="0.35">
      <c r="A666" s="18">
        <v>43220</v>
      </c>
      <c r="B666" s="15">
        <v>235.727783203125</v>
      </c>
      <c r="C666" s="15">
        <v>63.78125</v>
      </c>
      <c r="D666" s="15">
        <v>124.5899963378906</v>
      </c>
      <c r="E666" s="15">
        <v>153.35917663574219</v>
      </c>
      <c r="F666" s="15">
        <v>121.3415603637695</v>
      </c>
      <c r="H666" s="16">
        <f t="shared" si="31"/>
        <v>1.7752122455218032E-3</v>
      </c>
      <c r="I666" s="16">
        <f t="shared" si="31"/>
        <v>-1.5482192858128076E-3</v>
      </c>
      <c r="J666" s="16">
        <f t="shared" si="31"/>
        <v>-7.0882074433385196E-3</v>
      </c>
      <c r="K666" s="16">
        <f t="shared" si="32"/>
        <v>1.136785151302616E-2</v>
      </c>
      <c r="L666" s="16">
        <f t="shared" si="33"/>
        <v>1.5393238767626256E-3</v>
      </c>
    </row>
    <row r="667" spans="1:12" x14ac:dyDescent="0.35">
      <c r="A667" s="18">
        <v>43221</v>
      </c>
      <c r="B667" s="15">
        <v>236.14662170410159</v>
      </c>
      <c r="C667" s="15">
        <v>63.682579040527337</v>
      </c>
      <c r="D667" s="15">
        <v>123.7099990844727</v>
      </c>
      <c r="E667" s="15">
        <v>155.11248779296881</v>
      </c>
      <c r="F667" s="15">
        <v>121.5284881591797</v>
      </c>
      <c r="H667" s="16">
        <f t="shared" si="31"/>
        <v>-6.7401811739194184E-3</v>
      </c>
      <c r="I667" s="16">
        <f t="shared" si="31"/>
        <v>1.2698362515316348E-4</v>
      </c>
      <c r="J667" s="16">
        <f t="shared" si="31"/>
        <v>-4.8510316641595667E-4</v>
      </c>
      <c r="K667" s="16">
        <f t="shared" si="32"/>
        <v>-5.9149833549688767E-3</v>
      </c>
      <c r="L667" s="16">
        <f t="shared" si="33"/>
        <v>-5.802861217392089E-3</v>
      </c>
    </row>
    <row r="668" spans="1:12" x14ac:dyDescent="0.35">
      <c r="A668" s="18">
        <v>43222</v>
      </c>
      <c r="B668" s="15">
        <v>234.560302734375</v>
      </c>
      <c r="C668" s="15">
        <v>63.690666198730469</v>
      </c>
      <c r="D668" s="15">
        <v>123.65000152587891</v>
      </c>
      <c r="E668" s="15">
        <v>154.19770812988281</v>
      </c>
      <c r="F668" s="15">
        <v>120.8253173828125</v>
      </c>
      <c r="H668" s="16">
        <f t="shared" si="31"/>
        <v>-2.2062886000125191E-3</v>
      </c>
      <c r="I668" s="16">
        <f t="shared" si="31"/>
        <v>8.8813496220951004E-4</v>
      </c>
      <c r="J668" s="16">
        <f t="shared" si="31"/>
        <v>5.0820683949143195E-3</v>
      </c>
      <c r="K668" s="16">
        <f t="shared" si="32"/>
        <v>-1.2350471970975433E-4</v>
      </c>
      <c r="L668" s="16">
        <f t="shared" si="33"/>
        <v>-2.7290156647842849E-3</v>
      </c>
    </row>
    <row r="669" spans="1:12" x14ac:dyDescent="0.35">
      <c r="A669" s="18">
        <v>43223</v>
      </c>
      <c r="B669" s="15">
        <v>234.0433654785156</v>
      </c>
      <c r="C669" s="15">
        <v>63.747257232666023</v>
      </c>
      <c r="D669" s="15">
        <v>124.2799987792969</v>
      </c>
      <c r="E669" s="15">
        <v>154.17866516113281</v>
      </c>
      <c r="F669" s="15">
        <v>120.49603271484381</v>
      </c>
      <c r="H669" s="16">
        <f t="shared" si="31"/>
        <v>1.2863676860270349E-2</v>
      </c>
      <c r="I669" s="16">
        <f t="shared" si="31"/>
        <v>6.3417291930300645E-4</v>
      </c>
      <c r="J669" s="16">
        <f t="shared" si="31"/>
        <v>2.0898820929310066E-3</v>
      </c>
      <c r="K669" s="16">
        <f t="shared" si="32"/>
        <v>1.8796423589778028E-2</v>
      </c>
      <c r="L669" s="16">
        <f t="shared" si="33"/>
        <v>1.2843622473399758E-2</v>
      </c>
    </row>
    <row r="670" spans="1:12" x14ac:dyDescent="0.35">
      <c r="A670" s="18">
        <v>43224</v>
      </c>
      <c r="B670" s="15">
        <v>237.07347106933591</v>
      </c>
      <c r="C670" s="15">
        <v>63.787696838378913</v>
      </c>
      <c r="D670" s="15">
        <v>124.5400009155273</v>
      </c>
      <c r="E670" s="15">
        <v>157.10408020019531</v>
      </c>
      <c r="F670" s="15">
        <v>122.0536193847656</v>
      </c>
      <c r="H670" s="16">
        <f t="shared" si="31"/>
        <v>3.3774089807860137E-3</v>
      </c>
      <c r="I670" s="16">
        <f t="shared" si="31"/>
        <v>-5.0731812401279416E-4</v>
      </c>
      <c r="J670" s="16">
        <f t="shared" si="31"/>
        <v>2.4084765259045434E-4</v>
      </c>
      <c r="K670" s="16">
        <f t="shared" si="32"/>
        <v>8.2753214818463965E-3</v>
      </c>
      <c r="L670" s="16">
        <f t="shared" si="33"/>
        <v>4.3658043211633624E-3</v>
      </c>
    </row>
    <row r="671" spans="1:12" x14ac:dyDescent="0.35">
      <c r="A671" s="18">
        <v>43227</v>
      </c>
      <c r="B671" s="15">
        <v>237.8755187988281</v>
      </c>
      <c r="C671" s="15">
        <v>63.755344390869141</v>
      </c>
      <c r="D671" s="15">
        <v>124.5699996948242</v>
      </c>
      <c r="E671" s="15">
        <v>158.40956115722659</v>
      </c>
      <c r="F671" s="15">
        <v>122.587646484375</v>
      </c>
      <c r="H671" s="16">
        <f t="shared" si="31"/>
        <v>0</v>
      </c>
      <c r="I671" s="16">
        <f t="shared" si="31"/>
        <v>-7.6107087148126126E-4</v>
      </c>
      <c r="J671" s="16">
        <f t="shared" si="31"/>
        <v>1.6051246931872131E-4</v>
      </c>
      <c r="K671" s="16">
        <f t="shared" si="32"/>
        <v>-1.0233978692154335E-3</v>
      </c>
      <c r="L671" s="16">
        <f t="shared" si="33"/>
        <v>3.6283369967553915E-4</v>
      </c>
    </row>
    <row r="672" spans="1:12" x14ac:dyDescent="0.35">
      <c r="A672" s="18">
        <v>43228</v>
      </c>
      <c r="B672" s="15">
        <v>237.8755187988281</v>
      </c>
      <c r="C672" s="15">
        <v>63.706840515136719</v>
      </c>
      <c r="D672" s="15">
        <v>124.5899963378906</v>
      </c>
      <c r="E672" s="15">
        <v>158.2475280761719</v>
      </c>
      <c r="F672" s="15">
        <v>122.6321334838867</v>
      </c>
      <c r="H672" s="16">
        <f t="shared" si="31"/>
        <v>9.6194409679241834E-3</v>
      </c>
      <c r="I672" s="16">
        <f t="shared" si="31"/>
        <v>-1.1432030176159022E-3</v>
      </c>
      <c r="J672" s="16">
        <f t="shared" si="31"/>
        <v>-2.0889812252637943E-3</v>
      </c>
      <c r="K672" s="16">
        <f t="shared" si="32"/>
        <v>1.0839981680858269E-2</v>
      </c>
      <c r="L672" s="16">
        <f t="shared" si="33"/>
        <v>9.3911514943212596E-3</v>
      </c>
    </row>
    <row r="673" spans="1:12" x14ac:dyDescent="0.35">
      <c r="A673" s="18">
        <v>43229</v>
      </c>
      <c r="B673" s="15">
        <v>240.17478942871091</v>
      </c>
      <c r="C673" s="15">
        <v>63.634052276611328</v>
      </c>
      <c r="D673" s="15">
        <v>124.3300018310547</v>
      </c>
      <c r="E673" s="15">
        <v>159.9722595214844</v>
      </c>
      <c r="F673" s="15">
        <v>123.7892150878906</v>
      </c>
      <c r="H673" s="16">
        <f t="shared" si="31"/>
        <v>9.3070699020762222E-3</v>
      </c>
      <c r="I673" s="16">
        <f t="shared" si="31"/>
        <v>2.031292071624639E-3</v>
      </c>
      <c r="J673" s="16">
        <f t="shared" si="31"/>
        <v>6.8133682422287659E-3</v>
      </c>
      <c r="K673" s="16">
        <f t="shared" si="32"/>
        <v>1.0311268531766997E-2</v>
      </c>
      <c r="L673" s="16">
        <f t="shared" si="33"/>
        <v>8.6623052570203689E-3</v>
      </c>
    </row>
    <row r="674" spans="1:12" x14ac:dyDescent="0.35">
      <c r="A674" s="18">
        <v>43230</v>
      </c>
      <c r="B674" s="15">
        <v>242.42054748535159</v>
      </c>
      <c r="C674" s="15">
        <v>63.763442993164063</v>
      </c>
      <c r="D674" s="15">
        <v>125.1800003051758</v>
      </c>
      <c r="E674" s="15">
        <v>161.63031005859381</v>
      </c>
      <c r="F674" s="15">
        <v>124.8661727905273</v>
      </c>
      <c r="H674" s="16">
        <f t="shared" si="31"/>
        <v>3.0470410287802038E-3</v>
      </c>
      <c r="I674" s="16">
        <f t="shared" si="31"/>
        <v>1.0143697660063861E-3</v>
      </c>
      <c r="J674" s="16">
        <f t="shared" si="31"/>
        <v>-1.4389666321500925E-3</v>
      </c>
      <c r="K674" s="16">
        <f t="shared" si="32"/>
        <v>-9.4383936520550497E-4</v>
      </c>
      <c r="L674" s="16">
        <f t="shared" si="33"/>
        <v>1.9938001296973809E-3</v>
      </c>
    </row>
    <row r="675" spans="1:12" x14ac:dyDescent="0.35">
      <c r="A675" s="18">
        <v>43231</v>
      </c>
      <c r="B675" s="15">
        <v>243.16033935546881</v>
      </c>
      <c r="C675" s="15">
        <v>63.828155517578118</v>
      </c>
      <c r="D675" s="15">
        <v>125</v>
      </c>
      <c r="E675" s="15">
        <v>161.47782897949219</v>
      </c>
      <c r="F675" s="15">
        <v>125.11537933349609</v>
      </c>
      <c r="H675" s="16">
        <f t="shared" si="31"/>
        <v>4.7579769157030523E-4</v>
      </c>
      <c r="I675" s="16">
        <f t="shared" si="31"/>
        <v>-1.268242743824119E-3</v>
      </c>
      <c r="J675" s="16">
        <f t="shared" si="31"/>
        <v>-4.0883630684628632E-3</v>
      </c>
      <c r="K675" s="16">
        <f t="shared" si="32"/>
        <v>1.7097409667415472E-3</v>
      </c>
      <c r="L675" s="16">
        <f t="shared" si="33"/>
        <v>4.9789046847104686E-4</v>
      </c>
    </row>
    <row r="676" spans="1:12" x14ac:dyDescent="0.35">
      <c r="A676" s="18">
        <v>43234</v>
      </c>
      <c r="B676" s="15">
        <v>243.27606201171881</v>
      </c>
      <c r="C676" s="15">
        <v>63.747257232666023</v>
      </c>
      <c r="D676" s="15">
        <v>124.4899978637695</v>
      </c>
      <c r="E676" s="15">
        <v>161.754150390625</v>
      </c>
      <c r="F676" s="15">
        <v>125.1776885986328</v>
      </c>
      <c r="H676" s="16">
        <f t="shared" si="31"/>
        <v>-6.9105859386019769E-3</v>
      </c>
      <c r="I676" s="16">
        <f t="shared" si="31"/>
        <v>-4.7041344808745455E-3</v>
      </c>
      <c r="J676" s="16">
        <f t="shared" si="31"/>
        <v>-1.627759547639596E-2</v>
      </c>
      <c r="K676" s="16">
        <f t="shared" si="32"/>
        <v>-1.113697767037755E-2</v>
      </c>
      <c r="L676" s="16">
        <f t="shared" si="33"/>
        <v>-6.0616851905576944E-3</v>
      </c>
    </row>
    <row r="677" spans="1:12" x14ac:dyDescent="0.35">
      <c r="A677" s="18">
        <v>43235</v>
      </c>
      <c r="B677" s="15">
        <v>241.6006774902344</v>
      </c>
      <c r="C677" s="15">
        <v>63.448085784912109</v>
      </c>
      <c r="D677" s="15">
        <v>122.48000335693359</v>
      </c>
      <c r="E677" s="15">
        <v>159.96269226074219</v>
      </c>
      <c r="F677" s="15">
        <v>124.4211959838867</v>
      </c>
      <c r="H677" s="16">
        <f t="shared" si="31"/>
        <v>4.1960551345046259E-3</v>
      </c>
      <c r="I677" s="16">
        <f t="shared" si="31"/>
        <v>-7.656002698728713E-4</v>
      </c>
      <c r="J677" s="16">
        <f t="shared" si="31"/>
        <v>-1.5524980696374471E-3</v>
      </c>
      <c r="K677" s="16">
        <f t="shared" si="32"/>
        <v>6.5906461004776231E-3</v>
      </c>
      <c r="L677" s="16">
        <f t="shared" si="33"/>
        <v>4.8521010444723209E-3</v>
      </c>
    </row>
    <row r="678" spans="1:12" x14ac:dyDescent="0.35">
      <c r="A678" s="18">
        <v>43236</v>
      </c>
      <c r="B678" s="15">
        <v>242.6165771484375</v>
      </c>
      <c r="C678" s="15">
        <v>63.399528503417969</v>
      </c>
      <c r="D678" s="15">
        <v>122.2900009155273</v>
      </c>
      <c r="E678" s="15">
        <v>161.02043151855469</v>
      </c>
      <c r="F678" s="15">
        <v>125.0263671875</v>
      </c>
      <c r="H678" s="16">
        <f t="shared" si="31"/>
        <v>-8.4468990040246507E-4</v>
      </c>
      <c r="I678" s="16">
        <f t="shared" si="31"/>
        <v>-8.9288786453423151E-4</v>
      </c>
      <c r="J678" s="16">
        <f t="shared" si="31"/>
        <v>5.7224358306083762E-4</v>
      </c>
      <c r="K678" s="16">
        <f t="shared" si="32"/>
        <v>-3.8541346015942514E-3</v>
      </c>
      <c r="L678" s="16">
        <f t="shared" si="33"/>
        <v>2.8487246567154156E-4</v>
      </c>
    </row>
    <row r="679" spans="1:12" x14ac:dyDescent="0.35">
      <c r="A679" s="18">
        <v>43237</v>
      </c>
      <c r="B679" s="15">
        <v>242.41172790527341</v>
      </c>
      <c r="C679" s="15">
        <v>63.342945098876953</v>
      </c>
      <c r="D679" s="15">
        <v>122.36000061035161</v>
      </c>
      <c r="E679" s="15">
        <v>160.4010314941406</v>
      </c>
      <c r="F679" s="15">
        <v>125.06198883056641</v>
      </c>
      <c r="H679" s="16">
        <f t="shared" si="31"/>
        <v>-2.503209886306704E-3</v>
      </c>
      <c r="I679" s="16">
        <f t="shared" si="31"/>
        <v>2.6772964536656619E-3</v>
      </c>
      <c r="J679" s="16">
        <f t="shared" si="31"/>
        <v>4.085717333053639E-4</v>
      </c>
      <c r="K679" s="16">
        <f t="shared" si="32"/>
        <v>-5.1816648844490035E-3</v>
      </c>
      <c r="L679" s="16">
        <f t="shared" si="33"/>
        <v>-2.2088630842886097E-3</v>
      </c>
    </row>
    <row r="680" spans="1:12" x14ac:dyDescent="0.35">
      <c r="A680" s="18">
        <v>43238</v>
      </c>
      <c r="B680" s="15">
        <v>241.80567932128909</v>
      </c>
      <c r="C680" s="15">
        <v>63.512760162353523</v>
      </c>
      <c r="D680" s="15">
        <v>122.4100036621094</v>
      </c>
      <c r="E680" s="15">
        <v>159.57203674316409</v>
      </c>
      <c r="F680" s="15">
        <v>124.7860488891602</v>
      </c>
      <c r="H680" s="16">
        <f t="shared" si="31"/>
        <v>7.4902205859934488E-3</v>
      </c>
      <c r="I680" s="16">
        <f t="shared" si="31"/>
        <v>0</v>
      </c>
      <c r="J680" s="16">
        <f t="shared" si="31"/>
        <v>5.7168275327129767E-4</v>
      </c>
      <c r="K680" s="16">
        <f t="shared" si="32"/>
        <v>5.5976725691858379E-3</v>
      </c>
      <c r="L680" s="16">
        <f t="shared" si="33"/>
        <v>7.4615359069232197E-3</v>
      </c>
    </row>
    <row r="681" spans="1:12" x14ac:dyDescent="0.35">
      <c r="A681" s="18">
        <v>43241</v>
      </c>
      <c r="B681" s="15">
        <v>243.6236572265625</v>
      </c>
      <c r="C681" s="15">
        <v>63.512760162353523</v>
      </c>
      <c r="D681" s="15">
        <v>122.48000335693359</v>
      </c>
      <c r="E681" s="15">
        <v>160.4677734375</v>
      </c>
      <c r="F681" s="15">
        <v>125.7206268310547</v>
      </c>
      <c r="H681" s="16">
        <f t="shared" si="31"/>
        <v>-2.7839458911149066E-3</v>
      </c>
      <c r="I681" s="16">
        <f t="shared" si="31"/>
        <v>2.5426976970339119E-4</v>
      </c>
      <c r="J681" s="16">
        <f t="shared" si="31"/>
        <v>-5.7168275327135589E-4</v>
      </c>
      <c r="K681" s="16">
        <f t="shared" si="32"/>
        <v>-1.3072878032047886E-3</v>
      </c>
      <c r="L681" s="16">
        <f t="shared" si="33"/>
        <v>-3.6883282153515715E-3</v>
      </c>
    </row>
    <row r="682" spans="1:12" x14ac:dyDescent="0.35">
      <c r="A682" s="18">
        <v>43242</v>
      </c>
      <c r="B682" s="15">
        <v>242.94636535644531</v>
      </c>
      <c r="C682" s="15">
        <v>63.528911590576172</v>
      </c>
      <c r="D682" s="15">
        <v>122.4100036621094</v>
      </c>
      <c r="E682" s="15">
        <v>160.25813293457031</v>
      </c>
      <c r="F682" s="15">
        <v>125.2577819824219</v>
      </c>
      <c r="H682" s="16">
        <f t="shared" si="31"/>
        <v>2.7476183090181386E-3</v>
      </c>
      <c r="I682" s="16">
        <f t="shared" si="31"/>
        <v>3.0503954246184337E-3</v>
      </c>
      <c r="J682" s="16">
        <f t="shared" si="31"/>
        <v>1.0614187645903062E-3</v>
      </c>
      <c r="K682" s="16">
        <f t="shared" si="32"/>
        <v>8.4079252757752066E-3</v>
      </c>
      <c r="L682" s="16">
        <f t="shared" si="33"/>
        <v>2.6257710712460336E-3</v>
      </c>
    </row>
    <row r="683" spans="1:12" x14ac:dyDescent="0.35">
      <c r="A683" s="18">
        <v>43243</v>
      </c>
      <c r="B683" s="15">
        <v>243.61480712890619</v>
      </c>
      <c r="C683" s="15">
        <v>63.722995758056641</v>
      </c>
      <c r="D683" s="15">
        <v>122.5400009155273</v>
      </c>
      <c r="E683" s="15">
        <v>161.61125183105469</v>
      </c>
      <c r="F683" s="15">
        <v>125.5871124267578</v>
      </c>
      <c r="H683" s="16">
        <f t="shared" si="31"/>
        <v>-2.0510147395221509E-3</v>
      </c>
      <c r="I683" s="16">
        <f t="shared" si="31"/>
        <v>2.0283999596549199E-3</v>
      </c>
      <c r="J683" s="16">
        <f t="shared" si="31"/>
        <v>8.5320912017683801E-3</v>
      </c>
      <c r="K683" s="16">
        <f t="shared" si="32"/>
        <v>-2.9500104701359742E-4</v>
      </c>
      <c r="L683" s="16">
        <f t="shared" si="33"/>
        <v>-1.6312474437346603E-3</v>
      </c>
    </row>
    <row r="684" spans="1:12" x14ac:dyDescent="0.35">
      <c r="A684" s="18">
        <v>43244</v>
      </c>
      <c r="B684" s="15">
        <v>243.11566162109381</v>
      </c>
      <c r="C684" s="15">
        <v>63.852382659912109</v>
      </c>
      <c r="D684" s="15">
        <v>123.5899963378906</v>
      </c>
      <c r="E684" s="15">
        <v>161.56358337402341</v>
      </c>
      <c r="F684" s="15">
        <v>125.3824157714844</v>
      </c>
      <c r="H684" s="16">
        <f t="shared" si="31"/>
        <v>-2.3854708419534685E-3</v>
      </c>
      <c r="I684" s="16">
        <f t="shared" si="31"/>
        <v>2.1511010430796109E-3</v>
      </c>
      <c r="J684" s="16">
        <f t="shared" si="31"/>
        <v>-3.0793967645775327E-3</v>
      </c>
      <c r="K684" s="16">
        <f t="shared" si="32"/>
        <v>1.0024977379544282E-3</v>
      </c>
      <c r="L684" s="16">
        <f t="shared" si="33"/>
        <v>-1.9185827818590515E-3</v>
      </c>
    </row>
    <row r="685" spans="1:12" x14ac:dyDescent="0.35">
      <c r="A685" s="18">
        <v>43245</v>
      </c>
      <c r="B685" s="15">
        <v>242.5364074707031</v>
      </c>
      <c r="C685" s="15">
        <v>63.989883422851563</v>
      </c>
      <c r="D685" s="15">
        <v>123.2099990844727</v>
      </c>
      <c r="E685" s="15">
        <v>161.72563171386719</v>
      </c>
      <c r="F685" s="15">
        <v>125.14208984375</v>
      </c>
      <c r="H685" s="16">
        <f t="shared" si="31"/>
        <v>-1.1567530015763539E-2</v>
      </c>
      <c r="I685" s="16">
        <f t="shared" si="31"/>
        <v>6.926243071009028E-3</v>
      </c>
      <c r="J685" s="16">
        <f t="shared" si="31"/>
        <v>-1.6231041385207442E-4</v>
      </c>
      <c r="K685" s="16">
        <f t="shared" si="32"/>
        <v>-4.4291411454343383E-3</v>
      </c>
      <c r="L685" s="16">
        <f t="shared" si="33"/>
        <v>-9.9353547029768039E-3</v>
      </c>
    </row>
    <row r="686" spans="1:12" x14ac:dyDescent="0.35">
      <c r="A686" s="18">
        <v>43249</v>
      </c>
      <c r="B686" s="15">
        <v>239.74702453613281</v>
      </c>
      <c r="C686" s="15">
        <v>64.43463134765625</v>
      </c>
      <c r="D686" s="15">
        <v>123.19000244140619</v>
      </c>
      <c r="E686" s="15">
        <v>161.01091003417969</v>
      </c>
      <c r="F686" s="15">
        <v>123.904914855957</v>
      </c>
      <c r="H686" s="16">
        <f t="shared" si="31"/>
        <v>1.3256397288221046E-2</v>
      </c>
      <c r="I686" s="16">
        <f t="shared" si="31"/>
        <v>-3.0167738301183607E-3</v>
      </c>
      <c r="J686" s="16">
        <f t="shared" si="31"/>
        <v>1.4600935542381859E-3</v>
      </c>
      <c r="K686" s="16">
        <f t="shared" si="32"/>
        <v>7.1354864232032406E-3</v>
      </c>
      <c r="L686" s="16">
        <f t="shared" si="33"/>
        <v>1.2846865131782162E-2</v>
      </c>
    </row>
    <row r="687" spans="1:12" x14ac:dyDescent="0.35">
      <c r="A687" s="18">
        <v>43250</v>
      </c>
      <c r="B687" s="15">
        <v>242.94636535644531</v>
      </c>
      <c r="C687" s="15">
        <v>64.24053955078125</v>
      </c>
      <c r="D687" s="15">
        <v>123.370002746582</v>
      </c>
      <c r="E687" s="15">
        <v>162.1639099121094</v>
      </c>
      <c r="F687" s="15">
        <v>125.50697326660161</v>
      </c>
      <c r="H687" s="16">
        <f t="shared" si="31"/>
        <v>-6.1449334176691848E-3</v>
      </c>
      <c r="I687" s="16">
        <f t="shared" si="31"/>
        <v>-3.7761863497168485E-4</v>
      </c>
      <c r="J687" s="16">
        <f t="shared" si="31"/>
        <v>-2.1909715513722377E-3</v>
      </c>
      <c r="K687" s="16">
        <f t="shared" si="32"/>
        <v>-6.4654650282815554E-4</v>
      </c>
      <c r="L687" s="16">
        <f t="shared" si="33"/>
        <v>-6.902178988862433E-3</v>
      </c>
    </row>
    <row r="688" spans="1:12" x14ac:dyDescent="0.35">
      <c r="A688" s="18">
        <v>43251</v>
      </c>
      <c r="B688" s="15">
        <v>241.45805358886719</v>
      </c>
      <c r="C688" s="15">
        <v>64.216285705566406</v>
      </c>
      <c r="D688" s="15">
        <v>123.09999847412109</v>
      </c>
      <c r="E688" s="15">
        <v>162.05909729003909</v>
      </c>
      <c r="F688" s="15">
        <v>124.643684387207</v>
      </c>
      <c r="H688" s="16">
        <f t="shared" si="31"/>
        <v>9.7700573631943829E-3</v>
      </c>
      <c r="I688" s="16">
        <f t="shared" si="31"/>
        <v>6.1974692840621639E-4</v>
      </c>
      <c r="J688" s="16">
        <f t="shared" si="31"/>
        <v>-4.9676442354117797E-3</v>
      </c>
      <c r="K688" s="16">
        <f t="shared" si="32"/>
        <v>1.5577745512366601E-2</v>
      </c>
      <c r="L688" s="16">
        <f t="shared" si="33"/>
        <v>1.0371499589778815E-2</v>
      </c>
    </row>
    <row r="689" spans="1:12" x14ac:dyDescent="0.35">
      <c r="A689" s="18">
        <v>43252</v>
      </c>
      <c r="B689" s="15">
        <v>243.82867431640619</v>
      </c>
      <c r="C689" s="15">
        <v>64.256095886230469</v>
      </c>
      <c r="D689" s="15">
        <v>122.4899978637695</v>
      </c>
      <c r="E689" s="15">
        <v>164.60337829589841</v>
      </c>
      <c r="F689" s="15">
        <v>125.9431533813477</v>
      </c>
      <c r="H689" s="16">
        <f t="shared" si="31"/>
        <v>4.7400691016298013E-3</v>
      </c>
      <c r="I689" s="16">
        <f t="shared" si="31"/>
        <v>-2.1522341011561488E-3</v>
      </c>
      <c r="J689" s="16">
        <f t="shared" si="31"/>
        <v>-9.8011211708075112E-4</v>
      </c>
      <c r="K689" s="16">
        <f t="shared" si="32"/>
        <v>8.9902407880544342E-3</v>
      </c>
      <c r="L689" s="16">
        <f t="shared" si="33"/>
        <v>4.6536671019896609E-3</v>
      </c>
    </row>
    <row r="690" spans="1:12" x14ac:dyDescent="0.35">
      <c r="A690" s="18">
        <v>43255</v>
      </c>
      <c r="B690" s="15">
        <v>244.9871826171875</v>
      </c>
      <c r="C690" s="15">
        <v>64.117950439453125</v>
      </c>
      <c r="D690" s="15">
        <v>122.370002746582</v>
      </c>
      <c r="E690" s="15">
        <v>166.0898742675781</v>
      </c>
      <c r="F690" s="15">
        <v>126.53061676025391</v>
      </c>
      <c r="H690" s="16">
        <f t="shared" si="31"/>
        <v>7.2746194337358465E-4</v>
      </c>
      <c r="I690" s="16">
        <f t="shared" si="31"/>
        <v>8.8703384358760598E-4</v>
      </c>
      <c r="J690" s="16">
        <f t="shared" si="31"/>
        <v>3.9148221040480671E-3</v>
      </c>
      <c r="K690" s="16">
        <f t="shared" si="32"/>
        <v>3.0930906614103654E-3</v>
      </c>
      <c r="L690" s="16">
        <f t="shared" si="33"/>
        <v>1.4759413023531555E-3</v>
      </c>
    </row>
    <row r="691" spans="1:12" x14ac:dyDescent="0.35">
      <c r="A691" s="18">
        <v>43256</v>
      </c>
      <c r="B691" s="15">
        <v>245.16546630859381</v>
      </c>
      <c r="C691" s="15">
        <v>64.174850463867188</v>
      </c>
      <c r="D691" s="15">
        <v>122.84999847412109</v>
      </c>
      <c r="E691" s="15">
        <v>166.6044006347656</v>
      </c>
      <c r="F691" s="15">
        <v>126.71750640869141</v>
      </c>
      <c r="H691" s="16">
        <f t="shared" si="31"/>
        <v>8.3254036058517129E-3</v>
      </c>
      <c r="I691" s="16">
        <f t="shared" si="31"/>
        <v>-2.7889330252703643E-3</v>
      </c>
      <c r="J691" s="16">
        <f t="shared" si="31"/>
        <v>5.6963581945021339E-4</v>
      </c>
      <c r="K691" s="16">
        <f t="shared" si="32"/>
        <v>5.8172274354027905E-3</v>
      </c>
      <c r="L691" s="16">
        <f t="shared" si="33"/>
        <v>8.8113854494139329E-3</v>
      </c>
    </row>
    <row r="692" spans="1:12" x14ac:dyDescent="0.35">
      <c r="A692" s="18">
        <v>43257</v>
      </c>
      <c r="B692" s="15">
        <v>247.215087890625</v>
      </c>
      <c r="C692" s="15">
        <v>63.996120452880859</v>
      </c>
      <c r="D692" s="15">
        <v>122.9199981689453</v>
      </c>
      <c r="E692" s="15">
        <v>167.57640075683591</v>
      </c>
      <c r="F692" s="15">
        <v>127.838996887207</v>
      </c>
      <c r="H692" s="16">
        <f t="shared" si="31"/>
        <v>-1.0795887462522041E-4</v>
      </c>
      <c r="I692" s="16">
        <f t="shared" si="31"/>
        <v>2.5354391603192158E-3</v>
      </c>
      <c r="J692" s="16">
        <f t="shared" si="31"/>
        <v>-4.8822166232756638E-4</v>
      </c>
      <c r="K692" s="16">
        <f t="shared" si="32"/>
        <v>-8.1646981202461878E-3</v>
      </c>
      <c r="L692" s="16">
        <f t="shared" si="33"/>
        <v>-1.4635815382153838E-3</v>
      </c>
    </row>
    <row r="693" spans="1:12" x14ac:dyDescent="0.35">
      <c r="A693" s="18">
        <v>43258</v>
      </c>
      <c r="B693" s="15">
        <v>247.18840026855469</v>
      </c>
      <c r="C693" s="15">
        <v>64.158584594726563</v>
      </c>
      <c r="D693" s="15">
        <v>122.86000061035161</v>
      </c>
      <c r="E693" s="15">
        <v>166.21376037597659</v>
      </c>
      <c r="F693" s="15">
        <v>127.6520309448242</v>
      </c>
      <c r="H693" s="16">
        <f t="shared" si="31"/>
        <v>2.9518594404340645E-3</v>
      </c>
      <c r="I693" s="16">
        <f t="shared" si="31"/>
        <v>-1.2666481268316738E-3</v>
      </c>
      <c r="J693" s="16">
        <f t="shared" si="31"/>
        <v>1.2201695433651676E-3</v>
      </c>
      <c r="K693" s="16">
        <f t="shared" si="32"/>
        <v>5.7191135866699383E-5</v>
      </c>
      <c r="L693" s="16">
        <f t="shared" si="33"/>
        <v>3.4111216464618112E-3</v>
      </c>
    </row>
    <row r="694" spans="1:12" x14ac:dyDescent="0.35">
      <c r="A694" s="18">
        <v>43259</v>
      </c>
      <c r="B694" s="15">
        <v>247.91914367675781</v>
      </c>
      <c r="C694" s="15">
        <v>64.077369689941406</v>
      </c>
      <c r="D694" s="15">
        <v>123.0100021362305</v>
      </c>
      <c r="E694" s="15">
        <v>166.2232666015625</v>
      </c>
      <c r="F694" s="15">
        <v>128.08821105957031</v>
      </c>
      <c r="H694" s="16">
        <f t="shared" si="31"/>
        <v>1.329463825360179E-3</v>
      </c>
      <c r="I694" s="16">
        <f t="shared" si="31"/>
        <v>-8.8838388598291753E-4</v>
      </c>
      <c r="J694" s="16">
        <f t="shared" si="31"/>
        <v>1.7868849442264543E-3</v>
      </c>
      <c r="K694" s="16">
        <f t="shared" si="32"/>
        <v>2.6908006529750244E-3</v>
      </c>
      <c r="L694" s="16">
        <f t="shared" si="33"/>
        <v>1.4577685465663505E-3</v>
      </c>
    </row>
    <row r="695" spans="1:12" x14ac:dyDescent="0.35">
      <c r="A695" s="18">
        <v>43262</v>
      </c>
      <c r="B695" s="15">
        <v>248.24896240234381</v>
      </c>
      <c r="C695" s="15">
        <v>64.020469665527344</v>
      </c>
      <c r="D695" s="15">
        <v>123.23000335693359</v>
      </c>
      <c r="E695" s="15">
        <v>166.671142578125</v>
      </c>
      <c r="F695" s="15">
        <v>128.27507019042969</v>
      </c>
      <c r="H695" s="16">
        <f t="shared" si="31"/>
        <v>1.2912358672653305E-3</v>
      </c>
      <c r="I695" s="16">
        <f t="shared" si="31"/>
        <v>-1.2704454131957712E-4</v>
      </c>
      <c r="J695" s="16">
        <f t="shared" si="31"/>
        <v>-3.3326887747226284E-3</v>
      </c>
      <c r="K695" s="16">
        <f t="shared" si="32"/>
        <v>5.2456890751831188E-3</v>
      </c>
      <c r="L695" s="16">
        <f t="shared" si="33"/>
        <v>2.0796440409692582E-3</v>
      </c>
    </row>
    <row r="696" spans="1:12" x14ac:dyDescent="0.35">
      <c r="A696" s="18">
        <v>43263</v>
      </c>
      <c r="B696" s="15">
        <v>248.56971740722659</v>
      </c>
      <c r="C696" s="15">
        <v>64.012336730957031</v>
      </c>
      <c r="D696" s="15">
        <v>122.8199996948242</v>
      </c>
      <c r="E696" s="15">
        <v>167.54774475097659</v>
      </c>
      <c r="F696" s="15">
        <v>128.5421142578125</v>
      </c>
      <c r="H696" s="16">
        <f t="shared" si="31"/>
        <v>-3.1955333417689937E-3</v>
      </c>
      <c r="I696" s="16">
        <f t="shared" si="31"/>
        <v>-6.3457045898523306E-4</v>
      </c>
      <c r="J696" s="16">
        <f t="shared" si="31"/>
        <v>3.0080323755870245E-3</v>
      </c>
      <c r="K696" s="16">
        <f t="shared" si="32"/>
        <v>-5.6647946144726695E-5</v>
      </c>
      <c r="L696" s="16">
        <f t="shared" si="33"/>
        <v>-3.7459069090249129E-3</v>
      </c>
    </row>
    <row r="697" spans="1:12" x14ac:dyDescent="0.35">
      <c r="A697" s="18">
        <v>43264</v>
      </c>
      <c r="B697" s="15">
        <v>247.77667236328119</v>
      </c>
      <c r="C697" s="15">
        <v>63.971729278564453</v>
      </c>
      <c r="D697" s="15">
        <v>123.19000244140619</v>
      </c>
      <c r="E697" s="15">
        <v>167.53825378417969</v>
      </c>
      <c r="F697" s="15">
        <v>128.06150817871091</v>
      </c>
      <c r="H697" s="16">
        <f t="shared" si="31"/>
        <v>2.5144039695744569E-3</v>
      </c>
      <c r="I697" s="16">
        <f t="shared" si="31"/>
        <v>2.1574457058773006E-3</v>
      </c>
      <c r="J697" s="16">
        <f t="shared" si="31"/>
        <v>1.5411027282317144E-3</v>
      </c>
      <c r="K697" s="16">
        <f t="shared" si="32"/>
        <v>1.0073062812081477E-2</v>
      </c>
      <c r="L697" s="16">
        <f t="shared" si="33"/>
        <v>2.8452310562700187E-3</v>
      </c>
    </row>
    <row r="698" spans="1:12" x14ac:dyDescent="0.35">
      <c r="A698" s="18">
        <v>43265</v>
      </c>
      <c r="B698" s="15">
        <v>248.40046691894531</v>
      </c>
      <c r="C698" s="15">
        <v>64.109893798828125</v>
      </c>
      <c r="D698" s="15">
        <v>123.379997253418</v>
      </c>
      <c r="E698" s="15">
        <v>169.2344055175781</v>
      </c>
      <c r="F698" s="15">
        <v>128.4263916015625</v>
      </c>
      <c r="H698" s="16">
        <f t="shared" si="31"/>
        <v>-1.2769239710160299E-3</v>
      </c>
      <c r="I698" s="16">
        <f t="shared" si="31"/>
        <v>1.2566132860552246E-4</v>
      </c>
      <c r="J698" s="16">
        <f t="shared" si="31"/>
        <v>-1.6672509186742446E-2</v>
      </c>
      <c r="K698" s="16">
        <f t="shared" si="32"/>
        <v>-3.4968822405774158E-3</v>
      </c>
      <c r="L698" s="16">
        <f t="shared" si="33"/>
        <v>-9.7058308989698885E-4</v>
      </c>
    </row>
    <row r="699" spans="1:12" x14ac:dyDescent="0.35">
      <c r="A699" s="18">
        <v>43266</v>
      </c>
      <c r="B699" s="15">
        <v>248.08348083496091</v>
      </c>
      <c r="C699" s="15">
        <v>64.117950439453125</v>
      </c>
      <c r="D699" s="15">
        <v>121.3399963378906</v>
      </c>
      <c r="E699" s="15">
        <v>168.6436462402344</v>
      </c>
      <c r="F699" s="15">
        <v>128.30180358886719</v>
      </c>
      <c r="H699" s="16">
        <f t="shared" si="31"/>
        <v>-2.0584080975108491E-3</v>
      </c>
      <c r="I699" s="16">
        <f t="shared" si="31"/>
        <v>0</v>
      </c>
      <c r="J699" s="16">
        <f t="shared" si="31"/>
        <v>-1.8972637609834234E-3</v>
      </c>
      <c r="K699" s="16">
        <f t="shared" si="32"/>
        <v>-5.7787840594153027E-4</v>
      </c>
      <c r="L699" s="16">
        <f t="shared" si="33"/>
        <v>-1.1104605875135655E-3</v>
      </c>
    </row>
    <row r="700" spans="1:12" x14ac:dyDescent="0.35">
      <c r="A700" s="18">
        <v>43269</v>
      </c>
      <c r="B700" s="15">
        <v>247.57334899902341</v>
      </c>
      <c r="C700" s="15">
        <v>64.117950439453125</v>
      </c>
      <c r="D700" s="15">
        <v>121.11000061035161</v>
      </c>
      <c r="E700" s="15">
        <v>168.54621887207031</v>
      </c>
      <c r="F700" s="15">
        <v>128.15940856933591</v>
      </c>
      <c r="H700" s="16">
        <f t="shared" si="31"/>
        <v>-3.840346300923799E-3</v>
      </c>
      <c r="I700" s="16">
        <f t="shared" si="31"/>
        <v>1.646417346269813E-3</v>
      </c>
      <c r="J700" s="16">
        <f t="shared" si="31"/>
        <v>-2.5629178089958253E-3</v>
      </c>
      <c r="K700" s="16">
        <f t="shared" si="32"/>
        <v>-2.8370315356626976E-3</v>
      </c>
      <c r="L700" s="16">
        <f t="shared" si="33"/>
        <v>-3.339158102850623E-3</v>
      </c>
    </row>
    <row r="701" spans="1:12" x14ac:dyDescent="0.35">
      <c r="A701" s="18">
        <v>43270</v>
      </c>
      <c r="B701" s="15">
        <v>246.62440490722659</v>
      </c>
      <c r="C701" s="15">
        <v>64.223602294921875</v>
      </c>
      <c r="D701" s="15">
        <v>120.8000030517578</v>
      </c>
      <c r="E701" s="15">
        <v>168.0687255859375</v>
      </c>
      <c r="F701" s="15">
        <v>127.732177734375</v>
      </c>
      <c r="H701" s="16">
        <f t="shared" si="31"/>
        <v>1.7045651150917145E-3</v>
      </c>
      <c r="I701" s="16">
        <f t="shared" si="31"/>
        <v>-2.2795254944649418E-3</v>
      </c>
      <c r="J701" s="16">
        <f t="shared" si="31"/>
        <v>-4.4802273887540539E-3</v>
      </c>
      <c r="K701" s="16">
        <f t="shared" si="32"/>
        <v>7.0774992119921184E-3</v>
      </c>
      <c r="L701" s="16">
        <f t="shared" si="33"/>
        <v>2.2969503866750547E-3</v>
      </c>
    </row>
    <row r="702" spans="1:12" x14ac:dyDescent="0.35">
      <c r="A702" s="18">
        <v>43271</v>
      </c>
      <c r="B702" s="15">
        <v>247.04515075683591</v>
      </c>
      <c r="C702" s="15">
        <v>64.077369689941406</v>
      </c>
      <c r="D702" s="15">
        <v>120.2600021362305</v>
      </c>
      <c r="E702" s="15">
        <v>169.262451171875</v>
      </c>
      <c r="F702" s="15">
        <v>128.0259094238281</v>
      </c>
      <c r="H702" s="16">
        <f t="shared" si="31"/>
        <v>-6.2887133991897902E-3</v>
      </c>
      <c r="I702" s="16">
        <f t="shared" si="31"/>
        <v>5.0744681958967666E-4</v>
      </c>
      <c r="J702" s="16">
        <f t="shared" si="31"/>
        <v>-1.7477352868708641E-3</v>
      </c>
      <c r="K702" s="16">
        <f t="shared" si="32"/>
        <v>-8.7264056281596229E-3</v>
      </c>
      <c r="L702" s="16">
        <f t="shared" si="33"/>
        <v>-6.9061398994577326E-3</v>
      </c>
    </row>
    <row r="703" spans="1:12" x14ac:dyDescent="0.35">
      <c r="A703" s="18">
        <v>43272</v>
      </c>
      <c r="B703" s="15">
        <v>245.4964294433594</v>
      </c>
      <c r="C703" s="15">
        <v>64.109893798828125</v>
      </c>
      <c r="D703" s="15">
        <v>120.0500030517578</v>
      </c>
      <c r="E703" s="15">
        <v>167.79182434082031</v>
      </c>
      <c r="F703" s="15">
        <v>127.14479064941411</v>
      </c>
      <c r="H703" s="16">
        <f t="shared" si="31"/>
        <v>1.8219619579095316E-3</v>
      </c>
      <c r="I703" s="16">
        <f t="shared" si="31"/>
        <v>6.3290599223792942E-4</v>
      </c>
      <c r="J703" s="16">
        <f t="shared" si="31"/>
        <v>2.4126912728640528E-3</v>
      </c>
      <c r="K703" s="16">
        <f t="shared" si="32"/>
        <v>-2.2219192655855706E-3</v>
      </c>
      <c r="L703" s="16">
        <f t="shared" si="33"/>
        <v>1.4256754674344882E-3</v>
      </c>
    </row>
    <row r="704" spans="1:12" x14ac:dyDescent="0.35">
      <c r="A704" s="18">
        <v>43273</v>
      </c>
      <c r="B704" s="15">
        <v>245.9441223144531</v>
      </c>
      <c r="C704" s="15">
        <v>64.150482177734375</v>
      </c>
      <c r="D704" s="15">
        <v>120.3399963378906</v>
      </c>
      <c r="E704" s="15">
        <v>167.41941833496091</v>
      </c>
      <c r="F704" s="15">
        <v>127.32618713378911</v>
      </c>
      <c r="H704" s="16">
        <f t="shared" si="31"/>
        <v>-1.3706948319370483E-2</v>
      </c>
      <c r="I704" s="16">
        <f t="shared" si="31"/>
        <v>-1.2619232285728812E-4</v>
      </c>
      <c r="J704" s="16">
        <f t="shared" si="31"/>
        <v>-3.7463887322168694E-3</v>
      </c>
      <c r="K704" s="16">
        <f t="shared" si="32"/>
        <v>-2.2787945038245078E-2</v>
      </c>
      <c r="L704" s="16">
        <f t="shared" si="33"/>
        <v>-1.4139424606268816E-2</v>
      </c>
    </row>
    <row r="705" spans="1:12" x14ac:dyDescent="0.35">
      <c r="A705" s="18">
        <v>43276</v>
      </c>
      <c r="B705" s="15">
        <v>242.5959777832031</v>
      </c>
      <c r="C705" s="15">
        <v>64.142387390136719</v>
      </c>
      <c r="D705" s="15">
        <v>119.88999938964839</v>
      </c>
      <c r="E705" s="15">
        <v>163.64741516113281</v>
      </c>
      <c r="F705" s="15">
        <v>125.5385360717773</v>
      </c>
      <c r="H705" s="16">
        <f t="shared" si="31"/>
        <v>2.2119370006134591E-3</v>
      </c>
      <c r="I705" s="16">
        <f t="shared" si="31"/>
        <v>1.6446031191347981E-3</v>
      </c>
      <c r="J705" s="16">
        <f t="shared" si="31"/>
        <v>-5.2686490212919927E-3</v>
      </c>
      <c r="K705" s="16">
        <f t="shared" si="32"/>
        <v>4.076140832948388E-3</v>
      </c>
      <c r="L705" s="16">
        <f t="shared" si="33"/>
        <v>2.2758004379987004E-3</v>
      </c>
    </row>
    <row r="706" spans="1:12" x14ac:dyDescent="0.35">
      <c r="A706" s="18">
        <v>43277</v>
      </c>
      <c r="B706" s="15">
        <v>243.1331787109375</v>
      </c>
      <c r="C706" s="15">
        <v>64.247962951660156</v>
      </c>
      <c r="D706" s="15">
        <v>119.2600021362305</v>
      </c>
      <c r="E706" s="15">
        <v>164.3158264160156</v>
      </c>
      <c r="F706" s="15">
        <v>125.82456207275391</v>
      </c>
      <c r="H706" s="16">
        <f t="shared" si="31"/>
        <v>-8.318625956388959E-3</v>
      </c>
      <c r="I706" s="16">
        <f t="shared" si="31"/>
        <v>2.3995339831253408E-3</v>
      </c>
      <c r="J706" s="16">
        <f t="shared" si="31"/>
        <v>-5.7181478866048883E-3</v>
      </c>
      <c r="K706" s="16">
        <f t="shared" si="32"/>
        <v>-1.3692386908391146E-2</v>
      </c>
      <c r="L706" s="16">
        <f t="shared" si="33"/>
        <v>-9.3494937032895294E-3</v>
      </c>
    </row>
    <row r="707" spans="1:12" x14ac:dyDescent="0.35">
      <c r="A707" s="18">
        <v>43278</v>
      </c>
      <c r="B707" s="15">
        <v>241.11903381347659</v>
      </c>
      <c r="C707" s="15">
        <v>64.402313232421875</v>
      </c>
      <c r="D707" s="15">
        <v>118.5800018310547</v>
      </c>
      <c r="E707" s="15">
        <v>162.08128356933591</v>
      </c>
      <c r="F707" s="15">
        <v>124.6536483764648</v>
      </c>
      <c r="H707" s="16">
        <f t="shared" si="31"/>
        <v>5.7009778030215593E-3</v>
      </c>
      <c r="I707" s="16">
        <f t="shared" si="31"/>
        <v>-7.5727548002201255E-4</v>
      </c>
      <c r="J707" s="16">
        <f t="shared" si="31"/>
        <v>-3.0405479988216801E-3</v>
      </c>
      <c r="K707" s="16">
        <f t="shared" si="32"/>
        <v>8.5649511596417784E-3</v>
      </c>
      <c r="L707" s="16">
        <f t="shared" si="33"/>
        <v>6.2190374903538913E-3</v>
      </c>
    </row>
    <row r="708" spans="1:12" x14ac:dyDescent="0.35">
      <c r="A708" s="18">
        <v>43279</v>
      </c>
      <c r="B708" s="15">
        <v>242.49757385253909</v>
      </c>
      <c r="C708" s="15">
        <v>64.353561401367188</v>
      </c>
      <c r="D708" s="15">
        <v>118.2200012207031</v>
      </c>
      <c r="E708" s="15">
        <v>163.4754638671875</v>
      </c>
      <c r="F708" s="15">
        <v>125.43128967285161</v>
      </c>
      <c r="H708" s="16">
        <f t="shared" ref="H708:J771" si="34">LN(B709/B708)</f>
        <v>1.4385908254688816E-3</v>
      </c>
      <c r="I708" s="16">
        <f t="shared" si="34"/>
        <v>-2.5148539249637798E-4</v>
      </c>
      <c r="J708" s="16">
        <f t="shared" si="34"/>
        <v>3.6306900201952125E-3</v>
      </c>
      <c r="K708" s="16">
        <f t="shared" ref="K708:K771" si="35">LN(E709/E708)</f>
        <v>2.6837455804537926E-3</v>
      </c>
      <c r="L708" s="16">
        <f t="shared" ref="L708:L771" si="36">LN(F709/F708)</f>
        <v>7.1213216660250369E-4</v>
      </c>
    </row>
    <row r="709" spans="1:12" x14ac:dyDescent="0.35">
      <c r="A709" s="18">
        <v>43280</v>
      </c>
      <c r="B709" s="15">
        <v>242.8466796875</v>
      </c>
      <c r="C709" s="15">
        <v>64.337379455566406</v>
      </c>
      <c r="D709" s="15">
        <v>118.65000152587891</v>
      </c>
      <c r="E709" s="15">
        <v>163.91477966308591</v>
      </c>
      <c r="F709" s="15">
        <v>125.52064514160161</v>
      </c>
      <c r="H709" s="16">
        <f t="shared" si="34"/>
        <v>2.1358620885016462E-3</v>
      </c>
      <c r="I709" s="16">
        <f t="shared" si="34"/>
        <v>-6.2086222364626071E-4</v>
      </c>
      <c r="J709" s="16">
        <f t="shared" si="34"/>
        <v>-1.0080153442110502E-2</v>
      </c>
      <c r="K709" s="16">
        <f t="shared" si="35"/>
        <v>6.6770502474950396E-3</v>
      </c>
      <c r="L709" s="16">
        <f t="shared" si="36"/>
        <v>2.4183240463330159E-3</v>
      </c>
    </row>
    <row r="710" spans="1:12" x14ac:dyDescent="0.35">
      <c r="A710" s="18">
        <v>43283</v>
      </c>
      <c r="B710" s="15">
        <v>243.36592102050781</v>
      </c>
      <c r="C710" s="15">
        <v>64.297447204589844</v>
      </c>
      <c r="D710" s="15">
        <v>117.4599990844727</v>
      </c>
      <c r="E710" s="15">
        <v>165.0129089355469</v>
      </c>
      <c r="F710" s="15">
        <v>125.82456207275391</v>
      </c>
      <c r="H710" s="16">
        <f t="shared" si="34"/>
        <v>-3.537517518597513E-3</v>
      </c>
      <c r="I710" s="16">
        <f t="shared" si="34"/>
        <v>2.0247429448490696E-3</v>
      </c>
      <c r="J710" s="16">
        <f t="shared" si="34"/>
        <v>1.0080153442110634E-2</v>
      </c>
      <c r="K710" s="16">
        <f t="shared" si="35"/>
        <v>-1.1641542531783134E-2</v>
      </c>
      <c r="L710" s="16">
        <f t="shared" si="36"/>
        <v>-2.560624807955489E-3</v>
      </c>
    </row>
    <row r="711" spans="1:12" x14ac:dyDescent="0.35">
      <c r="A711" s="18">
        <v>43284</v>
      </c>
      <c r="B711" s="15">
        <v>242.50653076171881</v>
      </c>
      <c r="C711" s="15">
        <v>64.427764892578125</v>
      </c>
      <c r="D711" s="15">
        <v>118.65000152587891</v>
      </c>
      <c r="E711" s="15">
        <v>163.10304260253909</v>
      </c>
      <c r="F711" s="15">
        <v>125.50278472900391</v>
      </c>
      <c r="H711" s="16">
        <f t="shared" si="34"/>
        <v>8.1247571372847702E-3</v>
      </c>
      <c r="I711" s="16">
        <f t="shared" si="34"/>
        <v>1.3883135406426411E-3</v>
      </c>
      <c r="J711" s="16">
        <f t="shared" si="34"/>
        <v>3.3656028250155126E-3</v>
      </c>
      <c r="K711" s="16">
        <f t="shared" si="35"/>
        <v>1.2335845682841105E-2</v>
      </c>
      <c r="L711" s="16">
        <f t="shared" si="36"/>
        <v>8.439233900479912E-3</v>
      </c>
    </row>
    <row r="712" spans="1:12" x14ac:dyDescent="0.35">
      <c r="A712" s="18">
        <v>43286</v>
      </c>
      <c r="B712" s="15">
        <v>244.48486328125</v>
      </c>
      <c r="C712" s="15">
        <v>64.51727294921875</v>
      </c>
      <c r="D712" s="15">
        <v>119.0500030517578</v>
      </c>
      <c r="E712" s="15">
        <v>165.12751770019531</v>
      </c>
      <c r="F712" s="15">
        <v>126.5664138793945</v>
      </c>
      <c r="H712" s="16">
        <f t="shared" si="34"/>
        <v>8.4226288069439523E-3</v>
      </c>
      <c r="I712" s="16">
        <f t="shared" si="34"/>
        <v>1.1361254384961265E-3</v>
      </c>
      <c r="J712" s="16">
        <f t="shared" si="34"/>
        <v>-1.5972634935634059E-3</v>
      </c>
      <c r="K712" s="16">
        <f t="shared" si="35"/>
        <v>1.5436803163026347E-2</v>
      </c>
      <c r="L712" s="16">
        <f t="shared" si="36"/>
        <v>8.3692066114345754E-3</v>
      </c>
    </row>
    <row r="713" spans="1:12" x14ac:dyDescent="0.35">
      <c r="A713" s="18">
        <v>43287</v>
      </c>
      <c r="B713" s="15">
        <v>246.5527648925781</v>
      </c>
      <c r="C713" s="15">
        <v>64.590614318847656</v>
      </c>
      <c r="D713" s="15">
        <v>118.86000061035161</v>
      </c>
      <c r="E713" s="15">
        <v>167.69633483886719</v>
      </c>
      <c r="F713" s="15">
        <v>127.6301193237305</v>
      </c>
      <c r="H713" s="16">
        <f t="shared" si="34"/>
        <v>8.9639896514579313E-3</v>
      </c>
      <c r="I713" s="16">
        <f t="shared" si="34"/>
        <v>-8.8333137102366633E-4</v>
      </c>
      <c r="J713" s="16">
        <f t="shared" si="34"/>
        <v>2.4368812775594937E-3</v>
      </c>
      <c r="K713" s="16">
        <f t="shared" si="35"/>
        <v>8.9570068704366932E-3</v>
      </c>
      <c r="L713" s="16">
        <f t="shared" si="36"/>
        <v>9.0627252716481126E-3</v>
      </c>
    </row>
    <row r="714" spans="1:12" x14ac:dyDescent="0.35">
      <c r="A714" s="18">
        <v>43290</v>
      </c>
      <c r="B714" s="15">
        <v>248.7727966308594</v>
      </c>
      <c r="C714" s="15">
        <v>64.533584594726563</v>
      </c>
      <c r="D714" s="15">
        <v>119.15000152587891</v>
      </c>
      <c r="E714" s="15">
        <v>169.20513916015619</v>
      </c>
      <c r="F714" s="15">
        <v>128.79205322265619</v>
      </c>
      <c r="H714" s="16">
        <f t="shared" si="34"/>
        <v>3.591710186811268E-3</v>
      </c>
      <c r="I714" s="16">
        <f t="shared" si="34"/>
        <v>-6.3139524061998518E-4</v>
      </c>
      <c r="J714" s="16">
        <f t="shared" si="34"/>
        <v>-1.8481290459545462E-3</v>
      </c>
      <c r="K714" s="16">
        <f t="shared" si="35"/>
        <v>7.3324895932495068E-4</v>
      </c>
      <c r="L714" s="16">
        <f t="shared" si="36"/>
        <v>2.5646793594369345E-3</v>
      </c>
    </row>
    <row r="715" spans="1:12" x14ac:dyDescent="0.35">
      <c r="A715" s="18">
        <v>43291</v>
      </c>
      <c r="B715" s="15">
        <v>249.66792297363281</v>
      </c>
      <c r="C715" s="15">
        <v>64.492851257324219</v>
      </c>
      <c r="D715" s="15">
        <v>118.9300003051758</v>
      </c>
      <c r="E715" s="15">
        <v>169.3292541503906</v>
      </c>
      <c r="F715" s="15">
        <v>129.12278747558591</v>
      </c>
      <c r="H715" s="16">
        <f t="shared" si="34"/>
        <v>-7.3413462566956668E-3</v>
      </c>
      <c r="I715" s="16">
        <f t="shared" si="34"/>
        <v>5.0524267210411828E-4</v>
      </c>
      <c r="J715" s="16">
        <f t="shared" si="34"/>
        <v>-1.0905978807671536E-2</v>
      </c>
      <c r="K715" s="16">
        <f t="shared" si="35"/>
        <v>-5.0882750410094187E-3</v>
      </c>
      <c r="L715" s="16">
        <f t="shared" si="36"/>
        <v>-7.1557277580753861E-3</v>
      </c>
    </row>
    <row r="716" spans="1:12" x14ac:dyDescent="0.35">
      <c r="A716" s="18">
        <v>43292</v>
      </c>
      <c r="B716" s="15">
        <v>247.84173583984381</v>
      </c>
      <c r="C716" s="15">
        <v>64.525444030761719</v>
      </c>
      <c r="D716" s="15">
        <v>117.63999938964839</v>
      </c>
      <c r="E716" s="15">
        <v>168.4698486328125</v>
      </c>
      <c r="F716" s="15">
        <v>128.2021179199219</v>
      </c>
      <c r="H716" s="16">
        <f t="shared" si="34"/>
        <v>9.0256988774294732E-3</v>
      </c>
      <c r="I716" s="16">
        <f t="shared" si="34"/>
        <v>7.5655865528494832E-4</v>
      </c>
      <c r="J716" s="16">
        <f t="shared" si="34"/>
        <v>4.1565812124301589E-3</v>
      </c>
      <c r="K716" s="16">
        <f t="shared" si="35"/>
        <v>1.7084522494632579E-2</v>
      </c>
      <c r="L716" s="16">
        <f t="shared" si="36"/>
        <v>8.1935725688988287E-3</v>
      </c>
    </row>
    <row r="717" spans="1:12" x14ac:dyDescent="0.35">
      <c r="A717" s="18">
        <v>43293</v>
      </c>
      <c r="B717" s="15">
        <v>250.08880615234381</v>
      </c>
      <c r="C717" s="15">
        <v>64.57427978515625</v>
      </c>
      <c r="D717" s="15">
        <v>118.129997253418</v>
      </c>
      <c r="E717" s="15">
        <v>171.372802734375</v>
      </c>
      <c r="F717" s="15">
        <v>129.2568664550781</v>
      </c>
      <c r="H717" s="16">
        <f t="shared" si="34"/>
        <v>7.8700820930734713E-4</v>
      </c>
      <c r="I717" s="16">
        <f t="shared" si="34"/>
        <v>8.827749346772371E-4</v>
      </c>
      <c r="J717" s="16">
        <f t="shared" si="34"/>
        <v>-4.411618657356081E-3</v>
      </c>
      <c r="K717" s="16">
        <f t="shared" si="35"/>
        <v>8.3572284606464456E-4</v>
      </c>
      <c r="L717" s="16">
        <f t="shared" si="36"/>
        <v>6.2169475893863622E-4</v>
      </c>
    </row>
    <row r="718" spans="1:12" x14ac:dyDescent="0.35">
      <c r="A718" s="18">
        <v>43294</v>
      </c>
      <c r="B718" s="15">
        <v>250.28570556640619</v>
      </c>
      <c r="C718" s="15">
        <v>64.631309509277344</v>
      </c>
      <c r="D718" s="15">
        <v>117.61000061035161</v>
      </c>
      <c r="E718" s="15">
        <v>171.5160827636719</v>
      </c>
      <c r="F718" s="15">
        <v>129.3372497558594</v>
      </c>
      <c r="H718" s="16">
        <f t="shared" si="34"/>
        <v>-8.9451974508770158E-4</v>
      </c>
      <c r="I718" s="16">
        <f t="shared" si="34"/>
        <v>-1.3868079479871956E-3</v>
      </c>
      <c r="J718" s="16">
        <f t="shared" si="34"/>
        <v>-5.1027010513095359E-4</v>
      </c>
      <c r="K718" s="16">
        <f t="shared" si="35"/>
        <v>-2.3970749221200079E-3</v>
      </c>
      <c r="L718" s="16">
        <f t="shared" si="36"/>
        <v>-1.5905290913678129E-3</v>
      </c>
    </row>
    <row r="719" spans="1:12" x14ac:dyDescent="0.35">
      <c r="A719" s="18">
        <v>43297</v>
      </c>
      <c r="B719" s="15">
        <v>250.0619201660156</v>
      </c>
      <c r="C719" s="15">
        <v>64.541740417480469</v>
      </c>
      <c r="D719" s="15">
        <v>117.5500030517578</v>
      </c>
      <c r="E719" s="15">
        <v>171.1054382324219</v>
      </c>
      <c r="F719" s="15">
        <v>129.13169860839841</v>
      </c>
      <c r="H719" s="16">
        <f t="shared" si="34"/>
        <v>4.0369810904994927E-3</v>
      </c>
      <c r="I719" s="16">
        <f t="shared" si="34"/>
        <v>-3.7916714093166973E-4</v>
      </c>
      <c r="J719" s="16">
        <f t="shared" si="34"/>
        <v>-1.0862735754725125E-2</v>
      </c>
      <c r="K719" s="16">
        <f t="shared" si="35"/>
        <v>6.0649169864103302E-3</v>
      </c>
      <c r="L719" s="16">
        <f t="shared" si="36"/>
        <v>4.5580740133303382E-3</v>
      </c>
    </row>
    <row r="720" spans="1:12" x14ac:dyDescent="0.35">
      <c r="A720" s="18">
        <v>43298</v>
      </c>
      <c r="B720" s="15">
        <v>251.0734558105469</v>
      </c>
      <c r="C720" s="15">
        <v>64.51727294921875</v>
      </c>
      <c r="D720" s="15">
        <v>116.2799987792969</v>
      </c>
      <c r="E720" s="15">
        <v>172.1463317871094</v>
      </c>
      <c r="F720" s="15">
        <v>129.72163391113281</v>
      </c>
      <c r="H720" s="16">
        <f t="shared" si="34"/>
        <v>2.1013680522570894E-3</v>
      </c>
      <c r="I720" s="16">
        <f t="shared" si="34"/>
        <v>-5.042418579905317E-4</v>
      </c>
      <c r="J720" s="16">
        <f t="shared" si="34"/>
        <v>2.5795416772498485E-4</v>
      </c>
      <c r="K720" s="16">
        <f t="shared" si="35"/>
        <v>-1.8881856169634297E-3</v>
      </c>
      <c r="L720" s="16">
        <f t="shared" si="36"/>
        <v>2.202611452828308E-3</v>
      </c>
    </row>
    <row r="721" spans="1:12" x14ac:dyDescent="0.35">
      <c r="A721" s="18">
        <v>43299</v>
      </c>
      <c r="B721" s="15">
        <v>251.60160827636719</v>
      </c>
      <c r="C721" s="15">
        <v>64.484748840332031</v>
      </c>
      <c r="D721" s="15">
        <v>116.30999755859381</v>
      </c>
      <c r="E721" s="15">
        <v>171.82159423828119</v>
      </c>
      <c r="F721" s="15">
        <v>130.00767517089841</v>
      </c>
      <c r="H721" s="16">
        <f t="shared" si="34"/>
        <v>-3.7783789883259894E-3</v>
      </c>
      <c r="I721" s="16">
        <f t="shared" si="34"/>
        <v>1.8926381786433446E-3</v>
      </c>
      <c r="J721" s="16">
        <f t="shared" si="34"/>
        <v>-4.3081232452859483E-3</v>
      </c>
      <c r="K721" s="16">
        <f t="shared" si="35"/>
        <v>-5.0141037393947631E-3</v>
      </c>
      <c r="L721" s="16">
        <f t="shared" si="36"/>
        <v>-2.4093037550169953E-3</v>
      </c>
    </row>
    <row r="722" spans="1:12" x14ac:dyDescent="0.35">
      <c r="A722" s="18">
        <v>43300</v>
      </c>
      <c r="B722" s="15">
        <v>250.65275573730469</v>
      </c>
      <c r="C722" s="15">
        <v>64.606910705566406</v>
      </c>
      <c r="D722" s="15">
        <v>115.80999755859381</v>
      </c>
      <c r="E722" s="15">
        <v>170.96221923828119</v>
      </c>
      <c r="F722" s="15">
        <v>129.69482421875</v>
      </c>
      <c r="H722" s="16">
        <f t="shared" si="34"/>
        <v>-1.1434216166496221E-3</v>
      </c>
      <c r="I722" s="16">
        <f t="shared" si="34"/>
        <v>-2.2719037747181304E-3</v>
      </c>
      <c r="J722" s="16">
        <f t="shared" si="34"/>
        <v>6.4552448263087876E-3</v>
      </c>
      <c r="K722" s="16">
        <f t="shared" si="35"/>
        <v>-2.2342372446703391E-4</v>
      </c>
      <c r="L722" s="16">
        <f t="shared" si="36"/>
        <v>-1.793675139964608E-3</v>
      </c>
    </row>
    <row r="723" spans="1:12" x14ac:dyDescent="0.35">
      <c r="A723" s="18">
        <v>43301</v>
      </c>
      <c r="B723" s="15">
        <v>250.36631774902341</v>
      </c>
      <c r="C723" s="15">
        <v>64.460296630859375</v>
      </c>
      <c r="D723" s="15">
        <v>116.55999755859381</v>
      </c>
      <c r="E723" s="15">
        <v>170.92402648925781</v>
      </c>
      <c r="F723" s="15">
        <v>129.46240234375</v>
      </c>
      <c r="H723" s="16">
        <f t="shared" si="34"/>
        <v>1.8573055260962235E-3</v>
      </c>
      <c r="I723" s="16">
        <f t="shared" si="34"/>
        <v>-3.1623139914030195E-3</v>
      </c>
      <c r="J723" s="16">
        <f t="shared" si="34"/>
        <v>-4.8159498350956158E-3</v>
      </c>
      <c r="K723" s="16">
        <f t="shared" si="35"/>
        <v>3.179285341964396E-3</v>
      </c>
      <c r="L723" s="16">
        <f t="shared" si="36"/>
        <v>1.5868224314154083E-3</v>
      </c>
    </row>
    <row r="724" spans="1:12" x14ac:dyDescent="0.35">
      <c r="A724" s="18">
        <v>43304</v>
      </c>
      <c r="B724" s="15">
        <v>250.8317565917969</v>
      </c>
      <c r="C724" s="15">
        <v>64.25677490234375</v>
      </c>
      <c r="D724" s="15">
        <v>116</v>
      </c>
      <c r="E724" s="15">
        <v>171.46830749511719</v>
      </c>
      <c r="F724" s="15">
        <v>129.6679992675781</v>
      </c>
      <c r="H724" s="16">
        <f t="shared" si="34"/>
        <v>5.0197097224414016E-3</v>
      </c>
      <c r="I724" s="16">
        <f t="shared" si="34"/>
        <v>1.5188647859573309E-3</v>
      </c>
      <c r="J724" s="16">
        <f t="shared" si="34"/>
        <v>3.4477603659478025E-4</v>
      </c>
      <c r="K724" s="16">
        <f t="shared" si="35"/>
        <v>4.1128769495021927E-3</v>
      </c>
      <c r="L724" s="16">
        <f t="shared" si="36"/>
        <v>2.2035215171350452E-3</v>
      </c>
    </row>
    <row r="725" spans="1:12" x14ac:dyDescent="0.35">
      <c r="A725" s="18">
        <v>43305</v>
      </c>
      <c r="B725" s="15">
        <v>252.0940246582031</v>
      </c>
      <c r="C725" s="15">
        <v>64.354446411132813</v>
      </c>
      <c r="D725" s="15">
        <v>116.0400009155273</v>
      </c>
      <c r="E725" s="15">
        <v>172.17498779296881</v>
      </c>
      <c r="F725" s="15">
        <v>129.95404052734381</v>
      </c>
      <c r="H725" s="16">
        <f t="shared" si="34"/>
        <v>8.4861354489372542E-3</v>
      </c>
      <c r="I725" s="16">
        <f t="shared" si="34"/>
        <v>0</v>
      </c>
      <c r="J725" s="16">
        <f t="shared" si="34"/>
        <v>5.500180472054912E-3</v>
      </c>
      <c r="K725" s="16">
        <f t="shared" si="35"/>
        <v>1.3879897695429619E-2</v>
      </c>
      <c r="L725" s="16">
        <f t="shared" si="36"/>
        <v>8.4926401529719243E-3</v>
      </c>
    </row>
    <row r="726" spans="1:12" x14ac:dyDescent="0.35">
      <c r="A726" s="18">
        <v>43306</v>
      </c>
      <c r="B726" s="15">
        <v>254.242431640625</v>
      </c>
      <c r="C726" s="15">
        <v>64.354446411132813</v>
      </c>
      <c r="D726" s="15">
        <v>116.6800003051758</v>
      </c>
      <c r="E726" s="15">
        <v>174.5814208984375</v>
      </c>
      <c r="F726" s="15">
        <v>131.06239318847659</v>
      </c>
      <c r="H726" s="16">
        <f t="shared" si="34"/>
        <v>-2.3618630157042761E-3</v>
      </c>
      <c r="I726" s="16">
        <f t="shared" si="34"/>
        <v>0</v>
      </c>
      <c r="J726" s="16">
        <f t="shared" si="34"/>
        <v>-7.8297123939535616E-3</v>
      </c>
      <c r="K726" s="16">
        <f t="shared" si="35"/>
        <v>-1.5267466752195284E-2</v>
      </c>
      <c r="L726" s="16">
        <f t="shared" si="36"/>
        <v>-1.6379107737465096E-3</v>
      </c>
    </row>
    <row r="727" spans="1:12" x14ac:dyDescent="0.35">
      <c r="A727" s="18">
        <v>43307</v>
      </c>
      <c r="B727" s="15">
        <v>253.64265441894531</v>
      </c>
      <c r="C727" s="15">
        <v>64.354446411132813</v>
      </c>
      <c r="D727" s="15">
        <v>115.76999664306641</v>
      </c>
      <c r="E727" s="15">
        <v>171.9362487792969</v>
      </c>
      <c r="F727" s="15">
        <v>130.847900390625</v>
      </c>
      <c r="H727" s="16">
        <f t="shared" si="34"/>
        <v>-6.7989653450492961E-3</v>
      </c>
      <c r="I727" s="16">
        <f t="shared" si="34"/>
        <v>-2.5314209048066418E-4</v>
      </c>
      <c r="J727" s="16">
        <f t="shared" si="34"/>
        <v>5.181795313153124E-4</v>
      </c>
      <c r="K727" s="16">
        <f t="shared" si="35"/>
        <v>-1.3588338072900181E-2</v>
      </c>
      <c r="L727" s="16">
        <f t="shared" si="36"/>
        <v>-8.0246500771980547E-3</v>
      </c>
    </row>
    <row r="728" spans="1:12" x14ac:dyDescent="0.35">
      <c r="A728" s="18">
        <v>43308</v>
      </c>
      <c r="B728" s="15">
        <v>251.92399597167969</v>
      </c>
      <c r="C728" s="15">
        <v>64.338157653808594</v>
      </c>
      <c r="D728" s="15">
        <v>115.8300018310547</v>
      </c>
      <c r="E728" s="15">
        <v>169.61572265625</v>
      </c>
      <c r="F728" s="15">
        <v>129.8020935058594</v>
      </c>
      <c r="H728" s="16">
        <f t="shared" si="34"/>
        <v>-5.2375274644407017E-3</v>
      </c>
      <c r="I728" s="16">
        <f t="shared" si="34"/>
        <v>-1.1396362833763474E-3</v>
      </c>
      <c r="J728" s="16">
        <f t="shared" si="34"/>
        <v>-1.5552128809900422E-3</v>
      </c>
      <c r="K728" s="16">
        <f t="shared" si="35"/>
        <v>-1.4232040387885983E-2</v>
      </c>
      <c r="L728" s="16">
        <f t="shared" si="36"/>
        <v>-6.5631498940657493E-3</v>
      </c>
    </row>
    <row r="729" spans="1:12" x14ac:dyDescent="0.35">
      <c r="A729" s="18">
        <v>43311</v>
      </c>
      <c r="B729" s="15">
        <v>250.60798645019531</v>
      </c>
      <c r="C729" s="15">
        <v>64.264877319335938</v>
      </c>
      <c r="D729" s="15">
        <v>115.65000152587891</v>
      </c>
      <c r="E729" s="15">
        <v>167.2188415527344</v>
      </c>
      <c r="F729" s="15">
        <v>128.9529724121094</v>
      </c>
      <c r="H729" s="16">
        <f t="shared" si="34"/>
        <v>4.9172477818793213E-3</v>
      </c>
      <c r="I729" s="16">
        <f t="shared" si="34"/>
        <v>7.5974364147203218E-4</v>
      </c>
      <c r="J729" s="16">
        <f t="shared" si="34"/>
        <v>2.9355602050309261E-3</v>
      </c>
      <c r="K729" s="16">
        <f t="shared" si="35"/>
        <v>7.6232205185816065E-3</v>
      </c>
      <c r="L729" s="16">
        <f t="shared" si="36"/>
        <v>5.6676909538927976E-3</v>
      </c>
    </row>
    <row r="730" spans="1:12" x14ac:dyDescent="0.35">
      <c r="A730" s="18">
        <v>43312</v>
      </c>
      <c r="B730" s="15">
        <v>251.84332275390619</v>
      </c>
      <c r="C730" s="15">
        <v>64.313720703125</v>
      </c>
      <c r="D730" s="15">
        <v>115.9899978637695</v>
      </c>
      <c r="E730" s="15">
        <v>168.49845886230469</v>
      </c>
      <c r="F730" s="15">
        <v>129.6859130859375</v>
      </c>
      <c r="H730" s="16">
        <f t="shared" si="34"/>
        <v>-1.6718194564850854E-3</v>
      </c>
      <c r="I730" s="16">
        <f t="shared" si="34"/>
        <v>-5.4571808163491838E-4</v>
      </c>
      <c r="J730" s="16">
        <f t="shared" si="34"/>
        <v>-7.3551881297051896E-3</v>
      </c>
      <c r="K730" s="16">
        <f t="shared" si="35"/>
        <v>3.790243627916157E-3</v>
      </c>
      <c r="L730" s="16">
        <f t="shared" si="36"/>
        <v>-1.1726943366313187E-3</v>
      </c>
    </row>
    <row r="731" spans="1:12" x14ac:dyDescent="0.35">
      <c r="A731" s="18">
        <v>43313</v>
      </c>
      <c r="B731" s="15">
        <v>251.4226379394531</v>
      </c>
      <c r="C731" s="15">
        <v>64.278633117675781</v>
      </c>
      <c r="D731" s="15">
        <v>115.13999938964839</v>
      </c>
      <c r="E731" s="15">
        <v>169.13832092285159</v>
      </c>
      <c r="F731" s="15">
        <v>129.53392028808591</v>
      </c>
      <c r="H731" s="16">
        <f t="shared" si="34"/>
        <v>5.4325511188021503E-3</v>
      </c>
      <c r="I731" s="16">
        <f t="shared" si="34"/>
        <v>5.0811236522934277E-4</v>
      </c>
      <c r="J731" s="16">
        <f t="shared" si="34"/>
        <v>-5.3993230298748198E-3</v>
      </c>
      <c r="K731" s="16">
        <f t="shared" si="35"/>
        <v>1.3514738170234575E-2</v>
      </c>
      <c r="L731" s="16">
        <f t="shared" si="36"/>
        <v>5.9172211587644741E-3</v>
      </c>
    </row>
    <row r="732" spans="1:12" x14ac:dyDescent="0.35">
      <c r="A732" s="18">
        <v>43314</v>
      </c>
      <c r="B732" s="15">
        <v>252.79222106933591</v>
      </c>
      <c r="C732" s="15">
        <v>64.311302185058594</v>
      </c>
      <c r="D732" s="15">
        <v>114.51999664306641</v>
      </c>
      <c r="E732" s="15">
        <v>171.439697265625</v>
      </c>
      <c r="F732" s="15">
        <v>130.30267333984381</v>
      </c>
      <c r="H732" s="16">
        <f t="shared" si="34"/>
        <v>4.2760524995627963E-3</v>
      </c>
      <c r="I732" s="16">
        <f t="shared" si="34"/>
        <v>2.1552405452858691E-3</v>
      </c>
      <c r="J732" s="16">
        <f t="shared" si="34"/>
        <v>3.4867672609530196E-3</v>
      </c>
      <c r="K732" s="16">
        <f t="shared" si="35"/>
        <v>3.0588287163328272E-3</v>
      </c>
      <c r="L732" s="16">
        <f t="shared" si="36"/>
        <v>3.3552111903600306E-3</v>
      </c>
    </row>
    <row r="733" spans="1:12" x14ac:dyDescent="0.35">
      <c r="A733" s="18">
        <v>43315</v>
      </c>
      <c r="B733" s="15">
        <v>253.87548828125</v>
      </c>
      <c r="C733" s="15">
        <v>64.450057983398438</v>
      </c>
      <c r="D733" s="15">
        <v>114.9199981689453</v>
      </c>
      <c r="E733" s="15">
        <v>171.96490478515619</v>
      </c>
      <c r="F733" s="15">
        <v>130.7406005859375</v>
      </c>
      <c r="H733" s="16">
        <f t="shared" si="34"/>
        <v>3.6602038800898459E-3</v>
      </c>
      <c r="I733" s="16">
        <f t="shared" si="34"/>
        <v>8.8589491853520138E-4</v>
      </c>
      <c r="J733" s="16">
        <f t="shared" si="34"/>
        <v>-5.1471986083888518E-3</v>
      </c>
      <c r="K733" s="16">
        <f t="shared" si="35"/>
        <v>5.8687818458108415E-3</v>
      </c>
      <c r="L733" s="16">
        <f t="shared" si="36"/>
        <v>4.5022243321861414E-3</v>
      </c>
    </row>
    <row r="734" spans="1:12" x14ac:dyDescent="0.35">
      <c r="A734" s="18">
        <v>43318</v>
      </c>
      <c r="B734" s="15">
        <v>254.8064270019531</v>
      </c>
      <c r="C734" s="15">
        <v>64.507179260253906</v>
      </c>
      <c r="D734" s="15">
        <v>114.3300018310547</v>
      </c>
      <c r="E734" s="15">
        <v>172.97709655761719</v>
      </c>
      <c r="F734" s="15">
        <v>131.33055114746091</v>
      </c>
      <c r="H734" s="16">
        <f t="shared" si="34"/>
        <v>3.2972122565240055E-3</v>
      </c>
      <c r="I734" s="16">
        <f t="shared" si="34"/>
        <v>-1.773286234181308E-3</v>
      </c>
      <c r="J734" s="16">
        <f t="shared" si="34"/>
        <v>2.2714889105872804E-3</v>
      </c>
      <c r="K734" s="16">
        <f t="shared" si="35"/>
        <v>3.6370065854130335E-3</v>
      </c>
      <c r="L734" s="16">
        <f t="shared" si="36"/>
        <v>3.2613653157802214E-3</v>
      </c>
    </row>
    <row r="735" spans="1:12" x14ac:dyDescent="0.35">
      <c r="A735" s="18">
        <v>43319</v>
      </c>
      <c r="B735" s="15">
        <v>255.64796447753909</v>
      </c>
      <c r="C735" s="15">
        <v>64.392890930175781</v>
      </c>
      <c r="D735" s="15">
        <v>114.5899963378906</v>
      </c>
      <c r="E735" s="15">
        <v>173.60736083984381</v>
      </c>
      <c r="F735" s="15">
        <v>131.75956726074219</v>
      </c>
      <c r="H735" s="16">
        <f t="shared" si="34"/>
        <v>-4.2076052607130371E-4</v>
      </c>
      <c r="I735" s="16">
        <f t="shared" si="34"/>
        <v>-2.5322796167775546E-4</v>
      </c>
      <c r="J735" s="16">
        <f t="shared" si="34"/>
        <v>2.7887366589245369E-3</v>
      </c>
      <c r="K735" s="16">
        <f t="shared" si="35"/>
        <v>1.2091971065121701E-3</v>
      </c>
      <c r="L735" s="16">
        <f t="shared" si="36"/>
        <v>-9.499594354463952E-4</v>
      </c>
    </row>
    <row r="736" spans="1:12" x14ac:dyDescent="0.35">
      <c r="A736" s="18">
        <v>43320</v>
      </c>
      <c r="B736" s="15">
        <v>255.54042053222659</v>
      </c>
      <c r="C736" s="15">
        <v>64.3765869140625</v>
      </c>
      <c r="D736" s="15">
        <v>114.9100036621094</v>
      </c>
      <c r="E736" s="15">
        <v>173.8174133300781</v>
      </c>
      <c r="F736" s="15">
        <v>131.63446044921881</v>
      </c>
      <c r="H736" s="16">
        <f t="shared" si="34"/>
        <v>-1.3674400105503225E-3</v>
      </c>
      <c r="I736" s="16">
        <f t="shared" si="34"/>
        <v>1.9001916979026463E-3</v>
      </c>
      <c r="J736" s="16">
        <f t="shared" si="34"/>
        <v>-1.4805645831980794E-3</v>
      </c>
      <c r="K736" s="16">
        <f t="shared" si="35"/>
        <v>-6.0459146234526887E-4</v>
      </c>
      <c r="L736" s="16">
        <f t="shared" si="36"/>
        <v>-6.7950965674595223E-4</v>
      </c>
    </row>
    <row r="737" spans="1:12" x14ac:dyDescent="0.35">
      <c r="A737" s="18">
        <v>43321</v>
      </c>
      <c r="B737" s="15">
        <v>255.19122314453119</v>
      </c>
      <c r="C737" s="15">
        <v>64.499031066894531</v>
      </c>
      <c r="D737" s="15">
        <v>114.7399978637695</v>
      </c>
      <c r="E737" s="15">
        <v>173.71235656738281</v>
      </c>
      <c r="F737" s="15">
        <v>131.5450439453125</v>
      </c>
      <c r="H737" s="16">
        <f t="shared" si="34"/>
        <v>-6.7220509186100546E-3</v>
      </c>
      <c r="I737" s="16">
        <f t="shared" si="34"/>
        <v>2.0229070706536678E-3</v>
      </c>
      <c r="J737" s="16">
        <f t="shared" si="34"/>
        <v>-4.3582289228231112E-4</v>
      </c>
      <c r="K737" s="16">
        <f t="shared" si="35"/>
        <v>-7.6700499259408882E-3</v>
      </c>
      <c r="L737" s="16">
        <f t="shared" si="36"/>
        <v>-6.2709145118424051E-3</v>
      </c>
    </row>
    <row r="738" spans="1:12" x14ac:dyDescent="0.35">
      <c r="A738" s="18">
        <v>43322</v>
      </c>
      <c r="B738" s="15">
        <v>253.4815673828125</v>
      </c>
      <c r="C738" s="15">
        <v>64.629638671875</v>
      </c>
      <c r="D738" s="15">
        <v>114.69000244140619</v>
      </c>
      <c r="E738" s="15">
        <v>172.38507080078119</v>
      </c>
      <c r="F738" s="15">
        <v>130.72271728515619</v>
      </c>
      <c r="H738" s="16">
        <f t="shared" si="34"/>
        <v>-3.7505455254434861E-3</v>
      </c>
      <c r="I738" s="16">
        <f t="shared" si="34"/>
        <v>1.2630329971765876E-4</v>
      </c>
      <c r="J738" s="16">
        <f t="shared" si="34"/>
        <v>-1.519909202338088E-2</v>
      </c>
      <c r="K738" s="16">
        <f t="shared" si="35"/>
        <v>-1.1085655282973201E-3</v>
      </c>
      <c r="L738" s="16">
        <f t="shared" si="36"/>
        <v>-3.8360902572795626E-3</v>
      </c>
    </row>
    <row r="739" spans="1:12" x14ac:dyDescent="0.35">
      <c r="A739" s="18">
        <v>43325</v>
      </c>
      <c r="B739" s="15">
        <v>252.53265380859381</v>
      </c>
      <c r="C739" s="15">
        <v>64.637802124023438</v>
      </c>
      <c r="D739" s="15">
        <v>112.9599990844727</v>
      </c>
      <c r="E739" s="15">
        <v>172.19407653808591</v>
      </c>
      <c r="F739" s="15">
        <v>130.22221374511719</v>
      </c>
      <c r="H739" s="16">
        <f t="shared" si="34"/>
        <v>6.3604620931617412E-3</v>
      </c>
      <c r="I739" s="16">
        <f t="shared" si="34"/>
        <v>-6.3179419189690177E-4</v>
      </c>
      <c r="J739" s="16">
        <f t="shared" si="34"/>
        <v>9.7332760810359738E-4</v>
      </c>
      <c r="K739" s="16">
        <f t="shared" si="35"/>
        <v>6.2467802733477146E-3</v>
      </c>
      <c r="L739" s="16">
        <f t="shared" si="36"/>
        <v>6.5677218497296012E-3</v>
      </c>
    </row>
    <row r="740" spans="1:12" x14ac:dyDescent="0.35">
      <c r="A740" s="18">
        <v>43326</v>
      </c>
      <c r="B740" s="15">
        <v>254.14399719238281</v>
      </c>
      <c r="C740" s="15">
        <v>64.596977233886719</v>
      </c>
      <c r="D740" s="15">
        <v>113.0699996948242</v>
      </c>
      <c r="E740" s="15">
        <v>173.2731018066406</v>
      </c>
      <c r="F740" s="15">
        <v>131.0802917480469</v>
      </c>
      <c r="H740" s="16">
        <f t="shared" si="34"/>
        <v>-7.4954275353149172E-3</v>
      </c>
      <c r="I740" s="16">
        <f t="shared" si="34"/>
        <v>1.1360221117069601E-3</v>
      </c>
      <c r="J740" s="16">
        <f t="shared" si="34"/>
        <v>-1.6766621575931097E-2</v>
      </c>
      <c r="K740" s="16">
        <f t="shared" si="35"/>
        <v>-1.2309832208613109E-2</v>
      </c>
      <c r="L740" s="16">
        <f t="shared" si="36"/>
        <v>-7.9417221109175772E-3</v>
      </c>
    </row>
    <row r="741" spans="1:12" x14ac:dyDescent="0.35">
      <c r="A741" s="18">
        <v>43327</v>
      </c>
      <c r="B741" s="15">
        <v>252.24620056152341</v>
      </c>
      <c r="C741" s="15">
        <v>64.670402526855469</v>
      </c>
      <c r="D741" s="15">
        <v>111.19000244140619</v>
      </c>
      <c r="E741" s="15">
        <v>171.15321350097659</v>
      </c>
      <c r="F741" s="15">
        <v>130.04341125488281</v>
      </c>
      <c r="H741" s="16">
        <f t="shared" si="34"/>
        <v>8.0590436631972559E-3</v>
      </c>
      <c r="I741" s="16">
        <f t="shared" si="34"/>
        <v>5.0479920030447147E-4</v>
      </c>
      <c r="J741" s="16">
        <f t="shared" si="34"/>
        <v>-8.0978876092319065E-4</v>
      </c>
      <c r="K741" s="16">
        <f t="shared" si="35"/>
        <v>3.2860274995606862E-3</v>
      </c>
      <c r="L741" s="16">
        <f t="shared" si="36"/>
        <v>7.8051662531604922E-3</v>
      </c>
    </row>
    <row r="742" spans="1:12" x14ac:dyDescent="0.35">
      <c r="A742" s="18">
        <v>43328</v>
      </c>
      <c r="B742" s="15">
        <v>254.28727722167969</v>
      </c>
      <c r="C742" s="15">
        <v>64.703056335449219</v>
      </c>
      <c r="D742" s="15">
        <v>111.09999847412109</v>
      </c>
      <c r="E742" s="15">
        <v>171.716552734375</v>
      </c>
      <c r="F742" s="15">
        <v>131.06239318847659</v>
      </c>
      <c r="H742" s="16">
        <f t="shared" si="34"/>
        <v>3.513717771604862E-3</v>
      </c>
      <c r="I742" s="16">
        <f t="shared" si="34"/>
        <v>1.1347495880199329E-3</v>
      </c>
      <c r="J742" s="16">
        <f t="shared" si="34"/>
        <v>9.2282050668661356E-3</v>
      </c>
      <c r="K742" s="16">
        <f t="shared" si="35"/>
        <v>2.2274803011846503E-4</v>
      </c>
      <c r="L742" s="16">
        <f t="shared" si="36"/>
        <v>3.6758387771494943E-3</v>
      </c>
    </row>
    <row r="743" spans="1:12" x14ac:dyDescent="0.35">
      <c r="A743" s="18">
        <v>43329</v>
      </c>
      <c r="B743" s="15">
        <v>255.1823425292969</v>
      </c>
      <c r="C743" s="15">
        <v>64.776519775390625</v>
      </c>
      <c r="D743" s="15">
        <v>112.129997253418</v>
      </c>
      <c r="E743" s="15">
        <v>171.75480651855469</v>
      </c>
      <c r="F743" s="15">
        <v>131.5450439453125</v>
      </c>
      <c r="H743" s="16">
        <f t="shared" si="34"/>
        <v>2.13779889410171E-3</v>
      </c>
      <c r="I743" s="16">
        <f t="shared" si="34"/>
        <v>1.2591023053972041E-3</v>
      </c>
      <c r="J743" s="16">
        <f t="shared" si="34"/>
        <v>4.9818196508900538E-3</v>
      </c>
      <c r="K743" s="16">
        <f t="shared" si="35"/>
        <v>-8.8995617998218705E-4</v>
      </c>
      <c r="L743" s="16">
        <f t="shared" si="36"/>
        <v>1.9008857999041841E-3</v>
      </c>
    </row>
    <row r="744" spans="1:12" x14ac:dyDescent="0.35">
      <c r="A744" s="18">
        <v>43332</v>
      </c>
      <c r="B744" s="15">
        <v>255.72845458984381</v>
      </c>
      <c r="C744" s="15">
        <v>64.858131408691406</v>
      </c>
      <c r="D744" s="15">
        <v>112.69000244140619</v>
      </c>
      <c r="E744" s="15">
        <v>171.6020202636719</v>
      </c>
      <c r="F744" s="15">
        <v>131.79533386230469</v>
      </c>
      <c r="H744" s="16">
        <f t="shared" si="34"/>
        <v>2.3428000637758942E-3</v>
      </c>
      <c r="I744" s="16">
        <f t="shared" si="34"/>
        <v>-5.0323885322282294E-4</v>
      </c>
      <c r="J744" s="16">
        <f t="shared" si="34"/>
        <v>2.9240568705202344E-3</v>
      </c>
      <c r="K744" s="16">
        <f t="shared" si="35"/>
        <v>3.6657428059369761E-3</v>
      </c>
      <c r="L744" s="16">
        <f t="shared" si="36"/>
        <v>3.7231444872179499E-3</v>
      </c>
    </row>
    <row r="745" spans="1:12" x14ac:dyDescent="0.35">
      <c r="A745" s="18">
        <v>43333</v>
      </c>
      <c r="B745" s="15">
        <v>256.32827758789063</v>
      </c>
      <c r="C745" s="15">
        <v>64.82550048828125</v>
      </c>
      <c r="D745" s="15">
        <v>113.01999664306641</v>
      </c>
      <c r="E745" s="15">
        <v>172.23222351074219</v>
      </c>
      <c r="F745" s="15">
        <v>132.28694152832031</v>
      </c>
      <c r="H745" s="16">
        <f t="shared" si="34"/>
        <v>-5.9414994512133632E-4</v>
      </c>
      <c r="I745" s="16">
        <f t="shared" si="34"/>
        <v>6.2933245365737276E-4</v>
      </c>
      <c r="J745" s="16">
        <f t="shared" si="34"/>
        <v>2.2095550764809732E-3</v>
      </c>
      <c r="K745" s="16">
        <f t="shared" si="35"/>
        <v>3.8738023400928931E-3</v>
      </c>
      <c r="L745" s="16">
        <f t="shared" si="36"/>
        <v>3.3825303644529996E-4</v>
      </c>
    </row>
    <row r="746" spans="1:12" x14ac:dyDescent="0.35">
      <c r="A746" s="18">
        <v>43334</v>
      </c>
      <c r="B746" s="15">
        <v>256.176025390625</v>
      </c>
      <c r="C746" s="15">
        <v>64.866310119628906</v>
      </c>
      <c r="D746" s="15">
        <v>113.26999664306641</v>
      </c>
      <c r="E746" s="15">
        <v>172.90071105957031</v>
      </c>
      <c r="F746" s="15">
        <v>132.3316955566406</v>
      </c>
      <c r="H746" s="16">
        <f t="shared" si="34"/>
        <v>-1.3287356935367772E-3</v>
      </c>
      <c r="I746" s="16">
        <f t="shared" si="34"/>
        <v>0</v>
      </c>
      <c r="J746" s="16">
        <f t="shared" si="34"/>
        <v>-9.4913536867297123E-3</v>
      </c>
      <c r="K746" s="16">
        <f t="shared" si="35"/>
        <v>-1.4369760609712209E-3</v>
      </c>
      <c r="L746" s="16">
        <f t="shared" si="36"/>
        <v>-1.9612208233851024E-3</v>
      </c>
    </row>
    <row r="747" spans="1:12" x14ac:dyDescent="0.35">
      <c r="A747" s="18">
        <v>43335</v>
      </c>
      <c r="B747" s="15">
        <v>255.83586120605469</v>
      </c>
      <c r="C747" s="15">
        <v>64.866310119628906</v>
      </c>
      <c r="D747" s="15">
        <v>112.1999969482422</v>
      </c>
      <c r="E747" s="15">
        <v>172.6524353027344</v>
      </c>
      <c r="F747" s="15">
        <v>132.0724182128906</v>
      </c>
      <c r="H747" s="16">
        <f t="shared" si="34"/>
        <v>6.0003465413634525E-3</v>
      </c>
      <c r="I747" s="16">
        <f t="shared" si="34"/>
        <v>5.037452340977632E-4</v>
      </c>
      <c r="J747" s="16">
        <f t="shared" si="34"/>
        <v>1.7318039357996126E-2</v>
      </c>
      <c r="K747" s="16">
        <f t="shared" si="35"/>
        <v>9.2491373797149948E-3</v>
      </c>
      <c r="L747" s="16">
        <f t="shared" si="36"/>
        <v>6.2067983638143601E-3</v>
      </c>
    </row>
    <row r="748" spans="1:12" x14ac:dyDescent="0.35">
      <c r="A748" s="18">
        <v>43336</v>
      </c>
      <c r="B748" s="15">
        <v>257.37557983398438</v>
      </c>
      <c r="C748" s="15">
        <v>64.898994445800781</v>
      </c>
      <c r="D748" s="15">
        <v>114.1600036621094</v>
      </c>
      <c r="E748" s="15">
        <v>174.25672912597659</v>
      </c>
      <c r="F748" s="15">
        <v>132.89471435546881</v>
      </c>
      <c r="H748" s="16">
        <f t="shared" si="34"/>
        <v>7.8647119711549914E-3</v>
      </c>
      <c r="I748" s="16">
        <f t="shared" si="34"/>
        <v>-1.2588975547132904E-3</v>
      </c>
      <c r="J748" s="16">
        <f t="shared" si="34"/>
        <v>3.7595032326638977E-3</v>
      </c>
      <c r="K748" s="16">
        <f t="shared" si="35"/>
        <v>1.0141404552025883E-2</v>
      </c>
      <c r="L748" s="16">
        <f t="shared" si="36"/>
        <v>7.1714001266513358E-3</v>
      </c>
    </row>
    <row r="749" spans="1:12" x14ac:dyDescent="0.35">
      <c r="A749" s="18">
        <v>43339</v>
      </c>
      <c r="B749" s="15">
        <v>259.40774536132813</v>
      </c>
      <c r="C749" s="15">
        <v>64.817344665527344</v>
      </c>
      <c r="D749" s="15">
        <v>114.5899963378906</v>
      </c>
      <c r="E749" s="15">
        <v>176.0329284667969</v>
      </c>
      <c r="F749" s="15">
        <v>133.85118103027341</v>
      </c>
      <c r="H749" s="16">
        <f t="shared" si="34"/>
        <v>4.8316185438602549E-4</v>
      </c>
      <c r="I749" s="16">
        <f t="shared" si="34"/>
        <v>-1.5120175624727923E-3</v>
      </c>
      <c r="J749" s="16">
        <f t="shared" si="34"/>
        <v>-7.973022006626888E-3</v>
      </c>
      <c r="K749" s="16">
        <f t="shared" si="35"/>
        <v>1.4634117474875271E-3</v>
      </c>
      <c r="L749" s="16">
        <f t="shared" si="36"/>
        <v>6.0036208148676288E-4</v>
      </c>
    </row>
    <row r="750" spans="1:12" x14ac:dyDescent="0.35">
      <c r="A750" s="18">
        <v>43340</v>
      </c>
      <c r="B750" s="15">
        <v>259.53311157226563</v>
      </c>
      <c r="C750" s="15">
        <v>64.719413757324219</v>
      </c>
      <c r="D750" s="15">
        <v>113.6800003051758</v>
      </c>
      <c r="E750" s="15">
        <v>176.29072570800781</v>
      </c>
      <c r="F750" s="15">
        <v>133.93156433105469</v>
      </c>
      <c r="H750" s="16">
        <f t="shared" si="34"/>
        <v>5.3658637301536383E-3</v>
      </c>
      <c r="I750" s="16">
        <f t="shared" si="34"/>
        <v>-6.3087928501982902E-4</v>
      </c>
      <c r="J750" s="16">
        <f t="shared" si="34"/>
        <v>4.5637840256251986E-3</v>
      </c>
      <c r="K750" s="16">
        <f t="shared" si="35"/>
        <v>1.1471944693103264E-2</v>
      </c>
      <c r="L750" s="16">
        <f t="shared" si="36"/>
        <v>5.2587034500178676E-3</v>
      </c>
    </row>
    <row r="751" spans="1:12" x14ac:dyDescent="0.35">
      <c r="A751" s="18">
        <v>43341</v>
      </c>
      <c r="B751" s="15">
        <v>260.92947387695313</v>
      </c>
      <c r="C751" s="15">
        <v>64.678596496582031</v>
      </c>
      <c r="D751" s="15">
        <v>114.1999969482422</v>
      </c>
      <c r="E751" s="15">
        <v>178.32476806640619</v>
      </c>
      <c r="F751" s="15">
        <v>134.6377258300781</v>
      </c>
      <c r="H751" s="16">
        <f t="shared" si="34"/>
        <v>-4.0563380967533957E-3</v>
      </c>
      <c r="I751" s="16">
        <f t="shared" si="34"/>
        <v>7.5700739504071853E-4</v>
      </c>
      <c r="J751" s="16">
        <f t="shared" si="34"/>
        <v>-4.9157188839216819E-3</v>
      </c>
      <c r="K751" s="16">
        <f t="shared" si="35"/>
        <v>-1.7687014421960538E-3</v>
      </c>
      <c r="L751" s="16">
        <f t="shared" si="36"/>
        <v>-4.1244927135667409E-3</v>
      </c>
    </row>
    <row r="752" spans="1:12" x14ac:dyDescent="0.35">
      <c r="A752" s="18">
        <v>43342</v>
      </c>
      <c r="B752" s="15">
        <v>259.87319946289063</v>
      </c>
      <c r="C752" s="15">
        <v>64.727577209472656</v>
      </c>
      <c r="D752" s="15">
        <v>113.63999938964839</v>
      </c>
      <c r="E752" s="15">
        <v>178.0096435546875</v>
      </c>
      <c r="F752" s="15">
        <v>134.08355712890619</v>
      </c>
      <c r="H752" s="16">
        <f t="shared" si="34"/>
        <v>3.4524580095209956E-5</v>
      </c>
      <c r="I752" s="16">
        <f t="shared" si="34"/>
        <v>2.5185498636579495E-4</v>
      </c>
      <c r="J752" s="16">
        <f t="shared" si="34"/>
        <v>-1.1445940280611024E-3</v>
      </c>
      <c r="K752" s="16">
        <f t="shared" si="35"/>
        <v>1.2864127879297616E-3</v>
      </c>
      <c r="L752" s="16">
        <f t="shared" si="36"/>
        <v>3.999291217348687E-4</v>
      </c>
    </row>
    <row r="753" spans="1:12" x14ac:dyDescent="0.35">
      <c r="A753" s="18">
        <v>43343</v>
      </c>
      <c r="B753" s="15">
        <v>259.88217163085938</v>
      </c>
      <c r="C753" s="15">
        <v>64.743881225585938</v>
      </c>
      <c r="D753" s="15">
        <v>113.5100021362305</v>
      </c>
      <c r="E753" s="15">
        <v>178.23878479003909</v>
      </c>
      <c r="F753" s="15">
        <v>134.13719177246091</v>
      </c>
      <c r="H753" s="16">
        <f t="shared" si="34"/>
        <v>-1.7239266018192932E-3</v>
      </c>
      <c r="I753" s="16">
        <f t="shared" si="34"/>
        <v>-1.5430034402614046E-3</v>
      </c>
      <c r="J753" s="16">
        <f t="shared" si="34"/>
        <v>-5.1227971490801112E-3</v>
      </c>
      <c r="K753" s="16">
        <f t="shared" si="35"/>
        <v>-4.295038386867513E-3</v>
      </c>
      <c r="L753" s="16">
        <f t="shared" si="36"/>
        <v>-1.4005091954803158E-3</v>
      </c>
    </row>
    <row r="754" spans="1:12" x14ac:dyDescent="0.35">
      <c r="A754" s="18">
        <v>43347</v>
      </c>
      <c r="B754" s="15">
        <v>259.43453979492188</v>
      </c>
      <c r="C754" s="15">
        <v>64.644058227539063</v>
      </c>
      <c r="D754" s="15">
        <v>112.9300003051758</v>
      </c>
      <c r="E754" s="15">
        <v>177.4748840332031</v>
      </c>
      <c r="F754" s="15">
        <v>133.949462890625</v>
      </c>
      <c r="H754" s="16">
        <f t="shared" si="34"/>
        <v>-2.6950285879530833E-3</v>
      </c>
      <c r="I754" s="16">
        <f t="shared" si="34"/>
        <v>2.5359623850536756E-4</v>
      </c>
      <c r="J754" s="16">
        <f t="shared" si="34"/>
        <v>3.4475118313476239E-3</v>
      </c>
      <c r="K754" s="16">
        <f t="shared" si="35"/>
        <v>-1.2998053435198699E-2</v>
      </c>
      <c r="L754" s="16">
        <f t="shared" si="36"/>
        <v>-3.2751599306946049E-3</v>
      </c>
    </row>
    <row r="755" spans="1:12" x14ac:dyDescent="0.35">
      <c r="A755" s="18">
        <v>43348</v>
      </c>
      <c r="B755" s="15">
        <v>258.73629760742188</v>
      </c>
      <c r="C755" s="15">
        <v>64.660453796386719</v>
      </c>
      <c r="D755" s="15">
        <v>113.3199996948242</v>
      </c>
      <c r="E755" s="15">
        <v>175.1829833984375</v>
      </c>
      <c r="F755" s="15">
        <v>133.511474609375</v>
      </c>
      <c r="H755" s="16">
        <f t="shared" si="34"/>
        <v>-3.0147052949556015E-3</v>
      </c>
      <c r="I755" s="16">
        <f t="shared" si="34"/>
        <v>1.5166940022081526E-3</v>
      </c>
      <c r="J755" s="16">
        <f t="shared" si="34"/>
        <v>1.9395335367868758E-3</v>
      </c>
      <c r="K755" s="16">
        <f t="shared" si="35"/>
        <v>-8.9796496038586464E-3</v>
      </c>
      <c r="L755" s="16">
        <f t="shared" si="36"/>
        <v>-3.0168407611087951E-3</v>
      </c>
    </row>
    <row r="756" spans="1:12" x14ac:dyDescent="0.35">
      <c r="A756" s="18">
        <v>43349</v>
      </c>
      <c r="B756" s="15">
        <v>257.95745849609381</v>
      </c>
      <c r="C756" s="15">
        <v>64.758598327636719</v>
      </c>
      <c r="D756" s="15">
        <v>113.5400009155273</v>
      </c>
      <c r="E756" s="15">
        <v>173.616943359375</v>
      </c>
      <c r="F756" s="15">
        <v>133.10929870605469</v>
      </c>
      <c r="H756" s="16">
        <f t="shared" si="34"/>
        <v>-1.9451635038371794E-3</v>
      </c>
      <c r="I756" s="16">
        <f t="shared" si="34"/>
        <v>-3.1634429021448448E-3</v>
      </c>
      <c r="J756" s="16">
        <f t="shared" si="34"/>
        <v>-2.7340278330770223E-3</v>
      </c>
      <c r="K756" s="16">
        <f t="shared" si="35"/>
        <v>-3.8578788752415016E-3</v>
      </c>
      <c r="L756" s="16">
        <f t="shared" si="36"/>
        <v>-2.2861111207510146E-3</v>
      </c>
    </row>
    <row r="757" spans="1:12" x14ac:dyDescent="0.35">
      <c r="A757" s="18">
        <v>43350</v>
      </c>
      <c r="B757" s="15">
        <v>257.4561767578125</v>
      </c>
      <c r="C757" s="15">
        <v>64.554061889648438</v>
      </c>
      <c r="D757" s="15">
        <v>113.23000335693359</v>
      </c>
      <c r="E757" s="15">
        <v>172.94844055175781</v>
      </c>
      <c r="F757" s="15">
        <v>132.80534362792969</v>
      </c>
      <c r="H757" s="16">
        <f t="shared" si="34"/>
        <v>1.7370438921666116E-3</v>
      </c>
      <c r="I757" s="16">
        <f t="shared" si="34"/>
        <v>6.3469441099568171E-4</v>
      </c>
      <c r="J757" s="16">
        <f t="shared" si="34"/>
        <v>-7.0679240798271795E-4</v>
      </c>
      <c r="K757" s="16">
        <f t="shared" si="35"/>
        <v>3.3626850276790884E-3</v>
      </c>
      <c r="L757" s="16">
        <f t="shared" si="36"/>
        <v>2.1512929994781014E-3</v>
      </c>
    </row>
    <row r="758" spans="1:12" x14ac:dyDescent="0.35">
      <c r="A758" s="18">
        <v>43353</v>
      </c>
      <c r="B758" s="15">
        <v>257.90377807617188</v>
      </c>
      <c r="C758" s="15">
        <v>64.595046997070313</v>
      </c>
      <c r="D758" s="15">
        <v>113.15000152587891</v>
      </c>
      <c r="E758" s="15">
        <v>173.53099060058591</v>
      </c>
      <c r="F758" s="15">
        <v>133.09135437011719</v>
      </c>
      <c r="H758" s="16">
        <f t="shared" si="34"/>
        <v>3.2922942054406392E-3</v>
      </c>
      <c r="I758" s="16">
        <f t="shared" si="34"/>
        <v>-2.1567894734423184E-3</v>
      </c>
      <c r="J758" s="16">
        <f t="shared" si="34"/>
        <v>6.1845382520682197E-4</v>
      </c>
      <c r="K758" s="16">
        <f t="shared" si="35"/>
        <v>7.6743057505195651E-3</v>
      </c>
      <c r="L758" s="16">
        <f t="shared" si="36"/>
        <v>3.3525573953687143E-3</v>
      </c>
    </row>
    <row r="759" spans="1:12" x14ac:dyDescent="0.35">
      <c r="A759" s="18">
        <v>43354</v>
      </c>
      <c r="B759" s="15">
        <v>258.7542724609375</v>
      </c>
      <c r="C759" s="15">
        <v>64.455879211425781</v>
      </c>
      <c r="D759" s="15">
        <v>113.2200012207031</v>
      </c>
      <c r="E759" s="15">
        <v>174.86784362792969</v>
      </c>
      <c r="F759" s="15">
        <v>133.5382995605469</v>
      </c>
      <c r="H759" s="16">
        <f t="shared" si="34"/>
        <v>2.4186647449414415E-4</v>
      </c>
      <c r="I759" s="16">
        <f t="shared" si="34"/>
        <v>7.6151454195976659E-4</v>
      </c>
      <c r="J759" s="16">
        <f t="shared" si="34"/>
        <v>8.3557102600633638E-3</v>
      </c>
      <c r="K759" s="16">
        <f t="shared" si="35"/>
        <v>-2.9530111836558503E-3</v>
      </c>
      <c r="L759" s="16">
        <f t="shared" si="36"/>
        <v>6.6957203060222082E-5</v>
      </c>
    </row>
    <row r="760" spans="1:12" x14ac:dyDescent="0.35">
      <c r="A760" s="18">
        <v>43355</v>
      </c>
      <c r="B760" s="15">
        <v>258.81686401367188</v>
      </c>
      <c r="C760" s="15">
        <v>64.504981994628906</v>
      </c>
      <c r="D760" s="15">
        <v>114.1699981689453</v>
      </c>
      <c r="E760" s="15">
        <v>174.35221862792969</v>
      </c>
      <c r="F760" s="15">
        <v>133.5472412109375</v>
      </c>
      <c r="H760" s="16">
        <f t="shared" si="34"/>
        <v>5.8969199825629056E-3</v>
      </c>
      <c r="I760" s="16">
        <f t="shared" si="34"/>
        <v>6.3364056397960031E-4</v>
      </c>
      <c r="J760" s="16">
        <f t="shared" si="34"/>
        <v>-3.597564816940557E-3</v>
      </c>
      <c r="K760" s="16">
        <f t="shared" si="35"/>
        <v>1.0623597992655753E-2</v>
      </c>
      <c r="L760" s="16">
        <f t="shared" si="36"/>
        <v>5.0073505154024766E-3</v>
      </c>
    </row>
    <row r="761" spans="1:12" x14ac:dyDescent="0.35">
      <c r="A761" s="18">
        <v>43356</v>
      </c>
      <c r="B761" s="15">
        <v>260.34759521484381</v>
      </c>
      <c r="C761" s="15">
        <v>64.545867919921875</v>
      </c>
      <c r="D761" s="15">
        <v>113.7600021362305</v>
      </c>
      <c r="E761" s="15">
        <v>176.21434020996091</v>
      </c>
      <c r="F761" s="15">
        <v>134.21763610839841</v>
      </c>
      <c r="H761" s="16">
        <f t="shared" si="34"/>
        <v>1.7194488874623865E-4</v>
      </c>
      <c r="I761" s="16">
        <f t="shared" si="34"/>
        <v>-1.6488459509722887E-3</v>
      </c>
      <c r="J761" s="16">
        <f t="shared" si="34"/>
        <v>-6.5262203337511804E-3</v>
      </c>
      <c r="K761" s="16">
        <f t="shared" si="35"/>
        <v>-2.9306739524877054E-3</v>
      </c>
      <c r="L761" s="16">
        <f t="shared" si="36"/>
        <v>7.9867261863183342E-4</v>
      </c>
    </row>
    <row r="762" spans="1:12" x14ac:dyDescent="0.35">
      <c r="A762" s="18">
        <v>43357</v>
      </c>
      <c r="B762" s="15">
        <v>260.39236450195313</v>
      </c>
      <c r="C762" s="15">
        <v>64.439529418945313</v>
      </c>
      <c r="D762" s="15">
        <v>113.01999664306641</v>
      </c>
      <c r="E762" s="15">
        <v>175.69866943359381</v>
      </c>
      <c r="F762" s="15">
        <v>134.32487487792969</v>
      </c>
      <c r="H762" s="16">
        <f t="shared" si="34"/>
        <v>-5.3083867801436094E-3</v>
      </c>
      <c r="I762" s="16">
        <f t="shared" si="34"/>
        <v>-1.2704717806885302E-4</v>
      </c>
      <c r="J762" s="16">
        <f t="shared" si="34"/>
        <v>5.2067714545767441E-3</v>
      </c>
      <c r="K762" s="16">
        <f t="shared" si="35"/>
        <v>-1.4507676203297151E-2</v>
      </c>
      <c r="L762" s="16">
        <f t="shared" si="36"/>
        <v>-6.3419206508906019E-3</v>
      </c>
    </row>
    <row r="763" spans="1:12" x14ac:dyDescent="0.35">
      <c r="A763" s="18">
        <v>43360</v>
      </c>
      <c r="B763" s="15">
        <v>259.01376342773438</v>
      </c>
      <c r="C763" s="15">
        <v>64.431343078613281</v>
      </c>
      <c r="D763" s="15">
        <v>113.61000061035161</v>
      </c>
      <c r="E763" s="15">
        <v>173.1680908203125</v>
      </c>
      <c r="F763" s="15">
        <v>133.47569274902341</v>
      </c>
      <c r="H763" s="16">
        <f t="shared" si="34"/>
        <v>5.4118676456806729E-3</v>
      </c>
      <c r="I763" s="16">
        <f t="shared" si="34"/>
        <v>-2.288070772909748E-3</v>
      </c>
      <c r="J763" s="16">
        <f t="shared" si="34"/>
        <v>-1.4974516487727132E-3</v>
      </c>
      <c r="K763" s="16">
        <f t="shared" si="35"/>
        <v>8.237903698269395E-3</v>
      </c>
      <c r="L763" s="16">
        <f t="shared" si="36"/>
        <v>5.3431390404097973E-3</v>
      </c>
    </row>
    <row r="764" spans="1:12" x14ac:dyDescent="0.35">
      <c r="A764" s="18">
        <v>43361</v>
      </c>
      <c r="B764" s="15">
        <v>260.4193115234375</v>
      </c>
      <c r="C764" s="15">
        <v>64.284088134765625</v>
      </c>
      <c r="D764" s="15">
        <v>113.44000244140619</v>
      </c>
      <c r="E764" s="15">
        <v>174.60052490234381</v>
      </c>
      <c r="F764" s="15">
        <v>134.19078063964841</v>
      </c>
      <c r="H764" s="16">
        <f t="shared" si="34"/>
        <v>1.0646566082929522E-3</v>
      </c>
      <c r="I764" s="16">
        <f t="shared" si="34"/>
        <v>-1.5290866100661732E-3</v>
      </c>
      <c r="J764" s="16">
        <f t="shared" si="34"/>
        <v>3.8711539862434181E-3</v>
      </c>
      <c r="K764" s="16">
        <f t="shared" si="35"/>
        <v>-7.6593958609779008E-4</v>
      </c>
      <c r="L764" s="16">
        <f t="shared" si="36"/>
        <v>1.3337254559072555E-4</v>
      </c>
    </row>
    <row r="765" spans="1:12" x14ac:dyDescent="0.35">
      <c r="A765" s="18">
        <v>43362</v>
      </c>
      <c r="B765" s="15">
        <v>260.69671630859381</v>
      </c>
      <c r="C765" s="15">
        <v>64.185867309570313</v>
      </c>
      <c r="D765" s="15">
        <v>113.879997253418</v>
      </c>
      <c r="E765" s="15">
        <v>174.46684265136719</v>
      </c>
      <c r="F765" s="15">
        <v>134.20867919921881</v>
      </c>
      <c r="H765" s="16">
        <f t="shared" si="34"/>
        <v>8.0715129902952532E-3</v>
      </c>
      <c r="I765" s="16">
        <f t="shared" si="34"/>
        <v>1.2743615841154597E-3</v>
      </c>
      <c r="J765" s="16">
        <f t="shared" si="34"/>
        <v>3.4188014897893206E-3</v>
      </c>
      <c r="K765" s="16">
        <f t="shared" si="35"/>
        <v>1.0995610765340598E-2</v>
      </c>
      <c r="L765" s="16">
        <f t="shared" si="36"/>
        <v>7.6955138178273902E-3</v>
      </c>
    </row>
    <row r="766" spans="1:12" x14ac:dyDescent="0.35">
      <c r="A766" s="18">
        <v>43363</v>
      </c>
      <c r="B766" s="15">
        <v>262.8094482421875</v>
      </c>
      <c r="C766" s="15">
        <v>64.267715454101563</v>
      </c>
      <c r="D766" s="15">
        <v>114.26999664306641</v>
      </c>
      <c r="E766" s="15">
        <v>176.39579772949219</v>
      </c>
      <c r="F766" s="15">
        <v>135.24546813964841</v>
      </c>
      <c r="H766" s="16">
        <f t="shared" si="34"/>
        <v>-9.1393789435171408E-4</v>
      </c>
      <c r="I766" s="16">
        <f t="shared" si="34"/>
        <v>6.3609776118877929E-4</v>
      </c>
      <c r="J766" s="16">
        <f t="shared" si="34"/>
        <v>-6.8493312914387613E-3</v>
      </c>
      <c r="K766" s="16">
        <f t="shared" si="35"/>
        <v>-5.4826055480887911E-3</v>
      </c>
      <c r="L766" s="16">
        <f t="shared" si="36"/>
        <v>-9.9152795864220823E-4</v>
      </c>
    </row>
    <row r="767" spans="1:12" x14ac:dyDescent="0.35">
      <c r="A767" s="18">
        <v>43364</v>
      </c>
      <c r="B767" s="15">
        <v>262.56936645507813</v>
      </c>
      <c r="C767" s="15">
        <v>64.308609008789063</v>
      </c>
      <c r="D767" s="15">
        <v>113.4899978637695</v>
      </c>
      <c r="E767" s="15">
        <v>175.43133544921881</v>
      </c>
      <c r="F767" s="15">
        <v>135.11143493652341</v>
      </c>
      <c r="H767" s="16">
        <f t="shared" si="34"/>
        <v>-3.3277556120795771E-3</v>
      </c>
      <c r="I767" s="16">
        <f t="shared" si="34"/>
        <v>-1.2730755535794466E-3</v>
      </c>
      <c r="J767" s="16">
        <f t="shared" si="34"/>
        <v>-1.7621292914007548E-4</v>
      </c>
      <c r="K767" s="16">
        <f t="shared" si="35"/>
        <v>2.7770234159377998E-3</v>
      </c>
      <c r="L767" s="16">
        <f t="shared" si="36"/>
        <v>-3.6448303870595137E-3</v>
      </c>
    </row>
    <row r="768" spans="1:12" x14ac:dyDescent="0.35">
      <c r="A768" s="18">
        <v>43367</v>
      </c>
      <c r="B768" s="15">
        <v>261.69705200195313</v>
      </c>
      <c r="C768" s="15">
        <v>64.226791381835938</v>
      </c>
      <c r="D768" s="15">
        <v>113.4700012207031</v>
      </c>
      <c r="E768" s="15">
        <v>175.919189453125</v>
      </c>
      <c r="F768" s="15">
        <v>134.619873046875</v>
      </c>
      <c r="H768" s="16">
        <f t="shared" si="34"/>
        <v>-9.283295210740436E-4</v>
      </c>
      <c r="I768" s="16">
        <f t="shared" si="34"/>
        <v>-7.6469533292581693E-4</v>
      </c>
      <c r="J768" s="16">
        <f t="shared" si="34"/>
        <v>1.5850681638405746E-3</v>
      </c>
      <c r="K768" s="16">
        <f t="shared" si="35"/>
        <v>1.3585134945715428E-3</v>
      </c>
      <c r="L768" s="16">
        <f t="shared" si="36"/>
        <v>-5.3139961213535933E-4</v>
      </c>
    </row>
    <row r="769" spans="1:12" x14ac:dyDescent="0.35">
      <c r="A769" s="18">
        <v>43368</v>
      </c>
      <c r="B769" s="15">
        <v>261.4542236328125</v>
      </c>
      <c r="C769" s="15">
        <v>64.177696228027344</v>
      </c>
      <c r="D769" s="15">
        <v>113.65000152587891</v>
      </c>
      <c r="E769" s="15">
        <v>176.15834045410159</v>
      </c>
      <c r="F769" s="15">
        <v>134.54835510253909</v>
      </c>
      <c r="H769" s="16">
        <f t="shared" si="34"/>
        <v>-2.9965485104984477E-3</v>
      </c>
      <c r="I769" s="16">
        <f t="shared" si="34"/>
        <v>2.5469508136142351E-3</v>
      </c>
      <c r="J769" s="16">
        <f t="shared" si="34"/>
        <v>-5.2933380059352539E-3</v>
      </c>
      <c r="K769" s="16">
        <f t="shared" si="35"/>
        <v>7.057017877747263E-4</v>
      </c>
      <c r="L769" s="16">
        <f t="shared" si="36"/>
        <v>-3.8609163082442988E-3</v>
      </c>
    </row>
    <row r="770" spans="1:12" x14ac:dyDescent="0.35">
      <c r="A770" s="18">
        <v>43369</v>
      </c>
      <c r="B770" s="15">
        <v>260.67193603515619</v>
      </c>
      <c r="C770" s="15">
        <v>64.341361999511719</v>
      </c>
      <c r="D770" s="15">
        <v>113.0500030517578</v>
      </c>
      <c r="E770" s="15">
        <v>176.28269958496091</v>
      </c>
      <c r="F770" s="15">
        <v>134.0298767089844</v>
      </c>
      <c r="H770" s="16">
        <f t="shared" si="34"/>
        <v>2.7901619187306122E-3</v>
      </c>
      <c r="I770" s="16">
        <f t="shared" si="34"/>
        <v>7.6286939775267271E-4</v>
      </c>
      <c r="J770" s="16">
        <f t="shared" si="34"/>
        <v>-8.8849982361257178E-3</v>
      </c>
      <c r="K770" s="16">
        <f t="shared" si="35"/>
        <v>8.4303182168570297E-3</v>
      </c>
      <c r="L770" s="16">
        <f t="shared" si="36"/>
        <v>2.3315817619966443E-3</v>
      </c>
    </row>
    <row r="771" spans="1:12" x14ac:dyDescent="0.35">
      <c r="A771" s="18">
        <v>43370</v>
      </c>
      <c r="B771" s="15">
        <v>261.4002685546875</v>
      </c>
      <c r="C771" s="15">
        <v>64.390464782714844</v>
      </c>
      <c r="D771" s="15">
        <v>112.0500030517578</v>
      </c>
      <c r="E771" s="15">
        <v>177.77510070800781</v>
      </c>
      <c r="F771" s="15">
        <v>134.3427429199219</v>
      </c>
      <c r="H771" s="16">
        <f t="shared" si="34"/>
        <v>1.03081885808113E-4</v>
      </c>
      <c r="I771" s="16">
        <f t="shared" si="34"/>
        <v>0</v>
      </c>
      <c r="J771" s="16">
        <f t="shared" si="34"/>
        <v>6.3164577082290519E-3</v>
      </c>
      <c r="K771" s="16">
        <f t="shared" si="35"/>
        <v>-2.1528978147706401E-4</v>
      </c>
      <c r="L771" s="16">
        <f t="shared" si="36"/>
        <v>4.2799535365909655E-4</v>
      </c>
    </row>
    <row r="772" spans="1:12" x14ac:dyDescent="0.35">
      <c r="A772" s="18">
        <v>43371</v>
      </c>
      <c r="B772" s="15">
        <v>261.42721557617188</v>
      </c>
      <c r="C772" s="15">
        <v>64.390464782714844</v>
      </c>
      <c r="D772" s="15">
        <v>112.7600021362305</v>
      </c>
      <c r="E772" s="15">
        <v>177.73683166503909</v>
      </c>
      <c r="F772" s="15">
        <v>134.40025329589841</v>
      </c>
      <c r="H772" s="16">
        <f t="shared" ref="H772:K835" si="37">LN(B773/B772)</f>
        <v>3.4682312379851091E-3</v>
      </c>
      <c r="I772" s="16">
        <f t="shared" si="37"/>
        <v>-1.8746706627683031E-3</v>
      </c>
      <c r="J772" s="16">
        <f t="shared" si="37"/>
        <v>-1.6864375351175779E-3</v>
      </c>
      <c r="K772" s="16">
        <f t="shared" si="37"/>
        <v>2.0432982938954486E-3</v>
      </c>
      <c r="L772" s="16">
        <f t="shared" ref="L772:L835" si="38">LN(F773/F772)</f>
        <v>1.5359355891490594E-3</v>
      </c>
    </row>
    <row r="773" spans="1:12" x14ac:dyDescent="0.35">
      <c r="A773" s="18">
        <v>43374</v>
      </c>
      <c r="B773" s="15">
        <v>262.33547973632813</v>
      </c>
      <c r="C773" s="15">
        <v>64.269866943359375</v>
      </c>
      <c r="D773" s="15">
        <v>112.5699996948242</v>
      </c>
      <c r="E773" s="15">
        <v>178.1003723144531</v>
      </c>
      <c r="F773" s="15">
        <v>134.6068420410156</v>
      </c>
      <c r="H773" s="16">
        <f t="shared" si="37"/>
        <v>-5.8286855707119218E-4</v>
      </c>
      <c r="I773" s="16">
        <f t="shared" si="37"/>
        <v>1.7849724332646387E-3</v>
      </c>
      <c r="J773" s="16">
        <f t="shared" si="37"/>
        <v>1.1482223287117932E-2</v>
      </c>
      <c r="K773" s="16">
        <f t="shared" si="37"/>
        <v>-2.2584626971577995E-3</v>
      </c>
      <c r="L773" s="16">
        <f t="shared" si="38"/>
        <v>-1.4696348405279886E-3</v>
      </c>
    </row>
    <row r="774" spans="1:12" x14ac:dyDescent="0.35">
      <c r="A774" s="18">
        <v>43375</v>
      </c>
      <c r="B774" s="15">
        <v>262.1826171875</v>
      </c>
      <c r="C774" s="15">
        <v>64.384689331054688</v>
      </c>
      <c r="D774" s="15">
        <v>113.870002746582</v>
      </c>
      <c r="E774" s="15">
        <v>177.69859313964841</v>
      </c>
      <c r="F774" s="15">
        <v>134.40916442871091</v>
      </c>
      <c r="H774" s="16">
        <f t="shared" si="37"/>
        <v>5.485505150200099E-4</v>
      </c>
      <c r="I774" s="16">
        <f t="shared" si="37"/>
        <v>-5.1080406993494138E-3</v>
      </c>
      <c r="J774" s="16">
        <f t="shared" si="37"/>
        <v>-3.9597445009813001E-3</v>
      </c>
      <c r="K774" s="16">
        <f t="shared" si="37"/>
        <v>1.0761313472358784E-3</v>
      </c>
      <c r="L774" s="16">
        <f t="shared" si="38"/>
        <v>1.3355230996265153E-3</v>
      </c>
    </row>
    <row r="775" spans="1:12" x14ac:dyDescent="0.35">
      <c r="A775" s="18">
        <v>43376</v>
      </c>
      <c r="B775" s="15">
        <v>262.32647705078119</v>
      </c>
      <c r="C775" s="15">
        <v>64.056648254394531</v>
      </c>
      <c r="D775" s="15">
        <v>113.4199981689453</v>
      </c>
      <c r="E775" s="15">
        <v>177.8899230957031</v>
      </c>
      <c r="F775" s="15">
        <v>134.58879089355469</v>
      </c>
      <c r="H775" s="16">
        <f t="shared" si="37"/>
        <v>-7.8460409387742409E-3</v>
      </c>
      <c r="I775" s="16">
        <f t="shared" si="37"/>
        <v>-2.5634800880920705E-3</v>
      </c>
      <c r="J775" s="16">
        <f t="shared" si="37"/>
        <v>5.289130805079614E-4</v>
      </c>
      <c r="K775" s="16">
        <f t="shared" si="37"/>
        <v>-1.9385461015146269E-2</v>
      </c>
      <c r="L775" s="16">
        <f t="shared" si="38"/>
        <v>-8.5105472244142548E-3</v>
      </c>
    </row>
    <row r="776" spans="1:12" x14ac:dyDescent="0.35">
      <c r="A776" s="18">
        <v>43377</v>
      </c>
      <c r="B776" s="15">
        <v>260.27630615234381</v>
      </c>
      <c r="C776" s="15">
        <v>63.892650604248047</v>
      </c>
      <c r="D776" s="15">
        <v>113.48000335693359</v>
      </c>
      <c r="E776" s="15">
        <v>174.47465515136719</v>
      </c>
      <c r="F776" s="15">
        <v>133.44822692871091</v>
      </c>
      <c r="H776" s="16">
        <f t="shared" si="37"/>
        <v>-5.6129194904863365E-3</v>
      </c>
      <c r="I776" s="16">
        <f t="shared" si="37"/>
        <v>-1.7989103527894553E-3</v>
      </c>
      <c r="J776" s="16">
        <f t="shared" si="37"/>
        <v>2.8159089867124108E-3</v>
      </c>
      <c r="K776" s="16">
        <f t="shared" si="37"/>
        <v>-1.2302359917217761E-2</v>
      </c>
      <c r="L776" s="16">
        <f t="shared" si="38"/>
        <v>-6.481763659680553E-3</v>
      </c>
    </row>
    <row r="777" spans="1:12" x14ac:dyDescent="0.35">
      <c r="A777" s="18">
        <v>43378</v>
      </c>
      <c r="B777" s="15">
        <v>258.81948852539063</v>
      </c>
      <c r="C777" s="15">
        <v>63.777816772460938</v>
      </c>
      <c r="D777" s="15">
        <v>113.8000030517578</v>
      </c>
      <c r="E777" s="15">
        <v>172.34135437011719</v>
      </c>
      <c r="F777" s="15">
        <v>132.58604431152341</v>
      </c>
      <c r="H777" s="16">
        <f t="shared" si="37"/>
        <v>0</v>
      </c>
      <c r="I777" s="16">
        <f t="shared" si="37"/>
        <v>-3.8550469346611651E-4</v>
      </c>
      <c r="J777" s="16">
        <f t="shared" si="37"/>
        <v>-1.1133826368821676E-2</v>
      </c>
      <c r="K777" s="16">
        <f t="shared" si="37"/>
        <v>-6.1251987450629238E-3</v>
      </c>
      <c r="L777" s="16">
        <f t="shared" si="38"/>
        <v>-7.4534405210066677E-4</v>
      </c>
    </row>
    <row r="778" spans="1:12" x14ac:dyDescent="0.35">
      <c r="A778" s="18">
        <v>43381</v>
      </c>
      <c r="B778" s="15">
        <v>258.81948852539063</v>
      </c>
      <c r="C778" s="15">
        <v>63.75323486328125</v>
      </c>
      <c r="D778" s="15">
        <v>112.5400009155273</v>
      </c>
      <c r="E778" s="15">
        <v>171.28895568847659</v>
      </c>
      <c r="F778" s="15">
        <v>132.48725891113281</v>
      </c>
      <c r="H778" s="16">
        <f t="shared" si="37"/>
        <v>-1.4602100730220634E-3</v>
      </c>
      <c r="I778" s="16">
        <f t="shared" si="37"/>
        <v>1.9279500903082473E-3</v>
      </c>
      <c r="J778" s="16">
        <f t="shared" si="37"/>
        <v>5.3298001400654588E-4</v>
      </c>
      <c r="K778" s="16">
        <f t="shared" si="37"/>
        <v>3.2343255238837946E-3</v>
      </c>
      <c r="L778" s="16">
        <f t="shared" si="38"/>
        <v>-1.7637974773195586E-3</v>
      </c>
    </row>
    <row r="779" spans="1:12" x14ac:dyDescent="0.35">
      <c r="A779" s="18">
        <v>43382</v>
      </c>
      <c r="B779" s="15">
        <v>258.44183349609381</v>
      </c>
      <c r="C779" s="15">
        <v>63.876266479492188</v>
      </c>
      <c r="D779" s="15">
        <v>112.59999847412109</v>
      </c>
      <c r="E779" s="15">
        <v>171.84385681152341</v>
      </c>
      <c r="F779" s="15">
        <v>132.2537841796875</v>
      </c>
      <c r="H779" s="16">
        <f t="shared" si="37"/>
        <v>-3.2175663180749547E-2</v>
      </c>
      <c r="I779" s="16">
        <f t="shared" si="37"/>
        <v>-7.7104483855499153E-4</v>
      </c>
      <c r="J779" s="16">
        <f t="shared" si="37"/>
        <v>2.4835810584161429E-3</v>
      </c>
      <c r="K779" s="16">
        <f t="shared" si="37"/>
        <v>-4.4975892382168592E-2</v>
      </c>
      <c r="L779" s="16">
        <f t="shared" si="38"/>
        <v>-3.2366912658069645E-2</v>
      </c>
    </row>
    <row r="780" spans="1:12" x14ac:dyDescent="0.35">
      <c r="A780" s="18">
        <v>43383</v>
      </c>
      <c r="B780" s="15">
        <v>250.25865173339841</v>
      </c>
      <c r="C780" s="15">
        <v>63.827033996582031</v>
      </c>
      <c r="D780" s="15">
        <v>112.879997253418</v>
      </c>
      <c r="E780" s="15">
        <v>164.2862548828125</v>
      </c>
      <c r="F780" s="15">
        <v>128.04167175292969</v>
      </c>
      <c r="H780" s="16">
        <f t="shared" si="37"/>
        <v>-2.2272671313491515E-2</v>
      </c>
      <c r="I780" s="16">
        <f t="shared" si="37"/>
        <v>2.8228322928131344E-3</v>
      </c>
      <c r="J780" s="16">
        <f t="shared" si="37"/>
        <v>2.5366544894876334E-2</v>
      </c>
      <c r="K780" s="16">
        <f t="shared" si="37"/>
        <v>-1.2480565428186822E-2</v>
      </c>
      <c r="L780" s="16">
        <f t="shared" si="38"/>
        <v>-2.1552886169549784E-2</v>
      </c>
    </row>
    <row r="781" spans="1:12" x14ac:dyDescent="0.35">
      <c r="A781" s="18">
        <v>43384</v>
      </c>
      <c r="B781" s="15">
        <v>244.746337890625</v>
      </c>
      <c r="C781" s="15">
        <v>64.007461547851563</v>
      </c>
      <c r="D781" s="15">
        <v>115.7799987792969</v>
      </c>
      <c r="E781" s="15">
        <v>162.24861145019531</v>
      </c>
      <c r="F781" s="15">
        <v>125.3115310668945</v>
      </c>
      <c r="H781" s="16">
        <f t="shared" si="37"/>
        <v>1.3793103496664638E-2</v>
      </c>
      <c r="I781" s="16">
        <f t="shared" si="37"/>
        <v>-2.5648177658175986E-4</v>
      </c>
      <c r="J781" s="16">
        <f t="shared" si="37"/>
        <v>-4.7616679491753154E-3</v>
      </c>
      <c r="K781" s="16">
        <f t="shared" si="37"/>
        <v>2.7450070215254613E-2</v>
      </c>
      <c r="L781" s="16">
        <f t="shared" si="38"/>
        <v>1.3100731945375843E-2</v>
      </c>
    </row>
    <row r="782" spans="1:12" x14ac:dyDescent="0.35">
      <c r="A782" s="18">
        <v>43385</v>
      </c>
      <c r="B782" s="15">
        <v>248.1455383300781</v>
      </c>
      <c r="C782" s="15">
        <v>63.991046905517578</v>
      </c>
      <c r="D782" s="15">
        <v>115.23000335693359</v>
      </c>
      <c r="E782" s="15">
        <v>166.7640380859375</v>
      </c>
      <c r="F782" s="15">
        <v>126.96400451660161</v>
      </c>
      <c r="H782" s="16">
        <f t="shared" si="37"/>
        <v>-5.6329415546205568E-3</v>
      </c>
      <c r="I782" s="16">
        <f t="shared" si="37"/>
        <v>-2.5642831980817452E-4</v>
      </c>
      <c r="J782" s="16">
        <f t="shared" si="37"/>
        <v>6.6600309479800572E-3</v>
      </c>
      <c r="K782" s="16">
        <f t="shared" si="37"/>
        <v>-1.2178016927973179E-2</v>
      </c>
      <c r="L782" s="16">
        <f t="shared" si="38"/>
        <v>-4.466549434173058E-3</v>
      </c>
    </row>
    <row r="783" spans="1:12" x14ac:dyDescent="0.35">
      <c r="A783" s="18">
        <v>43388</v>
      </c>
      <c r="B783" s="15">
        <v>246.7516784667969</v>
      </c>
      <c r="C783" s="15">
        <v>63.974639892578118</v>
      </c>
      <c r="D783" s="15">
        <v>116</v>
      </c>
      <c r="E783" s="15">
        <v>164.74549865722659</v>
      </c>
      <c r="F783" s="15">
        <v>126.39817810058589</v>
      </c>
      <c r="H783" s="16">
        <f t="shared" si="37"/>
        <v>2.1630024833478756E-2</v>
      </c>
      <c r="I783" s="16">
        <f t="shared" si="37"/>
        <v>7.695048541712182E-4</v>
      </c>
      <c r="J783" s="16">
        <f t="shared" si="37"/>
        <v>-1.7255996137758734E-3</v>
      </c>
      <c r="K783" s="16">
        <f t="shared" si="37"/>
        <v>2.8677276665010701E-2</v>
      </c>
      <c r="L783" s="16">
        <f t="shared" si="38"/>
        <v>2.1787492076286552E-2</v>
      </c>
    </row>
    <row r="784" spans="1:12" x14ac:dyDescent="0.35">
      <c r="A784" s="18">
        <v>43389</v>
      </c>
      <c r="B784" s="15">
        <v>252.1470642089844</v>
      </c>
      <c r="C784" s="15">
        <v>64.023887634277344</v>
      </c>
      <c r="D784" s="15">
        <v>115.8000030517578</v>
      </c>
      <c r="E784" s="15">
        <v>169.53834533691409</v>
      </c>
      <c r="F784" s="15">
        <v>129.18229675292969</v>
      </c>
      <c r="H784" s="16">
        <f t="shared" si="37"/>
        <v>1.7844409324024288E-4</v>
      </c>
      <c r="I784" s="16">
        <f t="shared" si="37"/>
        <v>-1.7952196101821149E-3</v>
      </c>
      <c r="J784" s="16">
        <f t="shared" si="37"/>
        <v>-8.6377961616372376E-5</v>
      </c>
      <c r="K784" s="16">
        <f t="shared" si="37"/>
        <v>3.9476081737232967E-4</v>
      </c>
      <c r="L784" s="16">
        <f t="shared" si="38"/>
        <v>-2.7808906448056198E-4</v>
      </c>
    </row>
    <row r="785" spans="1:12" x14ac:dyDescent="0.35">
      <c r="A785" s="18">
        <v>43390</v>
      </c>
      <c r="B785" s="15">
        <v>252.19206237792969</v>
      </c>
      <c r="C785" s="15">
        <v>63.909053802490227</v>
      </c>
      <c r="D785" s="15">
        <v>115.7900009155273</v>
      </c>
      <c r="E785" s="15">
        <v>169.60528564453119</v>
      </c>
      <c r="F785" s="15">
        <v>129.14637756347659</v>
      </c>
      <c r="H785" s="16">
        <f t="shared" si="37"/>
        <v>-1.4546413565620862E-2</v>
      </c>
      <c r="I785" s="16">
        <f t="shared" si="37"/>
        <v>-6.4198716331931587E-4</v>
      </c>
      <c r="J785" s="16">
        <f t="shared" si="37"/>
        <v>1.1220686856064186E-3</v>
      </c>
      <c r="K785" s="16">
        <f t="shared" si="37"/>
        <v>-2.3455318255037879E-2</v>
      </c>
      <c r="L785" s="16">
        <f t="shared" si="38"/>
        <v>-1.4570043937178496E-2</v>
      </c>
    </row>
    <row r="786" spans="1:12" x14ac:dyDescent="0.35">
      <c r="A786" s="18">
        <v>43391</v>
      </c>
      <c r="B786" s="15">
        <v>248.55012512207031</v>
      </c>
      <c r="C786" s="15">
        <v>63.868038177490227</v>
      </c>
      <c r="D786" s="15">
        <v>115.9199981689453</v>
      </c>
      <c r="E786" s="15">
        <v>165.6734313964844</v>
      </c>
      <c r="F786" s="15">
        <v>127.2783508300781</v>
      </c>
      <c r="H786" s="16">
        <f t="shared" si="37"/>
        <v>-5.4296832197062151E-4</v>
      </c>
      <c r="I786" s="16">
        <f t="shared" si="37"/>
        <v>-5.1355199453468996E-4</v>
      </c>
      <c r="J786" s="16">
        <f t="shared" si="37"/>
        <v>7.7613048492905067E-4</v>
      </c>
      <c r="K786" s="16">
        <f t="shared" si="37"/>
        <v>-9.2448261293024141E-4</v>
      </c>
      <c r="L786" s="16">
        <f t="shared" si="38"/>
        <v>-2.6143339694890601E-3</v>
      </c>
    </row>
    <row r="787" spans="1:12" x14ac:dyDescent="0.35">
      <c r="A787" s="18">
        <v>43392</v>
      </c>
      <c r="B787" s="15">
        <v>248.41520690917969</v>
      </c>
      <c r="C787" s="15">
        <v>63.835247039794922</v>
      </c>
      <c r="D787" s="15">
        <v>116.0100021362305</v>
      </c>
      <c r="E787" s="15">
        <v>165.52033996582031</v>
      </c>
      <c r="F787" s="15">
        <v>126.9460372924805</v>
      </c>
      <c r="H787" s="16">
        <f t="shared" si="37"/>
        <v>-4.4985786393605277E-3</v>
      </c>
      <c r="I787" s="16">
        <f t="shared" si="37"/>
        <v>-3.8563605412310109E-4</v>
      </c>
      <c r="J787" s="16">
        <f t="shared" si="37"/>
        <v>-2.5893597255192799E-3</v>
      </c>
      <c r="K787" s="16">
        <f t="shared" si="37"/>
        <v>5.1309293898615981E-3</v>
      </c>
      <c r="L787" s="16">
        <f t="shared" si="38"/>
        <v>-3.9700505727335708E-3</v>
      </c>
    </row>
    <row r="788" spans="1:12" x14ac:dyDescent="0.35">
      <c r="A788" s="18">
        <v>43395</v>
      </c>
      <c r="B788" s="15">
        <v>247.3002014160156</v>
      </c>
      <c r="C788" s="15">
        <v>63.810634613037109</v>
      </c>
      <c r="D788" s="15">
        <v>115.7099990844727</v>
      </c>
      <c r="E788" s="15">
        <v>166.3717956542969</v>
      </c>
      <c r="F788" s="15">
        <v>126.44305419921881</v>
      </c>
      <c r="H788" s="16">
        <f t="shared" si="37"/>
        <v>-5.1038685286837904E-3</v>
      </c>
      <c r="I788" s="16">
        <f t="shared" si="37"/>
        <v>1.4124167457585564E-3</v>
      </c>
      <c r="J788" s="16">
        <f t="shared" si="37"/>
        <v>5.8595627338752995E-3</v>
      </c>
      <c r="K788" s="16">
        <f t="shared" si="37"/>
        <v>-3.6871285895106539E-3</v>
      </c>
      <c r="L788" s="16">
        <f t="shared" si="38"/>
        <v>-5.9125239853356935E-3</v>
      </c>
    </row>
    <row r="789" spans="1:12" x14ac:dyDescent="0.35">
      <c r="A789" s="18">
        <v>43396</v>
      </c>
      <c r="B789" s="15">
        <v>246.0412292480469</v>
      </c>
      <c r="C789" s="15">
        <v>63.900825500488281</v>
      </c>
      <c r="D789" s="15">
        <v>116.38999938964839</v>
      </c>
      <c r="E789" s="15">
        <v>165.7594909667969</v>
      </c>
      <c r="F789" s="15">
        <v>125.6976623535156</v>
      </c>
      <c r="H789" s="16">
        <f t="shared" si="37"/>
        <v>-3.0766736063316334E-2</v>
      </c>
      <c r="I789" s="16">
        <f t="shared" si="37"/>
        <v>2.6920577352386971E-3</v>
      </c>
      <c r="J789" s="16">
        <f t="shared" si="37"/>
        <v>2.3171370069300879E-3</v>
      </c>
      <c r="K789" s="16">
        <f t="shared" si="37"/>
        <v>-4.6847044158340394E-2</v>
      </c>
      <c r="L789" s="16">
        <f t="shared" si="38"/>
        <v>-3.1573555614630634E-2</v>
      </c>
    </row>
    <row r="790" spans="1:12" x14ac:dyDescent="0.35">
      <c r="A790" s="18">
        <v>43397</v>
      </c>
      <c r="B790" s="15">
        <v>238.58660888671881</v>
      </c>
      <c r="C790" s="15">
        <v>64.073081970214844</v>
      </c>
      <c r="D790" s="15">
        <v>116.6600036621094</v>
      </c>
      <c r="E790" s="15">
        <v>158.17323303222659</v>
      </c>
      <c r="F790" s="15">
        <v>121.7909393310547</v>
      </c>
      <c r="H790" s="16">
        <f t="shared" si="37"/>
        <v>1.7781287960897705E-2</v>
      </c>
      <c r="I790" s="16">
        <f t="shared" si="37"/>
        <v>-1.153056095406969E-3</v>
      </c>
      <c r="J790" s="16">
        <f t="shared" si="37"/>
        <v>-2.2312043105313334E-3</v>
      </c>
      <c r="K790" s="16">
        <f t="shared" si="37"/>
        <v>3.4010494438846003E-2</v>
      </c>
      <c r="L790" s="16">
        <f t="shared" si="38"/>
        <v>1.8629240574006646E-2</v>
      </c>
    </row>
    <row r="791" spans="1:12" x14ac:dyDescent="0.35">
      <c r="A791" s="18">
        <v>43398</v>
      </c>
      <c r="B791" s="15">
        <v>242.86692810058591</v>
      </c>
      <c r="C791" s="15">
        <v>63.999244689941413</v>
      </c>
      <c r="D791" s="15">
        <v>116.40000152587891</v>
      </c>
      <c r="E791" s="15">
        <v>163.64530944824219</v>
      </c>
      <c r="F791" s="15">
        <v>124.08107757568359</v>
      </c>
      <c r="H791" s="16">
        <f t="shared" si="37"/>
        <v>-1.7743811076168955E-2</v>
      </c>
      <c r="I791" s="16">
        <f t="shared" si="37"/>
        <v>1.7921564771646817E-3</v>
      </c>
      <c r="J791" s="16">
        <f t="shared" si="37"/>
        <v>3.1736109331066205E-3</v>
      </c>
      <c r="K791" s="16">
        <f t="shared" si="37"/>
        <v>-2.6058434450878229E-2</v>
      </c>
      <c r="L791" s="16">
        <f t="shared" si="38"/>
        <v>-1.7449923134764605E-2</v>
      </c>
    </row>
    <row r="792" spans="1:12" x14ac:dyDescent="0.35">
      <c r="A792" s="18">
        <v>43399</v>
      </c>
      <c r="B792" s="15">
        <v>238.5955505371094</v>
      </c>
      <c r="C792" s="15">
        <v>64.114044189453125</v>
      </c>
      <c r="D792" s="15">
        <v>116.76999664306641</v>
      </c>
      <c r="E792" s="15">
        <v>159.43605041503909</v>
      </c>
      <c r="F792" s="15">
        <v>121.9346542358398</v>
      </c>
      <c r="H792" s="16">
        <f t="shared" si="37"/>
        <v>-5.5556758383550975E-3</v>
      </c>
      <c r="I792" s="16">
        <f t="shared" si="37"/>
        <v>-8.9561720859580103E-4</v>
      </c>
      <c r="J792" s="16">
        <f t="shared" si="37"/>
        <v>-3.9471399789319109E-3</v>
      </c>
      <c r="K792" s="16">
        <f t="shared" si="37"/>
        <v>-2.079546926641565E-2</v>
      </c>
      <c r="L792" s="16">
        <f t="shared" si="38"/>
        <v>-5.5397681119904747E-3</v>
      </c>
    </row>
    <row r="793" spans="1:12" x14ac:dyDescent="0.35">
      <c r="A793" s="18">
        <v>43402</v>
      </c>
      <c r="B793" s="15">
        <v>237.27366638183591</v>
      </c>
      <c r="C793" s="15">
        <v>64.056648254394531</v>
      </c>
      <c r="D793" s="15">
        <v>116.30999755859381</v>
      </c>
      <c r="E793" s="15">
        <v>156.15473937988281</v>
      </c>
      <c r="F793" s="15">
        <v>121.2610321044922</v>
      </c>
      <c r="H793" s="16">
        <f t="shared" si="37"/>
        <v>1.4709830353622796E-2</v>
      </c>
      <c r="I793" s="16">
        <f t="shared" si="37"/>
        <v>-1.4089188751943262E-3</v>
      </c>
      <c r="J793" s="16">
        <f t="shared" si="37"/>
        <v>-4.3944278678486838E-3</v>
      </c>
      <c r="K793" s="16">
        <f t="shared" si="37"/>
        <v>1.6345359825254237E-2</v>
      </c>
      <c r="L793" s="16">
        <f t="shared" si="38"/>
        <v>1.5506999411111656E-2</v>
      </c>
    </row>
    <row r="794" spans="1:12" x14ac:dyDescent="0.35">
      <c r="A794" s="18">
        <v>43403</v>
      </c>
      <c r="B794" s="15">
        <v>240.78971862792969</v>
      </c>
      <c r="C794" s="15">
        <v>63.966461181640618</v>
      </c>
      <c r="D794" s="15">
        <v>115.8000030517578</v>
      </c>
      <c r="E794" s="15">
        <v>158.7281188964844</v>
      </c>
      <c r="F794" s="15">
        <v>123.1560821533203</v>
      </c>
      <c r="H794" s="16">
        <f t="shared" si="37"/>
        <v>1.0624210652331724E-2</v>
      </c>
      <c r="I794" s="16">
        <f t="shared" si="37"/>
        <v>-2.0534027248415828E-3</v>
      </c>
      <c r="J794" s="16">
        <f t="shared" si="37"/>
        <v>-5.6289519746666921E-3</v>
      </c>
      <c r="K794" s="16">
        <f t="shared" si="37"/>
        <v>2.3233053286300685E-2</v>
      </c>
      <c r="L794" s="16">
        <f t="shared" si="38"/>
        <v>1.037393906832014E-2</v>
      </c>
    </row>
    <row r="795" spans="1:12" x14ac:dyDescent="0.35">
      <c r="A795" s="18">
        <v>43404</v>
      </c>
      <c r="B795" s="15">
        <v>243.36155700683591</v>
      </c>
      <c r="C795" s="15">
        <v>63.835247039794922</v>
      </c>
      <c r="D795" s="15">
        <v>115.15000152587891</v>
      </c>
      <c r="E795" s="15">
        <v>162.45903015136719</v>
      </c>
      <c r="F795" s="15">
        <v>124.4403457641602</v>
      </c>
      <c r="H795" s="16">
        <f t="shared" si="37"/>
        <v>1.0585421869270396E-2</v>
      </c>
      <c r="I795" s="16">
        <f t="shared" si="37"/>
        <v>1.8523499076015034E-3</v>
      </c>
      <c r="J795" s="16">
        <f t="shared" si="37"/>
        <v>1.2770867635503429E-2</v>
      </c>
      <c r="K795" s="16">
        <f t="shared" si="37"/>
        <v>1.310415790150231E-2</v>
      </c>
      <c r="L795" s="16">
        <f t="shared" si="38"/>
        <v>1.1266744406606273E-2</v>
      </c>
    </row>
    <row r="796" spans="1:12" x14ac:dyDescent="0.35">
      <c r="A796" s="18">
        <v>43405</v>
      </c>
      <c r="B796" s="15">
        <v>245.9513244628906</v>
      </c>
      <c r="C796" s="15">
        <v>63.953601837158203</v>
      </c>
      <c r="D796" s="15">
        <v>116.629997253418</v>
      </c>
      <c r="E796" s="15">
        <v>164.6019287109375</v>
      </c>
      <c r="F796" s="15">
        <v>125.8503112792969</v>
      </c>
      <c r="H796" s="16">
        <f t="shared" si="37"/>
        <v>-5.9404321258552037E-3</v>
      </c>
      <c r="I796" s="16">
        <f t="shared" si="37"/>
        <v>-3.7346000446564979E-3</v>
      </c>
      <c r="J796" s="16">
        <f t="shared" si="37"/>
        <v>1.7150439484421787E-4</v>
      </c>
      <c r="K796" s="16">
        <f t="shared" si="37"/>
        <v>-1.5698317253298556E-2</v>
      </c>
      <c r="L796" s="16">
        <f t="shared" si="38"/>
        <v>-4.0754751476188575E-3</v>
      </c>
    </row>
    <row r="797" spans="1:12" x14ac:dyDescent="0.35">
      <c r="A797" s="18">
        <v>43406</v>
      </c>
      <c r="B797" s="15">
        <v>244.4945983886719</v>
      </c>
      <c r="C797" s="15">
        <v>63.715206146240227</v>
      </c>
      <c r="D797" s="15">
        <v>116.65000152587891</v>
      </c>
      <c r="E797" s="15">
        <v>162.03813171386719</v>
      </c>
      <c r="F797" s="15">
        <v>125.3384552001953</v>
      </c>
      <c r="H797" s="16">
        <f t="shared" si="37"/>
        <v>5.5015277960116316E-3</v>
      </c>
      <c r="I797" s="16">
        <f t="shared" si="37"/>
        <v>7.7407268657233132E-4</v>
      </c>
      <c r="J797" s="16">
        <f t="shared" si="37"/>
        <v>-2.4032178261360836E-3</v>
      </c>
      <c r="K797" s="16">
        <f t="shared" si="37"/>
        <v>-2.4826138649238442E-3</v>
      </c>
      <c r="L797" s="16">
        <f t="shared" si="38"/>
        <v>4.860171447437933E-3</v>
      </c>
    </row>
    <row r="798" spans="1:12" x14ac:dyDescent="0.35">
      <c r="A798" s="18">
        <v>43409</v>
      </c>
      <c r="B798" s="15">
        <v>245.84339904785159</v>
      </c>
      <c r="C798" s="15">
        <v>63.764545440673828</v>
      </c>
      <c r="D798" s="15">
        <v>116.370002746582</v>
      </c>
      <c r="E798" s="15">
        <v>161.6363525390625</v>
      </c>
      <c r="F798" s="15">
        <v>125.949104309082</v>
      </c>
      <c r="H798" s="16">
        <f t="shared" si="37"/>
        <v>6.3079906982161397E-3</v>
      </c>
      <c r="I798" s="16">
        <f t="shared" si="37"/>
        <v>-1.286314607524583E-4</v>
      </c>
      <c r="J798" s="16">
        <f t="shared" si="37"/>
        <v>-2.8398265791741537E-3</v>
      </c>
      <c r="K798" s="16">
        <f t="shared" si="37"/>
        <v>7.5472993275528949E-3</v>
      </c>
      <c r="L798" s="16">
        <f t="shared" si="38"/>
        <v>5.6882805032052739E-3</v>
      </c>
    </row>
    <row r="799" spans="1:12" x14ac:dyDescent="0.35">
      <c r="A799" s="18">
        <v>43410</v>
      </c>
      <c r="B799" s="15">
        <v>247.3990783691406</v>
      </c>
      <c r="C799" s="15">
        <v>63.756343841552727</v>
      </c>
      <c r="D799" s="15">
        <v>116.0400009155273</v>
      </c>
      <c r="E799" s="15">
        <v>162.86088562011719</v>
      </c>
      <c r="F799" s="15">
        <v>126.66757965087891</v>
      </c>
      <c r="H799" s="16">
        <f t="shared" si="37"/>
        <v>2.1182756403075008E-2</v>
      </c>
      <c r="I799" s="16">
        <f t="shared" si="37"/>
        <v>9.0156741572974667E-4</v>
      </c>
      <c r="J799" s="16">
        <f t="shared" si="37"/>
        <v>-8.6199304087044112E-5</v>
      </c>
      <c r="K799" s="16">
        <f t="shared" si="37"/>
        <v>3.088557333411119E-2</v>
      </c>
      <c r="L799" s="16">
        <f t="shared" si="38"/>
        <v>2.0214452415996356E-2</v>
      </c>
    </row>
    <row r="800" spans="1:12" x14ac:dyDescent="0.35">
      <c r="A800" s="18">
        <v>43411</v>
      </c>
      <c r="B800" s="15">
        <v>252.69557189941409</v>
      </c>
      <c r="C800" s="15">
        <v>63.813850402832031</v>
      </c>
      <c r="D800" s="15">
        <v>116.0299987792969</v>
      </c>
      <c r="E800" s="15">
        <v>167.96942138671881</v>
      </c>
      <c r="F800" s="15">
        <v>129.254150390625</v>
      </c>
      <c r="H800" s="16">
        <f t="shared" si="37"/>
        <v>-1.8163712928667857E-3</v>
      </c>
      <c r="I800" s="16">
        <f t="shared" si="37"/>
        <v>-1.6760391112711616E-3</v>
      </c>
      <c r="J800" s="16">
        <f t="shared" si="37"/>
        <v>-2.1569397313122769E-3</v>
      </c>
      <c r="K800" s="16">
        <f t="shared" si="37"/>
        <v>-6.3994041738955308E-3</v>
      </c>
      <c r="L800" s="16">
        <f t="shared" si="38"/>
        <v>-1.9474018746329345E-3</v>
      </c>
    </row>
    <row r="801" spans="1:12" x14ac:dyDescent="0.35">
      <c r="A801" s="18">
        <v>43412</v>
      </c>
      <c r="B801" s="15">
        <v>252.23699951171881</v>
      </c>
      <c r="C801" s="15">
        <v>63.706985473632813</v>
      </c>
      <c r="D801" s="15">
        <v>115.7799987792969</v>
      </c>
      <c r="E801" s="15">
        <v>166.89794921875</v>
      </c>
      <c r="F801" s="15">
        <v>129.002685546875</v>
      </c>
      <c r="H801" s="16">
        <f t="shared" si="37"/>
        <v>-9.8160235465467784E-3</v>
      </c>
      <c r="I801" s="16">
        <f t="shared" si="37"/>
        <v>2.4492740827108629E-3</v>
      </c>
      <c r="J801" s="16">
        <f t="shared" si="37"/>
        <v>-1.1291663536045701E-2</v>
      </c>
      <c r="K801" s="16">
        <f t="shared" si="37"/>
        <v>-1.6995684116211298E-2</v>
      </c>
      <c r="L801" s="16">
        <f t="shared" si="38"/>
        <v>-1.0286905386564182E-2</v>
      </c>
    </row>
    <row r="802" spans="1:12" x14ac:dyDescent="0.35">
      <c r="A802" s="18">
        <v>43413</v>
      </c>
      <c r="B802" s="15">
        <v>249.77314758300781</v>
      </c>
      <c r="C802" s="15">
        <v>63.863212585449219</v>
      </c>
      <c r="D802" s="15">
        <v>114.48000335693359</v>
      </c>
      <c r="E802" s="15">
        <v>164.08537292480469</v>
      </c>
      <c r="F802" s="15">
        <v>127.6824493408203</v>
      </c>
      <c r="H802" s="16">
        <f t="shared" si="37"/>
        <v>-1.8862501517122394E-2</v>
      </c>
      <c r="I802" s="16">
        <f t="shared" si="37"/>
        <v>1.5433664907835314E-3</v>
      </c>
      <c r="J802" s="16">
        <f t="shared" si="37"/>
        <v>-7.1885964826783584E-3</v>
      </c>
      <c r="K802" s="16">
        <f t="shared" si="37"/>
        <v>-3.0726049552440255E-2</v>
      </c>
      <c r="L802" s="16">
        <f t="shared" si="38"/>
        <v>-1.9388760509130545E-2</v>
      </c>
    </row>
    <row r="803" spans="1:12" x14ac:dyDescent="0.35">
      <c r="A803" s="18">
        <v>43416</v>
      </c>
      <c r="B803" s="15">
        <v>245.10595703125</v>
      </c>
      <c r="C803" s="15">
        <v>63.96185302734375</v>
      </c>
      <c r="D803" s="15">
        <v>113.6600036621094</v>
      </c>
      <c r="E803" s="15">
        <v>159.12034606933591</v>
      </c>
      <c r="F803" s="15">
        <v>125.23069000244141</v>
      </c>
      <c r="H803" s="16">
        <f t="shared" si="37"/>
        <v>-1.8724801381672155E-3</v>
      </c>
      <c r="I803" s="16">
        <f t="shared" si="37"/>
        <v>-5.1387263329729141E-4</v>
      </c>
      <c r="J803" s="16">
        <f t="shared" si="37"/>
        <v>3.5180582721609056E-4</v>
      </c>
      <c r="K803" s="16">
        <f t="shared" si="37"/>
        <v>8.4150492185984971E-4</v>
      </c>
      <c r="L803" s="16">
        <f t="shared" si="38"/>
        <v>-1.4359433480760574E-3</v>
      </c>
    </row>
    <row r="804" spans="1:12" x14ac:dyDescent="0.35">
      <c r="A804" s="18">
        <v>43417</v>
      </c>
      <c r="B804" s="15">
        <v>244.6474304199219</v>
      </c>
      <c r="C804" s="15">
        <v>63.928993225097663</v>
      </c>
      <c r="D804" s="15">
        <v>113.6999969482422</v>
      </c>
      <c r="E804" s="15">
        <v>159.2543029785156</v>
      </c>
      <c r="F804" s="15">
        <v>125.0509948730469</v>
      </c>
      <c r="H804" s="16">
        <f t="shared" si="37"/>
        <v>-6.8599088831985434E-3</v>
      </c>
      <c r="I804" s="16">
        <f t="shared" si="37"/>
        <v>7.7059070969027685E-4</v>
      </c>
      <c r="J804" s="16">
        <f t="shared" si="37"/>
        <v>8.2334042797923678E-3</v>
      </c>
      <c r="K804" s="16">
        <f t="shared" si="37"/>
        <v>-7.6583429655293122E-3</v>
      </c>
      <c r="L804" s="16">
        <f t="shared" si="38"/>
        <v>-7.3521586591132728E-3</v>
      </c>
    </row>
    <row r="805" spans="1:12" x14ac:dyDescent="0.35">
      <c r="A805" s="18">
        <v>43418</v>
      </c>
      <c r="B805" s="15">
        <v>242.97491455078119</v>
      </c>
      <c r="C805" s="15">
        <v>63.978275299072273</v>
      </c>
      <c r="D805" s="15">
        <v>114.63999938964839</v>
      </c>
      <c r="E805" s="15">
        <v>158.0393371582031</v>
      </c>
      <c r="F805" s="15">
        <v>124.1349716186523</v>
      </c>
      <c r="H805" s="16">
        <f t="shared" si="37"/>
        <v>1.0382372629017408E-2</v>
      </c>
      <c r="I805" s="16">
        <f t="shared" si="37"/>
        <v>1.2866222308849327E-4</v>
      </c>
      <c r="J805" s="16">
        <f t="shared" si="37"/>
        <v>1.1333182475068298E-3</v>
      </c>
      <c r="K805" s="16">
        <f t="shared" si="37"/>
        <v>1.7342645538632771E-2</v>
      </c>
      <c r="L805" s="16">
        <f t="shared" si="38"/>
        <v>1.1223505035492715E-2</v>
      </c>
    </row>
    <row r="806" spans="1:12" x14ac:dyDescent="0.35">
      <c r="A806" s="18">
        <v>43419</v>
      </c>
      <c r="B806" s="15">
        <v>245.5107116699219</v>
      </c>
      <c r="C806" s="15">
        <v>63.986507415771477</v>
      </c>
      <c r="D806" s="15">
        <v>114.76999664306641</v>
      </c>
      <c r="E806" s="15">
        <v>160.80406188964841</v>
      </c>
      <c r="F806" s="15">
        <v>125.5360488891602</v>
      </c>
      <c r="H806" s="16">
        <f t="shared" si="37"/>
        <v>2.5972795940249955E-3</v>
      </c>
      <c r="I806" s="16">
        <f t="shared" si="37"/>
        <v>2.1824088309613096E-3</v>
      </c>
      <c r="J806" s="16">
        <f t="shared" si="37"/>
        <v>7.37887896622858E-3</v>
      </c>
      <c r="K806" s="16">
        <f t="shared" si="37"/>
        <v>-3.5161766879790949E-3</v>
      </c>
      <c r="L806" s="16">
        <f t="shared" si="38"/>
        <v>2.1435887963560897E-3</v>
      </c>
    </row>
    <row r="807" spans="1:12" x14ac:dyDescent="0.35">
      <c r="A807" s="18">
        <v>43420</v>
      </c>
      <c r="B807" s="15">
        <v>246.1492004394531</v>
      </c>
      <c r="C807" s="15">
        <v>64.126304626464844</v>
      </c>
      <c r="D807" s="15">
        <v>115.620002746582</v>
      </c>
      <c r="E807" s="15">
        <v>160.23963928222659</v>
      </c>
      <c r="F807" s="15">
        <v>125.80543518066411</v>
      </c>
      <c r="H807" s="16">
        <f t="shared" si="37"/>
        <v>-1.7059403209812286E-2</v>
      </c>
      <c r="I807" s="16">
        <f t="shared" si="37"/>
        <v>0</v>
      </c>
      <c r="J807" s="16">
        <f t="shared" si="37"/>
        <v>4.3231806774248784E-4</v>
      </c>
      <c r="K807" s="16">
        <f t="shared" si="37"/>
        <v>-3.301676294374107E-2</v>
      </c>
      <c r="L807" s="16">
        <f t="shared" si="38"/>
        <v>-1.7499433805386495E-2</v>
      </c>
    </row>
    <row r="808" spans="1:12" x14ac:dyDescent="0.35">
      <c r="A808" s="18">
        <v>43423</v>
      </c>
      <c r="B808" s="15">
        <v>241.98565673828119</v>
      </c>
      <c r="C808" s="15">
        <v>64.126304626464844</v>
      </c>
      <c r="D808" s="15">
        <v>115.6699981689453</v>
      </c>
      <c r="E808" s="15">
        <v>155.0354309082031</v>
      </c>
      <c r="F808" s="15">
        <v>123.62306213378911</v>
      </c>
      <c r="H808" s="16">
        <f t="shared" si="37"/>
        <v>-1.8679414698869148E-2</v>
      </c>
      <c r="I808" s="16">
        <f t="shared" si="37"/>
        <v>-6.4135916543180843E-4</v>
      </c>
      <c r="J808" s="16">
        <f t="shared" si="37"/>
        <v>0</v>
      </c>
      <c r="K808" s="16">
        <f t="shared" si="37"/>
        <v>-1.8056811807335555E-2</v>
      </c>
      <c r="L808" s="16">
        <f t="shared" si="38"/>
        <v>-1.7958962420671409E-2</v>
      </c>
    </row>
    <row r="809" spans="1:12" x14ac:dyDescent="0.35">
      <c r="A809" s="18">
        <v>43424</v>
      </c>
      <c r="B809" s="15">
        <v>237.50746154785159</v>
      </c>
      <c r="C809" s="15">
        <v>64.085189819335938</v>
      </c>
      <c r="D809" s="15">
        <v>115.6699981689453</v>
      </c>
      <c r="E809" s="15">
        <v>152.2611083984375</v>
      </c>
      <c r="F809" s="15">
        <v>121.422737121582</v>
      </c>
      <c r="H809" s="16">
        <f t="shared" si="37"/>
        <v>3.4017254089605017E-3</v>
      </c>
      <c r="I809" s="16">
        <f t="shared" si="37"/>
        <v>1.0255729557489485E-3</v>
      </c>
      <c r="J809" s="16">
        <f t="shared" si="37"/>
        <v>1.6412774591656701E-3</v>
      </c>
      <c r="K809" s="16">
        <f t="shared" si="37"/>
        <v>7.5734298751454036E-3</v>
      </c>
      <c r="L809" s="16">
        <f t="shared" si="38"/>
        <v>4.8698952855121521E-3</v>
      </c>
    </row>
    <row r="810" spans="1:12" x14ac:dyDescent="0.35">
      <c r="A810" s="18">
        <v>43425</v>
      </c>
      <c r="B810" s="15">
        <v>238.3167724609375</v>
      </c>
      <c r="C810" s="15">
        <v>64.150947570800781</v>
      </c>
      <c r="D810" s="15">
        <v>115.86000061035161</v>
      </c>
      <c r="E810" s="15">
        <v>153.41862487792969</v>
      </c>
      <c r="F810" s="15">
        <v>122.015495300293</v>
      </c>
      <c r="H810" s="16">
        <f t="shared" si="37"/>
        <v>-6.7012230338960735E-3</v>
      </c>
      <c r="I810" s="16">
        <f t="shared" si="37"/>
        <v>-1.2797556588073589E-4</v>
      </c>
      <c r="J810" s="16">
        <f t="shared" si="37"/>
        <v>-7.7713571542707119E-4</v>
      </c>
      <c r="K810" s="16">
        <f t="shared" si="37"/>
        <v>-7.2592062014174693E-3</v>
      </c>
      <c r="L810" s="16">
        <f t="shared" si="38"/>
        <v>-5.3879017077541058E-3</v>
      </c>
    </row>
    <row r="811" spans="1:12" x14ac:dyDescent="0.35">
      <c r="A811" s="18">
        <v>43427</v>
      </c>
      <c r="B811" s="15">
        <v>236.72509765625</v>
      </c>
      <c r="C811" s="15">
        <v>64.142738342285156</v>
      </c>
      <c r="D811" s="15">
        <v>115.76999664306641</v>
      </c>
      <c r="E811" s="15">
        <v>152.3089599609375</v>
      </c>
      <c r="F811" s="15">
        <v>121.3598556518555</v>
      </c>
      <c r="H811" s="16">
        <f t="shared" si="37"/>
        <v>1.6015371165341109E-2</v>
      </c>
      <c r="I811" s="16">
        <f t="shared" si="37"/>
        <v>-7.699830516525708E-4</v>
      </c>
      <c r="J811" s="16">
        <f t="shared" si="37"/>
        <v>-1.123523350947354E-3</v>
      </c>
      <c r="K811" s="16">
        <f t="shared" si="37"/>
        <v>2.2850871093333187E-2</v>
      </c>
      <c r="L811" s="16">
        <f t="shared" si="38"/>
        <v>1.5421054072225465E-2</v>
      </c>
    </row>
    <row r="812" spans="1:12" x14ac:dyDescent="0.35">
      <c r="A812" s="18">
        <v>43430</v>
      </c>
      <c r="B812" s="15">
        <v>240.54685974121091</v>
      </c>
      <c r="C812" s="15">
        <v>64.093368530273438</v>
      </c>
      <c r="D812" s="15">
        <v>115.63999938964839</v>
      </c>
      <c r="E812" s="15">
        <v>155.82942199707031</v>
      </c>
      <c r="F812" s="15">
        <v>123.2458572387695</v>
      </c>
      <c r="H812" s="16">
        <f t="shared" si="37"/>
        <v>3.3589419003870018E-3</v>
      </c>
      <c r="I812" s="16">
        <f t="shared" si="37"/>
        <v>6.4127735026447822E-4</v>
      </c>
      <c r="J812" s="16">
        <f t="shared" si="37"/>
        <v>-5.9846872094904214E-3</v>
      </c>
      <c r="K812" s="16">
        <f t="shared" si="37"/>
        <v>3.370978957883756E-3</v>
      </c>
      <c r="L812" s="16">
        <f t="shared" si="38"/>
        <v>1.2379915534221242E-3</v>
      </c>
    </row>
    <row r="813" spans="1:12" x14ac:dyDescent="0.35">
      <c r="A813" s="18">
        <v>43431</v>
      </c>
      <c r="B813" s="15">
        <v>241.356201171875</v>
      </c>
      <c r="C813" s="15">
        <v>64.134483337402344</v>
      </c>
      <c r="D813" s="15">
        <v>114.9499969482422</v>
      </c>
      <c r="E813" s="15">
        <v>156.35560607910159</v>
      </c>
      <c r="F813" s="15">
        <v>123.3985290527344</v>
      </c>
      <c r="H813" s="16">
        <f t="shared" si="37"/>
        <v>2.2764394387855311E-2</v>
      </c>
      <c r="I813" s="16">
        <f t="shared" si="37"/>
        <v>5.1317776789051883E-4</v>
      </c>
      <c r="J813" s="16">
        <f t="shared" si="37"/>
        <v>3.7337803634572711E-3</v>
      </c>
      <c r="K813" s="16">
        <f t="shared" si="37"/>
        <v>3.1676009204338329E-2</v>
      </c>
      <c r="L813" s="16">
        <f t="shared" si="38"/>
        <v>2.30229507636459E-2</v>
      </c>
    </row>
    <row r="814" spans="1:12" x14ac:dyDescent="0.35">
      <c r="A814" s="18">
        <v>43432</v>
      </c>
      <c r="B814" s="15">
        <v>246.9135437011719</v>
      </c>
      <c r="C814" s="15">
        <v>64.167404174804688</v>
      </c>
      <c r="D814" s="15">
        <v>115.379997253418</v>
      </c>
      <c r="E814" s="15">
        <v>161.3876037597656</v>
      </c>
      <c r="F814" s="15">
        <v>126.27248382568359</v>
      </c>
      <c r="H814" s="16">
        <f t="shared" si="37"/>
        <v>-2.1875100458287403E-3</v>
      </c>
      <c r="I814" s="16">
        <f t="shared" si="37"/>
        <v>7.6790692572673242E-4</v>
      </c>
      <c r="J814" s="16">
        <f t="shared" si="37"/>
        <v>3.1152726644627735E-3</v>
      </c>
      <c r="K814" s="16">
        <f t="shared" si="37"/>
        <v>-3.2657014383210667E-3</v>
      </c>
      <c r="L814" s="16">
        <f t="shared" si="38"/>
        <v>-1.8511107093742627E-3</v>
      </c>
    </row>
    <row r="815" spans="1:12" x14ac:dyDescent="0.35">
      <c r="A815" s="18">
        <v>43433</v>
      </c>
      <c r="B815" s="15">
        <v>246.37400817871091</v>
      </c>
      <c r="C815" s="15">
        <v>64.216697692871094</v>
      </c>
      <c r="D815" s="15">
        <v>115.7399978637695</v>
      </c>
      <c r="E815" s="15">
        <v>160.8614196777344</v>
      </c>
      <c r="F815" s="15">
        <v>126.03895568847661</v>
      </c>
      <c r="H815" s="16">
        <f t="shared" si="37"/>
        <v>6.0765555984139364E-3</v>
      </c>
      <c r="I815" s="16">
        <f t="shared" si="37"/>
        <v>3.8402934917051664E-4</v>
      </c>
      <c r="J815" s="16">
        <f t="shared" si="37"/>
        <v>-1.7294794115243661E-3</v>
      </c>
      <c r="K815" s="16">
        <f t="shared" si="37"/>
        <v>7.2295848352839209E-3</v>
      </c>
      <c r="L815" s="16">
        <f t="shared" si="38"/>
        <v>7.1710616544383484E-3</v>
      </c>
    </row>
    <row r="816" spans="1:12" x14ac:dyDescent="0.35">
      <c r="A816" s="18">
        <v>43434</v>
      </c>
      <c r="B816" s="15">
        <v>247.87567138671881</v>
      </c>
      <c r="C816" s="15">
        <v>64.241363525390625</v>
      </c>
      <c r="D816" s="15">
        <v>115.5400009155273</v>
      </c>
      <c r="E816" s="15">
        <v>162.0285949707031</v>
      </c>
      <c r="F816" s="15">
        <v>126.9460372924805</v>
      </c>
      <c r="H816" s="16">
        <f t="shared" si="37"/>
        <v>1.315458218939162E-2</v>
      </c>
      <c r="I816" s="16">
        <f t="shared" si="37"/>
        <v>1.5642886905971908E-3</v>
      </c>
      <c r="J816" s="16">
        <f t="shared" si="37"/>
        <v>7.5016754418488459E-3</v>
      </c>
      <c r="K816" s="16">
        <f t="shared" si="37"/>
        <v>1.7325374218012352E-2</v>
      </c>
      <c r="L816" s="16">
        <f t="shared" si="38"/>
        <v>1.1605581717708688E-2</v>
      </c>
    </row>
    <row r="817" spans="1:12" x14ac:dyDescent="0.35">
      <c r="A817" s="18">
        <v>43437</v>
      </c>
      <c r="B817" s="15">
        <v>251.15791320800781</v>
      </c>
      <c r="C817" s="15">
        <v>64.341934204101563</v>
      </c>
      <c r="D817" s="15">
        <v>116.4100036621094</v>
      </c>
      <c r="E817" s="15">
        <v>164.8602600097656</v>
      </c>
      <c r="F817" s="15">
        <v>128.42790222167969</v>
      </c>
      <c r="H817" s="16">
        <f t="shared" si="37"/>
        <v>-3.2938994569450097E-2</v>
      </c>
      <c r="I817" s="16">
        <f t="shared" si="37"/>
        <v>2.4306926197539404E-3</v>
      </c>
      <c r="J817" s="16">
        <f t="shared" si="37"/>
        <v>6.0805999451412542E-3</v>
      </c>
      <c r="K817" s="16">
        <f t="shared" si="37"/>
        <v>-3.9111532774407549E-2</v>
      </c>
      <c r="L817" s="16">
        <f t="shared" si="38"/>
        <v>-3.3202685044831252E-2</v>
      </c>
    </row>
    <row r="818" spans="1:12" x14ac:dyDescent="0.35">
      <c r="A818" s="18">
        <v>43438</v>
      </c>
      <c r="B818" s="15">
        <v>243.01979064941409</v>
      </c>
      <c r="C818" s="15">
        <v>64.498519897460938</v>
      </c>
      <c r="D818" s="15">
        <v>117.120002746582</v>
      </c>
      <c r="E818" s="15">
        <v>158.53678894042969</v>
      </c>
      <c r="F818" s="15">
        <v>124.2337646484375</v>
      </c>
      <c r="H818" s="16">
        <f t="shared" si="37"/>
        <v>-1.5181789271426925E-3</v>
      </c>
      <c r="I818" s="16">
        <f t="shared" si="37"/>
        <v>1.7876240369840916E-3</v>
      </c>
      <c r="J818" s="16">
        <f t="shared" si="37"/>
        <v>1.7072178718187972E-4</v>
      </c>
      <c r="K818" s="16">
        <f t="shared" si="37"/>
        <v>7.0350552471001079E-3</v>
      </c>
      <c r="L818" s="16">
        <f t="shared" si="38"/>
        <v>-1.2297862715707271E-3</v>
      </c>
    </row>
    <row r="819" spans="1:12" x14ac:dyDescent="0.35">
      <c r="A819" s="18">
        <v>43440</v>
      </c>
      <c r="B819" s="15">
        <v>242.651123046875</v>
      </c>
      <c r="C819" s="15">
        <v>64.613922119140625</v>
      </c>
      <c r="D819" s="15">
        <v>117.13999938964839</v>
      </c>
      <c r="E819" s="15">
        <v>159.6560363769531</v>
      </c>
      <c r="F819" s="15">
        <v>124.08107757568359</v>
      </c>
      <c r="H819" s="16">
        <f t="shared" si="37"/>
        <v>-2.35102251236806E-2</v>
      </c>
      <c r="I819" s="16">
        <f t="shared" si="37"/>
        <v>2.0379320369330804E-3</v>
      </c>
      <c r="J819" s="16">
        <f t="shared" si="37"/>
        <v>8.0772191508263012E-3</v>
      </c>
      <c r="K819" s="16">
        <f t="shared" si="37"/>
        <v>-3.3572874496144572E-2</v>
      </c>
      <c r="L819" s="16">
        <f t="shared" si="38"/>
        <v>-2.3878664708453273E-2</v>
      </c>
    </row>
    <row r="820" spans="1:12" x14ac:dyDescent="0.35">
      <c r="A820" s="18">
        <v>43441</v>
      </c>
      <c r="B820" s="15">
        <v>237.01287841796881</v>
      </c>
      <c r="C820" s="15">
        <v>64.745735168457031</v>
      </c>
      <c r="D820" s="15">
        <v>118.0899963378906</v>
      </c>
      <c r="E820" s="15">
        <v>154.38490295410159</v>
      </c>
      <c r="F820" s="15">
        <v>121.1532821655273</v>
      </c>
      <c r="H820" s="16">
        <f t="shared" si="37"/>
        <v>1.8950830775980607E-3</v>
      </c>
      <c r="I820" s="16">
        <f t="shared" si="37"/>
        <v>1.0181758503009933E-3</v>
      </c>
      <c r="J820" s="16">
        <f t="shared" si="37"/>
        <v>-3.4779357155666911E-3</v>
      </c>
      <c r="K820" s="16">
        <f t="shared" si="37"/>
        <v>1.0417912578860324E-2</v>
      </c>
      <c r="L820" s="16">
        <f t="shared" si="38"/>
        <v>1.1114236431486154E-3</v>
      </c>
    </row>
    <row r="821" spans="1:12" x14ac:dyDescent="0.35">
      <c r="A821" s="18">
        <v>43444</v>
      </c>
      <c r="B821" s="15">
        <v>237.46246337890619</v>
      </c>
      <c r="C821" s="15">
        <v>64.811691284179688</v>
      </c>
      <c r="D821" s="15">
        <v>117.6800003051758</v>
      </c>
      <c r="E821" s="15">
        <v>156.0016784667969</v>
      </c>
      <c r="F821" s="15">
        <v>121.2880096435547</v>
      </c>
      <c r="H821" s="16">
        <f t="shared" si="37"/>
        <v>2.2744635030624735E-4</v>
      </c>
      <c r="I821" s="16">
        <f t="shared" si="37"/>
        <v>1.2724325850081957E-4</v>
      </c>
      <c r="J821" s="16">
        <f t="shared" si="37"/>
        <v>-1.1903699128757511E-3</v>
      </c>
      <c r="K821" s="16">
        <f t="shared" si="37"/>
        <v>3.305749397192461E-3</v>
      </c>
      <c r="L821" s="16">
        <f t="shared" si="38"/>
        <v>-2.2245018145049307E-4</v>
      </c>
    </row>
    <row r="822" spans="1:12" x14ac:dyDescent="0.35">
      <c r="A822" s="18">
        <v>43445</v>
      </c>
      <c r="B822" s="15">
        <v>237.5164794921875</v>
      </c>
      <c r="C822" s="15">
        <v>64.819938659667969</v>
      </c>
      <c r="D822" s="15">
        <v>117.5400009155273</v>
      </c>
      <c r="E822" s="15">
        <v>156.51823425292969</v>
      </c>
      <c r="F822" s="15">
        <v>121.2610321044922</v>
      </c>
      <c r="H822" s="16">
        <f t="shared" si="37"/>
        <v>5.0224814627467824E-3</v>
      </c>
      <c r="I822" s="16">
        <f t="shared" si="37"/>
        <v>-1.0182818790733658E-3</v>
      </c>
      <c r="J822" s="16">
        <f t="shared" si="37"/>
        <v>2.1246767696570098E-3</v>
      </c>
      <c r="K822" s="16">
        <f t="shared" si="37"/>
        <v>8.7628880616360087E-3</v>
      </c>
      <c r="L822" s="16">
        <f t="shared" si="38"/>
        <v>5.6867957085222137E-3</v>
      </c>
    </row>
    <row r="823" spans="1:12" x14ac:dyDescent="0.35">
      <c r="A823" s="18">
        <v>43446</v>
      </c>
      <c r="B823" s="15">
        <v>238.71240234375</v>
      </c>
      <c r="C823" s="15">
        <v>64.75396728515625</v>
      </c>
      <c r="D823" s="15">
        <v>117.7900009155273</v>
      </c>
      <c r="E823" s="15">
        <v>157.89581298828119</v>
      </c>
      <c r="F823" s="15">
        <v>121.9525833129883</v>
      </c>
      <c r="H823" s="16">
        <f t="shared" si="37"/>
        <v>-3.3896777541488413E-4</v>
      </c>
      <c r="I823" s="16">
        <f t="shared" si="37"/>
        <v>7.6401463176261166E-4</v>
      </c>
      <c r="J823" s="16">
        <f t="shared" si="37"/>
        <v>-2.2097759847794812E-3</v>
      </c>
      <c r="K823" s="16">
        <f t="shared" si="37"/>
        <v>3.031085266226646E-4</v>
      </c>
      <c r="L823" s="16">
        <f t="shared" si="38"/>
        <v>-2.43261215431886E-3</v>
      </c>
    </row>
    <row r="824" spans="1:12" x14ac:dyDescent="0.35">
      <c r="A824" s="18">
        <v>43447</v>
      </c>
      <c r="B824" s="15">
        <v>238.6315002441406</v>
      </c>
      <c r="C824" s="15">
        <v>64.803459167480469</v>
      </c>
      <c r="D824" s="15">
        <v>117.5299987792969</v>
      </c>
      <c r="E824" s="15">
        <v>157.94367980957031</v>
      </c>
      <c r="F824" s="15">
        <v>121.6562805175781</v>
      </c>
      <c r="H824" s="16">
        <f t="shared" si="37"/>
        <v>-1.8637261861579057E-2</v>
      </c>
      <c r="I824" s="16">
        <f t="shared" si="37"/>
        <v>8.9000553728948507E-4</v>
      </c>
      <c r="J824" s="16">
        <f t="shared" si="37"/>
        <v>-4.0070067514016254E-3</v>
      </c>
      <c r="K824" s="16">
        <f t="shared" si="37"/>
        <v>-2.4650494346224461E-2</v>
      </c>
      <c r="L824" s="16">
        <f t="shared" si="38"/>
        <v>-1.7426048250603447E-2</v>
      </c>
    </row>
    <row r="825" spans="1:12" x14ac:dyDescent="0.35">
      <c r="A825" s="18">
        <v>43448</v>
      </c>
      <c r="B825" s="15">
        <v>234.2252502441406</v>
      </c>
      <c r="C825" s="15">
        <v>64.861160278320313</v>
      </c>
      <c r="D825" s="15">
        <v>117.05999755859381</v>
      </c>
      <c r="E825" s="15">
        <v>154.09788513183591</v>
      </c>
      <c r="F825" s="15">
        <v>119.5546569824219</v>
      </c>
      <c r="H825" s="16">
        <f t="shared" si="37"/>
        <v>-1.9813588786951865E-2</v>
      </c>
      <c r="I825" s="16">
        <f t="shared" si="37"/>
        <v>1.9040890656287631E-3</v>
      </c>
      <c r="J825" s="16">
        <f t="shared" si="37"/>
        <v>6.8957425332175897E-3</v>
      </c>
      <c r="K825" s="16">
        <f t="shared" si="37"/>
        <v>-2.2920236486198155E-2</v>
      </c>
      <c r="L825" s="16">
        <f t="shared" si="38"/>
        <v>-2.15648918803302E-2</v>
      </c>
    </row>
    <row r="826" spans="1:12" x14ac:dyDescent="0.35">
      <c r="A826" s="18">
        <v>43451</v>
      </c>
      <c r="B826" s="15">
        <v>229.63008117675781</v>
      </c>
      <c r="C826" s="15">
        <v>64.984779357910156</v>
      </c>
      <c r="D826" s="15">
        <v>117.870002746582</v>
      </c>
      <c r="E826" s="15">
        <v>150.60609436035159</v>
      </c>
      <c r="F826" s="15">
        <v>117.0040740966797</v>
      </c>
      <c r="H826" s="16">
        <f t="shared" si="37"/>
        <v>-1.0970171743498595E-3</v>
      </c>
      <c r="I826" s="16">
        <f t="shared" si="37"/>
        <v>1.52026658987111E-3</v>
      </c>
      <c r="J826" s="16">
        <f t="shared" si="37"/>
        <v>2.3726710074089023E-3</v>
      </c>
      <c r="K826" s="16">
        <f t="shared" si="37"/>
        <v>6.2689854881631301E-3</v>
      </c>
      <c r="L826" s="16">
        <f t="shared" si="38"/>
        <v>-3.0697283453249918E-4</v>
      </c>
    </row>
    <row r="827" spans="1:12" x14ac:dyDescent="0.35">
      <c r="A827" s="18">
        <v>43452</v>
      </c>
      <c r="B827" s="15">
        <v>229.37831115722659</v>
      </c>
      <c r="C827" s="15">
        <v>65.083648681640625</v>
      </c>
      <c r="D827" s="15">
        <v>118.15000152587891</v>
      </c>
      <c r="E827" s="15">
        <v>151.55320739746091</v>
      </c>
      <c r="F827" s="15">
        <v>116.96816253662109</v>
      </c>
      <c r="H827" s="16">
        <f t="shared" si="37"/>
        <v>-1.5088916444117367E-2</v>
      </c>
      <c r="I827" s="16">
        <f t="shared" si="37"/>
        <v>1.7719178394820043E-3</v>
      </c>
      <c r="J827" s="16">
        <f t="shared" si="37"/>
        <v>-6.1126025718980376E-3</v>
      </c>
      <c r="K827" s="16">
        <f t="shared" si="37"/>
        <v>-2.4861713446163395E-2</v>
      </c>
      <c r="L827" s="16">
        <f t="shared" si="38"/>
        <v>-1.5475343700645803E-2</v>
      </c>
    </row>
    <row r="828" spans="1:12" x14ac:dyDescent="0.35">
      <c r="A828" s="18">
        <v>43453</v>
      </c>
      <c r="B828" s="15">
        <v>225.94322204589841</v>
      </c>
      <c r="C828" s="15">
        <v>65.199073791503906</v>
      </c>
      <c r="D828" s="15">
        <v>117.4300003051758</v>
      </c>
      <c r="E828" s="15">
        <v>147.831787109375</v>
      </c>
      <c r="F828" s="15">
        <v>115.17197418212891</v>
      </c>
      <c r="H828" s="16">
        <f t="shared" si="37"/>
        <v>-1.6411866561062038E-2</v>
      </c>
      <c r="I828" s="16">
        <f t="shared" si="37"/>
        <v>-1.392299929311209E-3</v>
      </c>
      <c r="J828" s="16">
        <f t="shared" si="37"/>
        <v>1.5295836918706718E-2</v>
      </c>
      <c r="K828" s="16">
        <f t="shared" si="37"/>
        <v>-1.460150128785161E-2</v>
      </c>
      <c r="L828" s="16">
        <f t="shared" si="38"/>
        <v>-1.6273381966877803E-2</v>
      </c>
    </row>
    <row r="829" spans="1:12" x14ac:dyDescent="0.35">
      <c r="A829" s="18">
        <v>43454</v>
      </c>
      <c r="B829" s="15">
        <v>222.26533508300781</v>
      </c>
      <c r="C829" s="15">
        <v>65.108360290527344</v>
      </c>
      <c r="D829" s="15">
        <v>119.2399978637695</v>
      </c>
      <c r="E829" s="15">
        <v>145.68890380859381</v>
      </c>
      <c r="F829" s="15">
        <v>113.3129043579102</v>
      </c>
      <c r="H829" s="16">
        <f t="shared" si="37"/>
        <v>-2.0702471641551978E-2</v>
      </c>
      <c r="I829" s="16">
        <f t="shared" si="37"/>
        <v>0</v>
      </c>
      <c r="J829" s="16">
        <f t="shared" si="37"/>
        <v>-4.3704611932127184E-3</v>
      </c>
      <c r="K829" s="16">
        <f t="shared" si="37"/>
        <v>-3.1483867634578958E-2</v>
      </c>
      <c r="L829" s="16">
        <f t="shared" si="38"/>
        <v>-2.1469939717030113E-2</v>
      </c>
    </row>
    <row r="830" spans="1:12" x14ac:dyDescent="0.35">
      <c r="A830" s="18">
        <v>43455</v>
      </c>
      <c r="B830" s="15">
        <v>217.71119689941409</v>
      </c>
      <c r="C830" s="15">
        <v>65.108360290527344</v>
      </c>
      <c r="D830" s="15">
        <v>118.7200012207031</v>
      </c>
      <c r="E830" s="15">
        <v>141.17350769042969</v>
      </c>
      <c r="F830" s="15">
        <v>110.9060134887695</v>
      </c>
      <c r="H830" s="16">
        <f t="shared" si="37"/>
        <v>-2.6778125373154452E-2</v>
      </c>
      <c r="I830" s="16">
        <f t="shared" si="37"/>
        <v>2.2894341659203645E-4</v>
      </c>
      <c r="J830" s="16">
        <f t="shared" si="37"/>
        <v>1.0890577890308608E-2</v>
      </c>
      <c r="K830" s="16">
        <f t="shared" si="37"/>
        <v>-2.5110784983997339E-2</v>
      </c>
      <c r="L830" s="16">
        <f t="shared" si="38"/>
        <v>-2.5315985892304597E-2</v>
      </c>
    </row>
    <row r="831" spans="1:12" x14ac:dyDescent="0.35">
      <c r="A831" s="18">
        <v>43458</v>
      </c>
      <c r="B831" s="15">
        <v>211.95866394042969</v>
      </c>
      <c r="C831" s="15">
        <v>65.123268127441406</v>
      </c>
      <c r="D831" s="15">
        <v>120.01999664306641</v>
      </c>
      <c r="E831" s="15">
        <v>137.67266845703119</v>
      </c>
      <c r="F831" s="15">
        <v>108.13356018066411</v>
      </c>
      <c r="H831" s="16">
        <f t="shared" si="37"/>
        <v>4.9289773012295965E-2</v>
      </c>
      <c r="I831" s="16">
        <f t="shared" si="37"/>
        <v>-2.1592357020625954E-3</v>
      </c>
      <c r="J831" s="16">
        <f t="shared" si="37"/>
        <v>-3.003949025405636E-3</v>
      </c>
      <c r="K831" s="16">
        <f t="shared" si="37"/>
        <v>6.0567429924988585E-2</v>
      </c>
      <c r="L831" s="16">
        <f t="shared" si="38"/>
        <v>4.6998464853230039E-2</v>
      </c>
    </row>
    <row r="832" spans="1:12" x14ac:dyDescent="0.35">
      <c r="A832" s="18">
        <v>43460</v>
      </c>
      <c r="B832" s="15">
        <v>222.6678161621094</v>
      </c>
      <c r="C832" s="15">
        <v>64.982803344726563</v>
      </c>
      <c r="D832" s="15">
        <v>119.6600036621094</v>
      </c>
      <c r="E832" s="15">
        <v>146.26884460449219</v>
      </c>
      <c r="F832" s="15">
        <v>113.3369903564453</v>
      </c>
      <c r="H832" s="16">
        <f t="shared" si="37"/>
        <v>7.6479807974389183E-3</v>
      </c>
      <c r="I832" s="16">
        <f t="shared" si="37"/>
        <v>2.1592357020626804E-3</v>
      </c>
      <c r="J832" s="16">
        <f t="shared" si="37"/>
        <v>7.576076031934797E-3</v>
      </c>
      <c r="K832" s="16">
        <f t="shared" si="37"/>
        <v>3.8621841178234726E-3</v>
      </c>
      <c r="L832" s="16">
        <f t="shared" si="38"/>
        <v>8.9664960337376611E-3</v>
      </c>
    </row>
    <row r="833" spans="1:12" x14ac:dyDescent="0.35">
      <c r="A833" s="18">
        <v>43461</v>
      </c>
      <c r="B833" s="15">
        <v>224.37730407714841</v>
      </c>
      <c r="C833" s="15">
        <v>65.123268127441406</v>
      </c>
      <c r="D833" s="15">
        <v>120.5699996948242</v>
      </c>
      <c r="E833" s="15">
        <v>146.83485412597659</v>
      </c>
      <c r="F833" s="15">
        <v>114.357795715332</v>
      </c>
      <c r="H833" s="16">
        <f t="shared" si="37"/>
        <v>-1.2907523900967956E-3</v>
      </c>
      <c r="I833" s="16">
        <f t="shared" si="37"/>
        <v>2.4076420529159179E-3</v>
      </c>
      <c r="J833" s="16">
        <f t="shared" si="37"/>
        <v>4.0557756985199027E-3</v>
      </c>
      <c r="K833" s="16">
        <f t="shared" si="37"/>
        <v>-5.2294833238975805E-4</v>
      </c>
      <c r="L833" s="16">
        <f t="shared" si="38"/>
        <v>-1.2647174438507297E-3</v>
      </c>
    </row>
    <row r="834" spans="1:12" x14ac:dyDescent="0.35">
      <c r="A834" s="18">
        <v>43462</v>
      </c>
      <c r="B834" s="15">
        <v>224.08787536621091</v>
      </c>
      <c r="C834" s="15">
        <v>65.280250549316406</v>
      </c>
      <c r="D834" s="15">
        <v>121.05999755859381</v>
      </c>
      <c r="E834" s="15">
        <v>146.7580871582031</v>
      </c>
      <c r="F834" s="15">
        <v>114.2132568359375</v>
      </c>
      <c r="H834" s="16">
        <f t="shared" si="37"/>
        <v>8.7205841416809603E-3</v>
      </c>
      <c r="I834" s="16">
        <f t="shared" si="37"/>
        <v>2.528469078353553E-3</v>
      </c>
      <c r="J834" s="16">
        <f t="shared" si="37"/>
        <v>1.5682595209621578E-3</v>
      </c>
      <c r="K834" s="16">
        <f t="shared" si="37"/>
        <v>8.3979428777950331E-3</v>
      </c>
      <c r="L834" s="16">
        <f t="shared" si="38"/>
        <v>9.4465882752506301E-3</v>
      </c>
    </row>
    <row r="835" spans="1:12" x14ac:dyDescent="0.35">
      <c r="A835" s="18">
        <v>43465</v>
      </c>
      <c r="B835" s="15">
        <v>226.05059814453119</v>
      </c>
      <c r="C835" s="15">
        <v>65.445518493652344</v>
      </c>
      <c r="D835" s="15">
        <v>121.25</v>
      </c>
      <c r="E835" s="15">
        <v>147.99574279785159</v>
      </c>
      <c r="F835" s="15">
        <v>115.2972946166992</v>
      </c>
      <c r="H835" s="16">
        <f t="shared" si="37"/>
        <v>1.0397272723839139E-3</v>
      </c>
      <c r="I835" s="16">
        <f t="shared" si="37"/>
        <v>2.0174144013067759E-3</v>
      </c>
      <c r="J835" s="16">
        <f t="shared" si="37"/>
        <v>6.5959133771377584E-4</v>
      </c>
      <c r="K835" s="16">
        <f t="shared" ref="K835:L898" si="39">LN(E836/E835)</f>
        <v>4.011307075098198E-3</v>
      </c>
      <c r="L835" s="16">
        <f t="shared" si="38"/>
        <v>7.8322988585292799E-4</v>
      </c>
    </row>
    <row r="836" spans="1:12" x14ac:dyDescent="0.35">
      <c r="A836" s="18">
        <v>43467</v>
      </c>
      <c r="B836" s="15">
        <v>226.28575134277341</v>
      </c>
      <c r="C836" s="15">
        <v>65.577682495117188</v>
      </c>
      <c r="D836" s="15">
        <v>121.3300018310547</v>
      </c>
      <c r="E836" s="15">
        <v>148.59059143066409</v>
      </c>
      <c r="F836" s="15">
        <v>115.38763427734381</v>
      </c>
      <c r="H836" s="16">
        <f t="shared" ref="H836:L899" si="40">LN(B837/B836)</f>
        <v>-2.4151917652967415E-2</v>
      </c>
      <c r="I836" s="16">
        <f t="shared" si="40"/>
        <v>3.8977395621833627E-3</v>
      </c>
      <c r="J836" s="16">
        <f t="shared" si="40"/>
        <v>9.0253194231729901E-3</v>
      </c>
      <c r="K836" s="16">
        <f t="shared" si="39"/>
        <v>-3.3216053778359421E-2</v>
      </c>
      <c r="L836" s="16">
        <f t="shared" si="39"/>
        <v>-2.3446561987262568E-2</v>
      </c>
    </row>
    <row r="837" spans="1:12" x14ac:dyDescent="0.35">
      <c r="A837" s="18">
        <v>43468</v>
      </c>
      <c r="B837" s="15">
        <v>220.885986328125</v>
      </c>
      <c r="C837" s="15">
        <v>65.833786010742188</v>
      </c>
      <c r="D837" s="15">
        <v>122.4300003051758</v>
      </c>
      <c r="E837" s="15">
        <v>143.73606872558591</v>
      </c>
      <c r="F837" s="15">
        <v>112.7136611938477</v>
      </c>
      <c r="H837" s="16">
        <f t="shared" si="40"/>
        <v>3.2946724466143537E-2</v>
      </c>
      <c r="I837" s="16">
        <f t="shared" si="40"/>
        <v>-3.0157959731260254E-3</v>
      </c>
      <c r="J837" s="16">
        <f t="shared" si="40"/>
        <v>-8.1191068273538287E-3</v>
      </c>
      <c r="K837" s="16">
        <f t="shared" si="39"/>
        <v>4.1894217914905531E-2</v>
      </c>
      <c r="L837" s="16">
        <f t="shared" si="39"/>
        <v>3.2564755781395525E-2</v>
      </c>
    </row>
    <row r="838" spans="1:12" x14ac:dyDescent="0.35">
      <c r="A838" s="18">
        <v>43469</v>
      </c>
      <c r="B838" s="15">
        <v>228.28466796875</v>
      </c>
      <c r="C838" s="15">
        <v>65.635543823242188</v>
      </c>
      <c r="D838" s="15">
        <v>121.44000244140619</v>
      </c>
      <c r="E838" s="15">
        <v>149.88569641113281</v>
      </c>
      <c r="F838" s="15">
        <v>116.4445724487305</v>
      </c>
      <c r="H838" s="16">
        <f t="shared" si="40"/>
        <v>7.8540484736204248E-3</v>
      </c>
      <c r="I838" s="16">
        <f t="shared" si="40"/>
        <v>-1.5117811508957755E-3</v>
      </c>
      <c r="J838" s="16">
        <f t="shared" si="40"/>
        <v>3.4525160778522872E-3</v>
      </c>
      <c r="K838" s="16">
        <f t="shared" si="39"/>
        <v>1.1835524779697173E-2</v>
      </c>
      <c r="L838" s="16">
        <f t="shared" si="39"/>
        <v>1.0034903917762177E-2</v>
      </c>
    </row>
    <row r="839" spans="1:12" x14ac:dyDescent="0.35">
      <c r="A839" s="18">
        <v>43472</v>
      </c>
      <c r="B839" s="15">
        <v>230.0846862792969</v>
      </c>
      <c r="C839" s="15">
        <v>65.536392211914063</v>
      </c>
      <c r="D839" s="15">
        <v>121.86000061035161</v>
      </c>
      <c r="E839" s="15">
        <v>151.67021179199219</v>
      </c>
      <c r="F839" s="15">
        <v>117.6189651489258</v>
      </c>
      <c r="H839" s="16">
        <f t="shared" si="40"/>
        <v>9.3513643412960392E-3</v>
      </c>
      <c r="I839" s="16">
        <f t="shared" si="40"/>
        <v>-1.2615658297161372E-3</v>
      </c>
      <c r="J839" s="16">
        <f t="shared" si="40"/>
        <v>-2.7117139907280128E-3</v>
      </c>
      <c r="K839" s="16">
        <f t="shared" si="39"/>
        <v>9.0048350473299291E-3</v>
      </c>
      <c r="L839" s="16">
        <f t="shared" si="39"/>
        <v>1.0239002256850203E-2</v>
      </c>
    </row>
    <row r="840" spans="1:12" x14ac:dyDescent="0.35">
      <c r="A840" s="18">
        <v>43473</v>
      </c>
      <c r="B840" s="15">
        <v>232.24638366699219</v>
      </c>
      <c r="C840" s="15">
        <v>65.453765869140625</v>
      </c>
      <c r="D840" s="15">
        <v>121.5299987792969</v>
      </c>
      <c r="E840" s="15">
        <v>153.0421447753906</v>
      </c>
      <c r="F840" s="15">
        <v>118.82945251464839</v>
      </c>
      <c r="H840" s="16">
        <f t="shared" si="40"/>
        <v>4.6624821793423525E-3</v>
      </c>
      <c r="I840" s="16">
        <f t="shared" si="40"/>
        <v>1.3872857217719847E-3</v>
      </c>
      <c r="J840" s="16">
        <f t="shared" si="40"/>
        <v>6.397649700215632E-3</v>
      </c>
      <c r="K840" s="16">
        <f t="shared" si="39"/>
        <v>8.1160161667685766E-3</v>
      </c>
      <c r="L840" s="16">
        <f t="shared" si="39"/>
        <v>4.7023769611034896E-3</v>
      </c>
    </row>
    <row r="841" spans="1:12" x14ac:dyDescent="0.35">
      <c r="A841" s="18">
        <v>43474</v>
      </c>
      <c r="B841" s="15">
        <v>233.3317565917969</v>
      </c>
      <c r="C841" s="15">
        <v>65.544631958007813</v>
      </c>
      <c r="D841" s="15">
        <v>122.30999755859381</v>
      </c>
      <c r="E841" s="15">
        <v>154.28929138183591</v>
      </c>
      <c r="F841" s="15">
        <v>119.38954925537109</v>
      </c>
      <c r="H841" s="16">
        <f t="shared" si="40"/>
        <v>3.5214738097914394E-3</v>
      </c>
      <c r="I841" s="16">
        <f t="shared" si="40"/>
        <v>-2.0185493344613893E-3</v>
      </c>
      <c r="J841" s="16">
        <f t="shared" si="40"/>
        <v>-5.9040863486471218E-3</v>
      </c>
      <c r="K841" s="16">
        <f t="shared" si="39"/>
        <v>2.8566182890921968E-3</v>
      </c>
      <c r="L841" s="16">
        <f t="shared" si="39"/>
        <v>4.906458200384111E-3</v>
      </c>
    </row>
    <row r="842" spans="1:12" x14ac:dyDescent="0.35">
      <c r="A842" s="18">
        <v>43475</v>
      </c>
      <c r="B842" s="15">
        <v>234.1548767089844</v>
      </c>
      <c r="C842" s="15">
        <v>65.412460327148438</v>
      </c>
      <c r="D842" s="15">
        <v>121.5899963378906</v>
      </c>
      <c r="E842" s="15">
        <v>154.73066711425781</v>
      </c>
      <c r="F842" s="15">
        <v>119.9767684936523</v>
      </c>
      <c r="H842" s="16">
        <f t="shared" si="40"/>
        <v>3.8635599608286952E-4</v>
      </c>
      <c r="I842" s="16">
        <f t="shared" si="40"/>
        <v>2.0185493344614036E-3</v>
      </c>
      <c r="J842" s="16">
        <f t="shared" si="40"/>
        <v>1.7256811414607263E-3</v>
      </c>
      <c r="K842" s="16">
        <f t="shared" si="39"/>
        <v>-3.6649355512097842E-3</v>
      </c>
      <c r="L842" s="16">
        <f t="shared" si="39"/>
        <v>2.2559399573140603E-4</v>
      </c>
    </row>
    <row r="843" spans="1:12" x14ac:dyDescent="0.35">
      <c r="A843" s="18">
        <v>43476</v>
      </c>
      <c r="B843" s="15">
        <v>234.245361328125</v>
      </c>
      <c r="C843" s="15">
        <v>65.544631958007813</v>
      </c>
      <c r="D843" s="15">
        <v>121.8000030517578</v>
      </c>
      <c r="E843" s="15">
        <v>154.16462707519531</v>
      </c>
      <c r="F843" s="15">
        <v>120.0038375854492</v>
      </c>
      <c r="H843" s="16">
        <f t="shared" si="40"/>
        <v>-6.1196526783440152E-3</v>
      </c>
      <c r="I843" s="16">
        <f t="shared" si="40"/>
        <v>-8.8281789635902622E-4</v>
      </c>
      <c r="J843" s="16">
        <f t="shared" si="40"/>
        <v>2.3780673543218923E-3</v>
      </c>
      <c r="K843" s="16">
        <f t="shared" si="39"/>
        <v>-8.8762625041156635E-3</v>
      </c>
      <c r="L843" s="16">
        <f t="shared" si="39"/>
        <v>-6.3433709864442519E-3</v>
      </c>
    </row>
    <row r="844" spans="1:12" x14ac:dyDescent="0.35">
      <c r="A844" s="18">
        <v>43479</v>
      </c>
      <c r="B844" s="15">
        <v>232.81623840332031</v>
      </c>
      <c r="C844" s="15">
        <v>65.486793518066406</v>
      </c>
      <c r="D844" s="15">
        <v>122.0899963378906</v>
      </c>
      <c r="E844" s="15">
        <v>152.8022766113281</v>
      </c>
      <c r="F844" s="15">
        <v>119.24501800537109</v>
      </c>
      <c r="H844" s="16">
        <f t="shared" si="40"/>
        <v>1.1395550625846466E-2</v>
      </c>
      <c r="I844" s="16">
        <f t="shared" si="40"/>
        <v>1.263975449104438E-4</v>
      </c>
      <c r="J844" s="16">
        <f t="shared" si="40"/>
        <v>-1.7215161032259018E-3</v>
      </c>
      <c r="K844" s="16">
        <f t="shared" si="39"/>
        <v>1.9338269808958083E-2</v>
      </c>
      <c r="L844" s="16">
        <f t="shared" si="39"/>
        <v>1.0850165849653808E-2</v>
      </c>
    </row>
    <row r="845" spans="1:12" x14ac:dyDescent="0.35">
      <c r="A845" s="18">
        <v>43480</v>
      </c>
      <c r="B845" s="15">
        <v>235.48448181152341</v>
      </c>
      <c r="C845" s="15">
        <v>65.495071411132813</v>
      </c>
      <c r="D845" s="15">
        <v>121.879997253418</v>
      </c>
      <c r="E845" s="15">
        <v>155.78596496582031</v>
      </c>
      <c r="F845" s="15">
        <v>120.5458908081055</v>
      </c>
      <c r="H845" s="16">
        <f t="shared" si="40"/>
        <v>2.4170014919670533E-3</v>
      </c>
      <c r="I845" s="16">
        <f t="shared" si="40"/>
        <v>3.783981411983243E-4</v>
      </c>
      <c r="J845" s="16">
        <f t="shared" si="40"/>
        <v>3.1947551186354366E-3</v>
      </c>
      <c r="K845" s="16">
        <f t="shared" si="39"/>
        <v>-1.8454943200067977E-4</v>
      </c>
      <c r="L845" s="16">
        <f t="shared" si="39"/>
        <v>2.8435770040654449E-3</v>
      </c>
    </row>
    <row r="846" spans="1:12" x14ac:dyDescent="0.35">
      <c r="A846" s="18">
        <v>43481</v>
      </c>
      <c r="B846" s="15">
        <v>236.05433654785159</v>
      </c>
      <c r="C846" s="15">
        <v>65.519859313964844</v>
      </c>
      <c r="D846" s="15">
        <v>122.26999664306641</v>
      </c>
      <c r="E846" s="15">
        <v>155.75721740722659</v>
      </c>
      <c r="F846" s="15">
        <v>120.88916015625</v>
      </c>
      <c r="H846" s="16">
        <f t="shared" si="40"/>
        <v>7.5581503179346999E-3</v>
      </c>
      <c r="I846" s="16">
        <f t="shared" si="40"/>
        <v>-1.1352745212739449E-3</v>
      </c>
      <c r="J846" s="16">
        <f t="shared" si="40"/>
        <v>-1.3094038577046658E-3</v>
      </c>
      <c r="K846" s="16">
        <f t="shared" si="39"/>
        <v>7.8534193655106256E-3</v>
      </c>
      <c r="L846" s="16">
        <f t="shared" si="39"/>
        <v>8.0381979896868381E-3</v>
      </c>
    </row>
    <row r="847" spans="1:12" x14ac:dyDescent="0.35">
      <c r="A847" s="18">
        <v>43482</v>
      </c>
      <c r="B847" s="15">
        <v>237.84523010253909</v>
      </c>
      <c r="C847" s="15">
        <v>65.445518493652344</v>
      </c>
      <c r="D847" s="15">
        <v>122.11000061035161</v>
      </c>
      <c r="E847" s="15">
        <v>156.9852600097656</v>
      </c>
      <c r="F847" s="15">
        <v>121.86480712890619</v>
      </c>
      <c r="H847" s="16">
        <f t="shared" si="40"/>
        <v>1.3221970553746635E-2</v>
      </c>
      <c r="I847" s="16">
        <f t="shared" si="40"/>
        <v>-7.5803299906991367E-4</v>
      </c>
      <c r="J847" s="16">
        <f t="shared" si="40"/>
        <v>-8.9664893877986606E-3</v>
      </c>
      <c r="K847" s="16">
        <f t="shared" si="39"/>
        <v>9.8512158197548629E-3</v>
      </c>
      <c r="L847" s="16">
        <f t="shared" si="39"/>
        <v>1.288910421642662E-2</v>
      </c>
    </row>
    <row r="848" spans="1:12" x14ac:dyDescent="0.35">
      <c r="A848" s="18">
        <v>43483</v>
      </c>
      <c r="B848" s="15">
        <v>241.0108947753906</v>
      </c>
      <c r="C848" s="15">
        <v>65.395927429199219</v>
      </c>
      <c r="D848" s="15">
        <v>121.01999664306641</v>
      </c>
      <c r="E848" s="15">
        <v>158.5393981933594</v>
      </c>
      <c r="F848" s="15">
        <v>123.44570159912109</v>
      </c>
      <c r="H848" s="16">
        <f t="shared" si="40"/>
        <v>-1.3602477807225609E-2</v>
      </c>
      <c r="I848" s="16">
        <f t="shared" si="40"/>
        <v>1.7667248805470933E-3</v>
      </c>
      <c r="J848" s="16">
        <f t="shared" si="40"/>
        <v>3.5468368649853345E-3</v>
      </c>
      <c r="K848" s="16">
        <f t="shared" si="39"/>
        <v>-2.0233471167435797E-2</v>
      </c>
      <c r="L848" s="16">
        <f t="shared" si="39"/>
        <v>-1.3779185506453894E-2</v>
      </c>
    </row>
    <row r="849" spans="1:12" x14ac:dyDescent="0.35">
      <c r="A849" s="18">
        <v>43487</v>
      </c>
      <c r="B849" s="15">
        <v>237.75474548339841</v>
      </c>
      <c r="C849" s="15">
        <v>65.511566162109375</v>
      </c>
      <c r="D849" s="15">
        <v>121.4499969482422</v>
      </c>
      <c r="E849" s="15">
        <v>155.36383056640619</v>
      </c>
      <c r="F849" s="15">
        <v>121.7563858032227</v>
      </c>
      <c r="H849" s="16">
        <f t="shared" si="40"/>
        <v>2.0901678589276352E-3</v>
      </c>
      <c r="I849" s="16">
        <f t="shared" si="40"/>
        <v>1.0087225198295491E-3</v>
      </c>
      <c r="J849" s="16">
        <f t="shared" si="40"/>
        <v>-1.4007184915950336E-3</v>
      </c>
      <c r="K849" s="16">
        <f t="shared" si="39"/>
        <v>1.2958697357754946E-3</v>
      </c>
      <c r="L849" s="16">
        <f t="shared" si="39"/>
        <v>1.0381320919436113E-3</v>
      </c>
    </row>
    <row r="850" spans="1:12" x14ac:dyDescent="0.35">
      <c r="A850" s="18">
        <v>43488</v>
      </c>
      <c r="B850" s="15">
        <v>238.25221252441409</v>
      </c>
      <c r="C850" s="15">
        <v>65.577682495117188</v>
      </c>
      <c r="D850" s="15">
        <v>121.2799987792969</v>
      </c>
      <c r="E850" s="15">
        <v>155.56529235839841</v>
      </c>
      <c r="F850" s="15">
        <v>121.8828506469727</v>
      </c>
      <c r="H850" s="16">
        <f t="shared" si="40"/>
        <v>5.3123766015353725E-4</v>
      </c>
      <c r="I850" s="16">
        <f t="shared" si="40"/>
        <v>2.1393211470617643E-3</v>
      </c>
      <c r="J850" s="16">
        <f t="shared" si="40"/>
        <v>-1.5678713054951775E-3</v>
      </c>
      <c r="K850" s="16">
        <f t="shared" si="39"/>
        <v>6.4547658308931524E-3</v>
      </c>
      <c r="L850" s="16">
        <f t="shared" si="39"/>
        <v>2.0733489449567774E-3</v>
      </c>
    </row>
    <row r="851" spans="1:12" x14ac:dyDescent="0.35">
      <c r="A851" s="18">
        <v>43489</v>
      </c>
      <c r="B851" s="15">
        <v>238.3788146972656</v>
      </c>
      <c r="C851" s="15">
        <v>65.718124389648438</v>
      </c>
      <c r="D851" s="15">
        <v>121.0899963378906</v>
      </c>
      <c r="E851" s="15">
        <v>156.57267761230469</v>
      </c>
      <c r="F851" s="15">
        <v>122.1358184814453</v>
      </c>
      <c r="H851" s="16">
        <f t="shared" si="40"/>
        <v>8.4260997792517042E-3</v>
      </c>
      <c r="I851" s="16">
        <f t="shared" si="40"/>
        <v>-1.1320800197744214E-3</v>
      </c>
      <c r="J851" s="16">
        <f t="shared" si="40"/>
        <v>1.4511460180241903E-2</v>
      </c>
      <c r="K851" s="16">
        <f t="shared" si="39"/>
        <v>1.187774621753789E-2</v>
      </c>
      <c r="L851" s="16">
        <f t="shared" si="39"/>
        <v>9.3499863595109863E-3</v>
      </c>
    </row>
    <row r="852" spans="1:12" x14ac:dyDescent="0.35">
      <c r="A852" s="18">
        <v>43490</v>
      </c>
      <c r="B852" s="15">
        <v>240.3959045410156</v>
      </c>
      <c r="C852" s="15">
        <v>65.643768310546875</v>
      </c>
      <c r="D852" s="15">
        <v>122.86000061035161</v>
      </c>
      <c r="E852" s="15">
        <v>158.44349670410159</v>
      </c>
      <c r="F852" s="15">
        <v>123.28314208984381</v>
      </c>
      <c r="H852" s="16">
        <f t="shared" si="40"/>
        <v>-7.6291644475470427E-3</v>
      </c>
      <c r="I852" s="16">
        <f t="shared" si="40"/>
        <v>3.7742497151374593E-4</v>
      </c>
      <c r="J852" s="16">
        <f t="shared" si="40"/>
        <v>3.4938106026206743E-3</v>
      </c>
      <c r="K852" s="16">
        <f t="shared" si="39"/>
        <v>-1.2429493657550608E-2</v>
      </c>
      <c r="L852" s="16">
        <f t="shared" si="39"/>
        <v>-7.3548621463547436E-3</v>
      </c>
    </row>
    <row r="853" spans="1:12" x14ac:dyDescent="0.35">
      <c r="A853" s="18">
        <v>43493</v>
      </c>
      <c r="B853" s="15">
        <v>238.56886291503909</v>
      </c>
      <c r="C853" s="15">
        <v>65.668548583984375</v>
      </c>
      <c r="D853" s="15">
        <v>123.2900009155273</v>
      </c>
      <c r="E853" s="15">
        <v>156.48631286621091</v>
      </c>
      <c r="F853" s="15">
        <v>122.37973785400391</v>
      </c>
      <c r="H853" s="16">
        <f t="shared" si="40"/>
        <v>-1.3281729918583375E-3</v>
      </c>
      <c r="I853" s="16">
        <f t="shared" si="40"/>
        <v>2.0117290093686329E-3</v>
      </c>
      <c r="J853" s="16">
        <f t="shared" si="40"/>
        <v>5.5809780439204293E-3</v>
      </c>
      <c r="K853" s="16">
        <f t="shared" si="39"/>
        <v>-9.4860404236847603E-3</v>
      </c>
      <c r="L853" s="16">
        <f t="shared" si="39"/>
        <v>-1.4036791293808998E-3</v>
      </c>
    </row>
    <row r="854" spans="1:12" x14ac:dyDescent="0.35">
      <c r="A854" s="18">
        <v>43494</v>
      </c>
      <c r="B854" s="15">
        <v>238.25221252441409</v>
      </c>
      <c r="C854" s="15">
        <v>65.800788879394531</v>
      </c>
      <c r="D854" s="15">
        <v>123.98000335693359</v>
      </c>
      <c r="E854" s="15">
        <v>155.00889587402341</v>
      </c>
      <c r="F854" s="15">
        <v>122.2080764770508</v>
      </c>
      <c r="H854" s="16">
        <f t="shared" si="40"/>
        <v>1.5706822123498991E-2</v>
      </c>
      <c r="I854" s="16">
        <f t="shared" si="40"/>
        <v>1.003248502165957E-3</v>
      </c>
      <c r="J854" s="16">
        <f t="shared" si="40"/>
        <v>5.7103872381169098E-3</v>
      </c>
      <c r="K854" s="16">
        <f t="shared" si="39"/>
        <v>2.5119543739400604E-2</v>
      </c>
      <c r="L854" s="16">
        <f t="shared" si="39"/>
        <v>1.4967470200311065E-2</v>
      </c>
    </row>
    <row r="855" spans="1:12" x14ac:dyDescent="0.35">
      <c r="A855" s="18">
        <v>43495</v>
      </c>
      <c r="B855" s="15">
        <v>242.02394104003909</v>
      </c>
      <c r="C855" s="15">
        <v>65.866836547851563</v>
      </c>
      <c r="D855" s="15">
        <v>124.69000244140619</v>
      </c>
      <c r="E855" s="15">
        <v>158.95196533203119</v>
      </c>
      <c r="F855" s="15">
        <v>124.0509796142578</v>
      </c>
      <c r="H855" s="16">
        <f t="shared" si="40"/>
        <v>8.744364393289657E-3</v>
      </c>
      <c r="I855" s="16">
        <f t="shared" si="40"/>
        <v>4.6309398551254936E-3</v>
      </c>
      <c r="J855" s="16">
        <f t="shared" si="40"/>
        <v>4.8105804332607805E-4</v>
      </c>
      <c r="K855" s="16">
        <f t="shared" si="39"/>
        <v>1.4857766491207793E-2</v>
      </c>
      <c r="L855" s="16">
        <f t="shared" si="39"/>
        <v>8.7728715414020185E-3</v>
      </c>
    </row>
    <row r="856" spans="1:12" x14ac:dyDescent="0.35">
      <c r="A856" s="18">
        <v>43496</v>
      </c>
      <c r="B856" s="15">
        <v>244.1495666503906</v>
      </c>
      <c r="C856" s="15">
        <v>66.172569274902344</v>
      </c>
      <c r="D856" s="15">
        <v>124.75</v>
      </c>
      <c r="E856" s="15">
        <v>161.3312683105469</v>
      </c>
      <c r="F856" s="15">
        <v>125.1440505981445</v>
      </c>
      <c r="H856" s="16">
        <f t="shared" si="40"/>
        <v>4.811790873477507E-4</v>
      </c>
      <c r="I856" s="16">
        <f t="shared" si="40"/>
        <v>-2.782256051110123E-3</v>
      </c>
      <c r="J856" s="16">
        <f t="shared" si="40"/>
        <v>-2.006018726865743E-3</v>
      </c>
      <c r="K856" s="16">
        <f t="shared" si="39"/>
        <v>-4.2310108170580587E-3</v>
      </c>
      <c r="L856" s="16">
        <f t="shared" si="39"/>
        <v>1.4425468960144517E-3</v>
      </c>
    </row>
    <row r="857" spans="1:12" x14ac:dyDescent="0.35">
      <c r="A857" s="18">
        <v>43497</v>
      </c>
      <c r="B857" s="15">
        <v>244.26707458496091</v>
      </c>
      <c r="C857" s="15">
        <v>65.988716125488281</v>
      </c>
      <c r="D857" s="15">
        <v>124.5</v>
      </c>
      <c r="E857" s="15">
        <v>160.6501159667969</v>
      </c>
      <c r="F857" s="15">
        <v>125.32470703125</v>
      </c>
      <c r="H857" s="16">
        <f t="shared" si="40"/>
        <v>7.0110956601727665E-3</v>
      </c>
      <c r="I857" s="16">
        <f t="shared" si="40"/>
        <v>-8.7907283840001332E-4</v>
      </c>
      <c r="J857" s="16">
        <f t="shared" si="40"/>
        <v>-4.3467903708819663E-3</v>
      </c>
      <c r="K857" s="16">
        <f t="shared" si="39"/>
        <v>1.234488309329761E-2</v>
      </c>
      <c r="L857" s="16">
        <f t="shared" si="39"/>
        <v>7.1109655640272905E-3</v>
      </c>
    </row>
    <row r="858" spans="1:12" x14ac:dyDescent="0.35">
      <c r="A858" s="18">
        <v>43500</v>
      </c>
      <c r="B858" s="15">
        <v>245.98567199707031</v>
      </c>
      <c r="C858" s="15">
        <v>65.930732727050781</v>
      </c>
      <c r="D858" s="15">
        <v>123.9599990844727</v>
      </c>
      <c r="E858" s="15">
        <v>162.64561462402341</v>
      </c>
      <c r="F858" s="15">
        <v>126.2190628051758</v>
      </c>
      <c r="H858" s="16">
        <f t="shared" si="40"/>
        <v>4.1827510296240118E-3</v>
      </c>
      <c r="I858" s="16">
        <f t="shared" si="40"/>
        <v>2.1331892633025861E-3</v>
      </c>
      <c r="J858" s="16">
        <f t="shared" si="40"/>
        <v>2.5781491687657575E-3</v>
      </c>
      <c r="K858" s="16">
        <f t="shared" si="39"/>
        <v>8.809076776407139E-3</v>
      </c>
      <c r="L858" s="16">
        <f t="shared" si="39"/>
        <v>4.1426340089807268E-3</v>
      </c>
    </row>
    <row r="859" spans="1:12" x14ac:dyDescent="0.35">
      <c r="A859" s="18">
        <v>43501</v>
      </c>
      <c r="B859" s="15">
        <v>247.0167236328125</v>
      </c>
      <c r="C859" s="15">
        <v>66.071525573730469</v>
      </c>
      <c r="D859" s="15">
        <v>124.2799987792969</v>
      </c>
      <c r="E859" s="15">
        <v>164.08470153808591</v>
      </c>
      <c r="F859" s="15">
        <v>126.74302673339839</v>
      </c>
      <c r="H859" s="16">
        <f t="shared" si="40"/>
        <v>-1.3191521720858489E-3</v>
      </c>
      <c r="I859" s="16">
        <f t="shared" si="40"/>
        <v>-3.7627773759839334E-4</v>
      </c>
      <c r="J859" s="16">
        <f t="shared" si="40"/>
        <v>-6.7818468696607629E-3</v>
      </c>
      <c r="K859" s="16">
        <f t="shared" si="39"/>
        <v>-2.9864734129932012E-3</v>
      </c>
      <c r="L859" s="16">
        <f t="shared" si="39"/>
        <v>-9.9824302475206629E-4</v>
      </c>
    </row>
    <row r="860" spans="1:12" x14ac:dyDescent="0.35">
      <c r="A860" s="18">
        <v>43502</v>
      </c>
      <c r="B860" s="15">
        <v>246.69108581542969</v>
      </c>
      <c r="C860" s="15">
        <v>66.046669006347656</v>
      </c>
      <c r="D860" s="15">
        <v>123.44000244140619</v>
      </c>
      <c r="E860" s="15">
        <v>163.59539794921881</v>
      </c>
      <c r="F860" s="15">
        <v>126.616569519043</v>
      </c>
      <c r="H860" s="16">
        <f t="shared" si="40"/>
        <v>-9.5783919086359724E-3</v>
      </c>
      <c r="I860" s="16">
        <f t="shared" si="40"/>
        <v>7.5206765848641062E-4</v>
      </c>
      <c r="J860" s="16">
        <f t="shared" si="40"/>
        <v>2.4273450059937082E-3</v>
      </c>
      <c r="K860" s="16">
        <f t="shared" si="39"/>
        <v>-1.3520219006231651E-2</v>
      </c>
      <c r="L860" s="16">
        <f t="shared" si="39"/>
        <v>-9.5345889543678574E-3</v>
      </c>
    </row>
    <row r="861" spans="1:12" x14ac:dyDescent="0.35">
      <c r="A861" s="18">
        <v>43503</v>
      </c>
      <c r="B861" s="15">
        <v>244.33946228027341</v>
      </c>
      <c r="C861" s="15">
        <v>66.096359252929688</v>
      </c>
      <c r="D861" s="15">
        <v>123.7399978637695</v>
      </c>
      <c r="E861" s="15">
        <v>161.3984375</v>
      </c>
      <c r="F861" s="15">
        <v>125.4150695800781</v>
      </c>
      <c r="H861" s="16">
        <f t="shared" si="40"/>
        <v>1.2208221028806102E-3</v>
      </c>
      <c r="I861" s="16">
        <f t="shared" si="40"/>
        <v>1.5030168987752997E-3</v>
      </c>
      <c r="J861" s="16">
        <f t="shared" si="40"/>
        <v>3.7911013463216756E-3</v>
      </c>
      <c r="K861" s="16">
        <f t="shared" si="39"/>
        <v>1.9595234977769376E-3</v>
      </c>
      <c r="L861" s="16">
        <f t="shared" si="39"/>
        <v>1.007983878804864E-3</v>
      </c>
    </row>
    <row r="862" spans="1:12" x14ac:dyDescent="0.35">
      <c r="A862" s="18">
        <v>43504</v>
      </c>
      <c r="B862" s="15">
        <v>244.637939453125</v>
      </c>
      <c r="C862" s="15">
        <v>66.195777893066406</v>
      </c>
      <c r="D862" s="15">
        <v>124.2099990844727</v>
      </c>
      <c r="E862" s="15">
        <v>161.71501159667969</v>
      </c>
      <c r="F862" s="15">
        <v>125.5415496826172</v>
      </c>
      <c r="H862" s="16">
        <f t="shared" si="40"/>
        <v>5.5452883198386352E-4</v>
      </c>
      <c r="I862" s="16">
        <f t="shared" si="40"/>
        <v>-3.7580191209014954E-4</v>
      </c>
      <c r="J862" s="16">
        <f t="shared" si="40"/>
        <v>-4.9231415070087074E-3</v>
      </c>
      <c r="K862" s="16">
        <f t="shared" si="39"/>
        <v>-9.495781727356156E-4</v>
      </c>
      <c r="L862" s="16">
        <f t="shared" si="39"/>
        <v>2.0843675242729165E-3</v>
      </c>
    </row>
    <row r="863" spans="1:12" x14ac:dyDescent="0.35">
      <c r="A863" s="18">
        <v>43507</v>
      </c>
      <c r="B863" s="15">
        <v>244.77363586425781</v>
      </c>
      <c r="C863" s="15">
        <v>66.170906066894531</v>
      </c>
      <c r="D863" s="15">
        <v>123.59999847412109</v>
      </c>
      <c r="E863" s="15">
        <v>161.5615234375</v>
      </c>
      <c r="F863" s="15">
        <v>125.8034973144531</v>
      </c>
      <c r="H863" s="16">
        <f t="shared" si="40"/>
        <v>1.2777427842213359E-2</v>
      </c>
      <c r="I863" s="16">
        <f t="shared" si="40"/>
        <v>-1.2476056825828181E-4</v>
      </c>
      <c r="J863" s="16">
        <f t="shared" si="40"/>
        <v>2.1013677593770689E-3</v>
      </c>
      <c r="K863" s="16">
        <f t="shared" si="39"/>
        <v>1.4678256568953753E-2</v>
      </c>
      <c r="L863" s="16">
        <f t="shared" si="39"/>
        <v>1.2417222128342781E-2</v>
      </c>
    </row>
    <row r="864" spans="1:12" x14ac:dyDescent="0.35">
      <c r="A864" s="18">
        <v>43508</v>
      </c>
      <c r="B864" s="15">
        <v>247.92127990722659</v>
      </c>
      <c r="C864" s="15">
        <v>66.162651062011719</v>
      </c>
      <c r="D864" s="15">
        <v>123.86000061035161</v>
      </c>
      <c r="E864" s="15">
        <v>163.95045471191409</v>
      </c>
      <c r="F864" s="15">
        <v>127.3753662109375</v>
      </c>
      <c r="H864" s="16">
        <f t="shared" si="40"/>
        <v>3.2415861449432816E-3</v>
      </c>
      <c r="I864" s="16">
        <f t="shared" si="40"/>
        <v>-1.5037700070826313E-3</v>
      </c>
      <c r="J864" s="16">
        <f t="shared" si="40"/>
        <v>-3.9639080913307246E-3</v>
      </c>
      <c r="K864" s="16">
        <f t="shared" si="39"/>
        <v>7.017770374124476E-4</v>
      </c>
      <c r="L864" s="16">
        <f t="shared" si="39"/>
        <v>3.115771457154005E-3</v>
      </c>
    </row>
    <row r="865" spans="1:12" x14ac:dyDescent="0.35">
      <c r="A865" s="18">
        <v>43509</v>
      </c>
      <c r="B865" s="15">
        <v>248.72624206542969</v>
      </c>
      <c r="C865" s="15">
        <v>66.063232421875</v>
      </c>
      <c r="D865" s="15">
        <v>123.370002746582</v>
      </c>
      <c r="E865" s="15">
        <v>164.0655517578125</v>
      </c>
      <c r="F865" s="15">
        <v>127.7728576660156</v>
      </c>
      <c r="H865" s="16">
        <f t="shared" si="40"/>
        <v>-2.2205519414715902E-3</v>
      </c>
      <c r="I865" s="16">
        <f t="shared" si="40"/>
        <v>1.7536214321060932E-3</v>
      </c>
      <c r="J865" s="16">
        <f t="shared" si="40"/>
        <v>5.5773075193958155E-3</v>
      </c>
      <c r="K865" s="16">
        <f t="shared" si="39"/>
        <v>1.2272743431219015E-3</v>
      </c>
      <c r="L865" s="16">
        <f t="shared" si="39"/>
        <v>-1.7688181893723257E-3</v>
      </c>
    </row>
    <row r="866" spans="1:12" x14ac:dyDescent="0.35">
      <c r="A866" s="18">
        <v>43510</v>
      </c>
      <c r="B866" s="15">
        <v>248.17454528808591</v>
      </c>
      <c r="C866" s="15">
        <v>66.179183959960938</v>
      </c>
      <c r="D866" s="15">
        <v>124.05999755859381</v>
      </c>
      <c r="E866" s="15">
        <v>164.26702880859381</v>
      </c>
      <c r="F866" s="15">
        <v>127.5470504760742</v>
      </c>
      <c r="H866" s="16">
        <f t="shared" si="40"/>
        <v>1.0838067247298213E-2</v>
      </c>
      <c r="I866" s="16">
        <f t="shared" si="40"/>
        <v>3.7563967387956894E-4</v>
      </c>
      <c r="J866" s="16">
        <f t="shared" si="40"/>
        <v>5.9471805227805452E-3</v>
      </c>
      <c r="K866" s="16">
        <f t="shared" si="39"/>
        <v>4.196135239932162E-3</v>
      </c>
      <c r="L866" s="16">
        <f t="shared" si="39"/>
        <v>1.0917970643115716E-2</v>
      </c>
    </row>
    <row r="867" spans="1:12" x14ac:dyDescent="0.35">
      <c r="A867" s="18">
        <v>43511</v>
      </c>
      <c r="B867" s="15">
        <v>250.87890625</v>
      </c>
      <c r="C867" s="15">
        <v>66.204048156738281</v>
      </c>
      <c r="D867" s="15">
        <v>124.8000030517578</v>
      </c>
      <c r="E867" s="15">
        <v>164.957763671875</v>
      </c>
      <c r="F867" s="15">
        <v>128.9472351074219</v>
      </c>
      <c r="H867" s="16">
        <f t="shared" si="40"/>
        <v>1.7294179605552491E-3</v>
      </c>
      <c r="I867" s="16">
        <f t="shared" si="40"/>
        <v>8.7521500073335049E-4</v>
      </c>
      <c r="J867" s="16">
        <f t="shared" si="40"/>
        <v>1.5109582852092532E-2</v>
      </c>
      <c r="K867" s="16">
        <f t="shared" si="39"/>
        <v>1.9753530934002363E-3</v>
      </c>
      <c r="L867" s="16">
        <f t="shared" si="39"/>
        <v>1.9598125430272447E-3</v>
      </c>
    </row>
    <row r="868" spans="1:12" x14ac:dyDescent="0.35">
      <c r="A868" s="18">
        <v>43515</v>
      </c>
      <c r="B868" s="15">
        <v>251.31315612792969</v>
      </c>
      <c r="C868" s="15">
        <v>66.262016296386719</v>
      </c>
      <c r="D868" s="15">
        <v>126.6999969482422</v>
      </c>
      <c r="E868" s="15">
        <v>165.283935546875</v>
      </c>
      <c r="F868" s="15">
        <v>129.2001953125</v>
      </c>
      <c r="H868" s="16">
        <f t="shared" si="40"/>
        <v>2.0131441594655572E-3</v>
      </c>
      <c r="I868" s="16">
        <f t="shared" si="40"/>
        <v>-3.7496544158560592E-4</v>
      </c>
      <c r="J868" s="16">
        <f t="shared" si="40"/>
        <v>-1.7378437981699678E-3</v>
      </c>
      <c r="K868" s="16">
        <f t="shared" si="39"/>
        <v>-1.7375878612714272E-4</v>
      </c>
      <c r="L868" s="16">
        <f t="shared" si="39"/>
        <v>2.0955288636245622E-3</v>
      </c>
    </row>
    <row r="869" spans="1:12" x14ac:dyDescent="0.35">
      <c r="A869" s="18">
        <v>43516</v>
      </c>
      <c r="B869" s="15">
        <v>251.81959533691409</v>
      </c>
      <c r="C869" s="15">
        <v>66.237174987792969</v>
      </c>
      <c r="D869" s="15">
        <v>126.48000335693359</v>
      </c>
      <c r="E869" s="15">
        <v>165.2552185058594</v>
      </c>
      <c r="F869" s="15">
        <v>129.4712219238281</v>
      </c>
      <c r="H869" s="16">
        <f t="shared" si="40"/>
        <v>-3.5623039416561855E-3</v>
      </c>
      <c r="I869" s="16">
        <f t="shared" si="40"/>
        <v>-2.0027323169669029E-3</v>
      </c>
      <c r="J869" s="16">
        <f t="shared" si="40"/>
        <v>-1.1370537714508503E-2</v>
      </c>
      <c r="K869" s="16">
        <f t="shared" si="39"/>
        <v>-3.664637594376833E-3</v>
      </c>
      <c r="L869" s="16">
        <f t="shared" si="39"/>
        <v>-3.4250587167852765E-3</v>
      </c>
    </row>
    <row r="870" spans="1:12" x14ac:dyDescent="0.35">
      <c r="A870" s="18">
        <v>43517</v>
      </c>
      <c r="B870" s="15">
        <v>250.92413330078119</v>
      </c>
      <c r="C870" s="15">
        <v>66.104652404785156</v>
      </c>
      <c r="D870" s="15">
        <v>125.0500030517578</v>
      </c>
      <c r="E870" s="15">
        <v>164.6507263183594</v>
      </c>
      <c r="F870" s="15">
        <v>129.0285339355469</v>
      </c>
      <c r="H870" s="16">
        <f t="shared" si="40"/>
        <v>6.1810224447645086E-3</v>
      </c>
      <c r="I870" s="16">
        <f t="shared" si="40"/>
        <v>2.2526481300379881E-3</v>
      </c>
      <c r="J870" s="16">
        <f t="shared" si="40"/>
        <v>3.5920768439101198E-3</v>
      </c>
      <c r="K870" s="16">
        <f t="shared" si="39"/>
        <v>7.3729318757602899E-3</v>
      </c>
      <c r="L870" s="16">
        <f t="shared" si="39"/>
        <v>6.5597889119197589E-3</v>
      </c>
    </row>
    <row r="871" spans="1:12" x14ac:dyDescent="0.35">
      <c r="A871" s="18">
        <v>43518</v>
      </c>
      <c r="B871" s="15">
        <v>252.47990417480469</v>
      </c>
      <c r="C871" s="15">
        <v>66.253730773925781</v>
      </c>
      <c r="D871" s="15">
        <v>125.5</v>
      </c>
      <c r="E871" s="15">
        <v>165.8691711425781</v>
      </c>
      <c r="F871" s="15">
        <v>129.8777160644531</v>
      </c>
      <c r="H871" s="16">
        <f t="shared" si="40"/>
        <v>1.3602063822334975E-3</v>
      </c>
      <c r="I871" s="16">
        <f t="shared" si="40"/>
        <v>-3.7535793479932176E-4</v>
      </c>
      <c r="J871" s="16">
        <f t="shared" si="40"/>
        <v>-1.0363715360961617E-3</v>
      </c>
      <c r="K871" s="16">
        <f t="shared" si="39"/>
        <v>3.6374917594798025E-3</v>
      </c>
      <c r="L871" s="16">
        <f t="shared" si="39"/>
        <v>1.4594006979729397E-3</v>
      </c>
    </row>
    <row r="872" spans="1:12" x14ac:dyDescent="0.35">
      <c r="A872" s="18">
        <v>43521</v>
      </c>
      <c r="B872" s="15">
        <v>252.82356262207031</v>
      </c>
      <c r="C872" s="15">
        <v>66.228866577148438</v>
      </c>
      <c r="D872" s="15">
        <v>125.370002746582</v>
      </c>
      <c r="E872" s="15">
        <v>166.47361755371091</v>
      </c>
      <c r="F872" s="15">
        <v>130.06739807128909</v>
      </c>
      <c r="H872" s="16">
        <f t="shared" si="40"/>
        <v>-7.1580732698027971E-4</v>
      </c>
      <c r="I872" s="16">
        <f t="shared" si="40"/>
        <v>1.3754324281072252E-3</v>
      </c>
      <c r="J872" s="16">
        <f t="shared" si="40"/>
        <v>1.673633231003574E-3</v>
      </c>
      <c r="K872" s="16">
        <f t="shared" si="39"/>
        <v>1.0367661705623483E-3</v>
      </c>
      <c r="L872" s="16">
        <f t="shared" si="39"/>
        <v>-1.8766798687829501E-3</v>
      </c>
    </row>
    <row r="873" spans="1:12" x14ac:dyDescent="0.35">
      <c r="A873" s="18">
        <v>43522</v>
      </c>
      <c r="B873" s="15">
        <v>252.64265441894531</v>
      </c>
      <c r="C873" s="15">
        <v>66.320022583007813</v>
      </c>
      <c r="D873" s="15">
        <v>125.5800018310547</v>
      </c>
      <c r="E873" s="15">
        <v>166.64630126953119</v>
      </c>
      <c r="F873" s="15">
        <v>129.82353210449219</v>
      </c>
      <c r="H873" s="16">
        <f t="shared" si="40"/>
        <v>-4.2939210084137622E-4</v>
      </c>
      <c r="I873" s="16">
        <f t="shared" si="40"/>
        <v>-2.0003432505792756E-3</v>
      </c>
      <c r="J873" s="16">
        <f t="shared" si="40"/>
        <v>-7.1123436784439687E-3</v>
      </c>
      <c r="K873" s="16">
        <f t="shared" si="39"/>
        <v>-6.3354830328101114E-4</v>
      </c>
      <c r="L873" s="16">
        <f t="shared" si="39"/>
        <v>3.4749016269155342E-4</v>
      </c>
    </row>
    <row r="874" spans="1:12" x14ac:dyDescent="0.35">
      <c r="A874" s="18">
        <v>43523</v>
      </c>
      <c r="B874" s="15">
        <v>252.53419494628909</v>
      </c>
      <c r="C874" s="15">
        <v>66.187492370605469</v>
      </c>
      <c r="D874" s="15">
        <v>124.69000244140619</v>
      </c>
      <c r="E874" s="15">
        <v>166.54075622558591</v>
      </c>
      <c r="F874" s="15">
        <v>129.86865234375</v>
      </c>
      <c r="H874" s="16">
        <f t="shared" si="40"/>
        <v>-1.8644469181182436E-3</v>
      </c>
      <c r="I874" s="16">
        <f t="shared" si="40"/>
        <v>-1.1271631510202584E-3</v>
      </c>
      <c r="J874" s="16">
        <f t="shared" si="40"/>
        <v>-5.6297766256063302E-3</v>
      </c>
      <c r="K874" s="16">
        <f t="shared" si="39"/>
        <v>-2.3067673754743035E-3</v>
      </c>
      <c r="L874" s="16">
        <f t="shared" si="39"/>
        <v>-2.0886383613782432E-3</v>
      </c>
    </row>
    <row r="875" spans="1:12" x14ac:dyDescent="0.35">
      <c r="A875" s="18">
        <v>43524</v>
      </c>
      <c r="B875" s="15">
        <v>252.06379699707031</v>
      </c>
      <c r="C875" s="15">
        <v>66.112930297851563</v>
      </c>
      <c r="D875" s="15">
        <v>123.9899978637695</v>
      </c>
      <c r="E875" s="15">
        <v>166.15702819824219</v>
      </c>
      <c r="F875" s="15">
        <v>129.5976867675781</v>
      </c>
      <c r="H875" s="16">
        <f t="shared" si="40"/>
        <v>6.2245138617585839E-3</v>
      </c>
      <c r="I875" s="16">
        <f t="shared" si="40"/>
        <v>-3.0944873538985558E-3</v>
      </c>
      <c r="J875" s="16">
        <f t="shared" si="40"/>
        <v>-1.7163968380320714E-2</v>
      </c>
      <c r="K875" s="16">
        <f t="shared" si="39"/>
        <v>6.9049469219911556E-3</v>
      </c>
      <c r="L875" s="16">
        <f t="shared" si="39"/>
        <v>6.669560916298084E-3</v>
      </c>
    </row>
    <row r="876" spans="1:12" x14ac:dyDescent="0.35">
      <c r="A876" s="18">
        <v>43525</v>
      </c>
      <c r="B876" s="15">
        <v>253.6376647949219</v>
      </c>
      <c r="C876" s="15">
        <v>65.908660888671875</v>
      </c>
      <c r="D876" s="15">
        <v>121.879997253418</v>
      </c>
      <c r="E876" s="15">
        <v>167.30830383300781</v>
      </c>
      <c r="F876" s="15">
        <v>130.4649353027344</v>
      </c>
      <c r="H876" s="16">
        <f t="shared" si="40"/>
        <v>-3.6443145752312134E-3</v>
      </c>
      <c r="I876" s="16">
        <f t="shared" si="40"/>
        <v>1.7625837279690399E-3</v>
      </c>
      <c r="J876" s="16">
        <f t="shared" si="40"/>
        <v>-2.6289836177431354E-3</v>
      </c>
      <c r="K876" s="16">
        <f t="shared" si="39"/>
        <v>1.7208265791734067E-4</v>
      </c>
      <c r="L876" s="16">
        <f t="shared" si="39"/>
        <v>-4.6502464251419462E-3</v>
      </c>
    </row>
    <row r="877" spans="1:12" x14ac:dyDescent="0.35">
      <c r="A877" s="18">
        <v>43528</v>
      </c>
      <c r="B877" s="15">
        <v>252.71501159667969</v>
      </c>
      <c r="C877" s="15">
        <v>66.024932861328125</v>
      </c>
      <c r="D877" s="15">
        <v>121.55999755859381</v>
      </c>
      <c r="E877" s="15">
        <v>167.33709716796881</v>
      </c>
      <c r="F877" s="15">
        <v>129.8596496582031</v>
      </c>
      <c r="H877" s="16">
        <f t="shared" si="40"/>
        <v>-1.3608515036744194E-3</v>
      </c>
      <c r="I877" s="16">
        <f t="shared" si="40"/>
        <v>7.5462447846945369E-4</v>
      </c>
      <c r="J877" s="16">
        <f t="shared" si="40"/>
        <v>1.3153870929181384E-3</v>
      </c>
      <c r="K877" s="16">
        <f t="shared" si="39"/>
        <v>7.4471169291047987E-4</v>
      </c>
      <c r="L877" s="16">
        <f t="shared" si="39"/>
        <v>-1.8801558824937722E-3</v>
      </c>
    </row>
    <row r="878" spans="1:12" x14ac:dyDescent="0.35">
      <c r="A878" s="18">
        <v>43529</v>
      </c>
      <c r="B878" s="15">
        <v>252.371337890625</v>
      </c>
      <c r="C878" s="15">
        <v>66.074775695800781</v>
      </c>
      <c r="D878" s="15">
        <v>121.7200012207031</v>
      </c>
      <c r="E878" s="15">
        <v>167.4617614746094</v>
      </c>
      <c r="F878" s="15">
        <v>129.61572265625</v>
      </c>
      <c r="H878" s="16">
        <f t="shared" si="40"/>
        <v>-6.0754670476754679E-3</v>
      </c>
      <c r="I878" s="16">
        <f t="shared" si="40"/>
        <v>1.2553670486936533E-3</v>
      </c>
      <c r="J878" s="16">
        <f t="shared" si="40"/>
        <v>-9.041270457159986E-4</v>
      </c>
      <c r="K878" s="16">
        <f t="shared" si="39"/>
        <v>-5.6876961912515622E-3</v>
      </c>
      <c r="L878" s="16">
        <f t="shared" si="39"/>
        <v>-7.6260414292542303E-3</v>
      </c>
    </row>
    <row r="879" spans="1:12" x14ac:dyDescent="0.35">
      <c r="A879" s="18">
        <v>43530</v>
      </c>
      <c r="B879" s="15">
        <v>250.84271240234381</v>
      </c>
      <c r="C879" s="15">
        <v>66.15777587890625</v>
      </c>
      <c r="D879" s="15">
        <v>121.61000061035161</v>
      </c>
      <c r="E879" s="15">
        <v>166.5119934082031</v>
      </c>
      <c r="F879" s="15">
        <v>128.63102722167969</v>
      </c>
      <c r="H879" s="16">
        <f t="shared" si="40"/>
        <v>-8.4004809455129163E-3</v>
      </c>
      <c r="I879" s="16">
        <f t="shared" si="40"/>
        <v>2.8821019067382953E-3</v>
      </c>
      <c r="J879" s="16">
        <f t="shared" si="40"/>
        <v>-8.2262651061699305E-4</v>
      </c>
      <c r="K879" s="16">
        <f t="shared" si="39"/>
        <v>-1.2348426727300087E-2</v>
      </c>
      <c r="L879" s="16">
        <f t="shared" si="39"/>
        <v>-7.8258313495166362E-3</v>
      </c>
    </row>
    <row r="880" spans="1:12" x14ac:dyDescent="0.35">
      <c r="A880" s="18">
        <v>43531</v>
      </c>
      <c r="B880" s="15">
        <v>248.74433898925781</v>
      </c>
      <c r="C880" s="15">
        <v>66.348724365234375</v>
      </c>
      <c r="D880" s="15">
        <v>121.5100021362305</v>
      </c>
      <c r="E880" s="15">
        <v>164.4684753417969</v>
      </c>
      <c r="F880" s="15">
        <v>127.62831115722661</v>
      </c>
      <c r="H880" s="16">
        <f t="shared" si="40"/>
        <v>-2.0020384439985691E-3</v>
      </c>
      <c r="I880" s="16">
        <f t="shared" si="40"/>
        <v>1.2506463579854061E-3</v>
      </c>
      <c r="J880" s="16">
        <f t="shared" si="40"/>
        <v>1.0886084259376762E-2</v>
      </c>
      <c r="K880" s="16">
        <f t="shared" si="39"/>
        <v>-1.5178595564858009E-3</v>
      </c>
      <c r="L880" s="16">
        <f t="shared" si="39"/>
        <v>-2.0549541671484157E-3</v>
      </c>
    </row>
    <row r="881" spans="1:12" x14ac:dyDescent="0.35">
      <c r="A881" s="18">
        <v>43532</v>
      </c>
      <c r="B881" s="15">
        <v>248.24684143066409</v>
      </c>
      <c r="C881" s="15">
        <v>66.431755065917969</v>
      </c>
      <c r="D881" s="15">
        <v>122.8399963378906</v>
      </c>
      <c r="E881" s="15">
        <v>164.2190246582031</v>
      </c>
      <c r="F881" s="15">
        <v>127.36631011962891</v>
      </c>
      <c r="H881" s="16">
        <f t="shared" si="40"/>
        <v>1.4397272436063771E-2</v>
      </c>
      <c r="I881" s="16">
        <f t="shared" si="40"/>
        <v>-4.9981807823687929E-4</v>
      </c>
      <c r="J881" s="16">
        <f t="shared" si="40"/>
        <v>-4.8963578180915464E-3</v>
      </c>
      <c r="K881" s="16">
        <f t="shared" si="39"/>
        <v>2.0584998233370309E-2</v>
      </c>
      <c r="L881" s="16">
        <f t="shared" si="39"/>
        <v>1.457546285759404E-2</v>
      </c>
    </row>
    <row r="882" spans="1:12" x14ac:dyDescent="0.35">
      <c r="A882" s="18">
        <v>43535</v>
      </c>
      <c r="B882" s="15">
        <v>251.8467712402344</v>
      </c>
      <c r="C882" s="15">
        <v>66.3985595703125</v>
      </c>
      <c r="D882" s="15">
        <v>122.2399978637695</v>
      </c>
      <c r="E882" s="15">
        <v>167.63450622558591</v>
      </c>
      <c r="F882" s="15">
        <v>129.236328125</v>
      </c>
      <c r="H882" s="16">
        <f t="shared" si="40"/>
        <v>3.7638189878997585E-3</v>
      </c>
      <c r="I882" s="16">
        <f t="shared" si="40"/>
        <v>2.3724585710685098E-3</v>
      </c>
      <c r="J882" s="16">
        <f t="shared" si="40"/>
        <v>6.0354598794022472E-3</v>
      </c>
      <c r="K882" s="16">
        <f t="shared" si="39"/>
        <v>5.4789987061542641E-3</v>
      </c>
      <c r="L882" s="16">
        <f t="shared" si="39"/>
        <v>3.3495474801339248E-3</v>
      </c>
    </row>
    <row r="883" spans="1:12" x14ac:dyDescent="0.35">
      <c r="A883" s="18">
        <v>43536</v>
      </c>
      <c r="B883" s="15">
        <v>252.79646301269531</v>
      </c>
      <c r="C883" s="15">
        <v>66.5562744140625</v>
      </c>
      <c r="D883" s="15">
        <v>122.98000335693359</v>
      </c>
      <c r="E883" s="15">
        <v>168.55549621582031</v>
      </c>
      <c r="F883" s="15">
        <v>129.66993713378909</v>
      </c>
      <c r="H883" s="16">
        <f t="shared" si="40"/>
        <v>6.5972653475178458E-3</v>
      </c>
      <c r="I883" s="16">
        <f t="shared" si="40"/>
        <v>-4.9945618103984285E-4</v>
      </c>
      <c r="J883" s="16">
        <f t="shared" si="40"/>
        <v>6.9686124482149807E-3</v>
      </c>
      <c r="K883" s="16">
        <f t="shared" si="39"/>
        <v>7.4852772633535285E-3</v>
      </c>
      <c r="L883" s="16">
        <f t="shared" si="39"/>
        <v>6.3890178519359414E-3</v>
      </c>
    </row>
    <row r="884" spans="1:12" x14ac:dyDescent="0.35">
      <c r="A884" s="18">
        <v>43537</v>
      </c>
      <c r="B884" s="15">
        <v>254.46974182128909</v>
      </c>
      <c r="C884" s="15">
        <v>66.523040771484375</v>
      </c>
      <c r="D884" s="15">
        <v>123.8399963378906</v>
      </c>
      <c r="E884" s="15">
        <v>169.82191467285159</v>
      </c>
      <c r="F884" s="15">
        <v>130.50105285644531</v>
      </c>
      <c r="H884" s="16">
        <f t="shared" si="40"/>
        <v>-6.3989080612936481E-4</v>
      </c>
      <c r="I884" s="16">
        <f t="shared" si="40"/>
        <v>-8.7384550337161245E-4</v>
      </c>
      <c r="J884" s="16">
        <f t="shared" si="40"/>
        <v>-1.1614284265948743E-2</v>
      </c>
      <c r="K884" s="16">
        <f t="shared" si="39"/>
        <v>-1.696400691101729E-3</v>
      </c>
      <c r="L884" s="16">
        <f t="shared" si="39"/>
        <v>-8.3132889844602525E-4</v>
      </c>
    </row>
    <row r="885" spans="1:12" x14ac:dyDescent="0.35">
      <c r="A885" s="18">
        <v>43538</v>
      </c>
      <c r="B885" s="15">
        <v>254.30696105957031</v>
      </c>
      <c r="C885" s="15">
        <v>66.464935302734375</v>
      </c>
      <c r="D885" s="15">
        <v>122.4100036621094</v>
      </c>
      <c r="E885" s="15">
        <v>169.53407287597659</v>
      </c>
      <c r="F885" s="15">
        <v>130.3926086425781</v>
      </c>
      <c r="H885" s="16">
        <f t="shared" si="40"/>
        <v>4.9279379855700356E-3</v>
      </c>
      <c r="I885" s="16">
        <f t="shared" si="40"/>
        <v>1.8718210921256908E-3</v>
      </c>
      <c r="J885" s="16">
        <f t="shared" si="40"/>
        <v>4.5643371070215278E-3</v>
      </c>
      <c r="K885" s="16">
        <f t="shared" si="39"/>
        <v>9.2378983622273345E-3</v>
      </c>
      <c r="L885" s="16">
        <f t="shared" si="39"/>
        <v>4.6311667493346698E-3</v>
      </c>
    </row>
    <row r="886" spans="1:12" x14ac:dyDescent="0.35">
      <c r="A886" s="18">
        <v>43539</v>
      </c>
      <c r="B886" s="15">
        <v>255.5632629394531</v>
      </c>
      <c r="C886" s="15">
        <v>66.589462280273438</v>
      </c>
      <c r="D886" s="15">
        <v>122.9700012207031</v>
      </c>
      <c r="E886" s="15">
        <v>171.10746765136719</v>
      </c>
      <c r="F886" s="15">
        <v>130.99787902832031</v>
      </c>
      <c r="H886" s="16">
        <f t="shared" si="40"/>
        <v>3.6198939305139895E-3</v>
      </c>
      <c r="I886" s="16">
        <f t="shared" si="40"/>
        <v>-6.2370400356920775E-4</v>
      </c>
      <c r="J886" s="16">
        <f t="shared" si="40"/>
        <v>5.6908008703295638E-4</v>
      </c>
      <c r="K886" s="16">
        <f t="shared" si="39"/>
        <v>2.3787199518238602E-3</v>
      </c>
      <c r="L886" s="16">
        <f t="shared" si="39"/>
        <v>3.7169871357860614E-3</v>
      </c>
    </row>
    <row r="887" spans="1:12" x14ac:dyDescent="0.35">
      <c r="A887" s="18">
        <v>43542</v>
      </c>
      <c r="B887" s="15">
        <v>256.49005126953119</v>
      </c>
      <c r="C887" s="15">
        <v>66.547943115234375</v>
      </c>
      <c r="D887" s="15">
        <v>123.0400009155273</v>
      </c>
      <c r="E887" s="15">
        <v>171.51496887207031</v>
      </c>
      <c r="F887" s="15">
        <v>131.48570251464841</v>
      </c>
      <c r="H887" s="16">
        <f t="shared" si="40"/>
        <v>2.4780781518527481E-4</v>
      </c>
      <c r="I887" s="16">
        <f t="shared" si="40"/>
        <v>-4.9894521312921283E-4</v>
      </c>
      <c r="J887" s="16">
        <f t="shared" si="40"/>
        <v>2.7594883221061985E-3</v>
      </c>
      <c r="K887" s="16">
        <f t="shared" si="39"/>
        <v>3.3567830235907681E-3</v>
      </c>
      <c r="L887" s="16">
        <f t="shared" si="39"/>
        <v>-2.0612433060811821E-4</v>
      </c>
    </row>
    <row r="888" spans="1:12" x14ac:dyDescent="0.35">
      <c r="A888" s="18">
        <v>43543</v>
      </c>
      <c r="B888" s="15">
        <v>256.55361938476563</v>
      </c>
      <c r="C888" s="15">
        <v>66.514747619628906</v>
      </c>
      <c r="D888" s="15">
        <v>123.379997253418</v>
      </c>
      <c r="E888" s="15">
        <v>172.0916748046875</v>
      </c>
      <c r="F888" s="15">
        <v>131.45860290527341</v>
      </c>
      <c r="H888" s="16">
        <f t="shared" si="40"/>
        <v>-3.0148595722719333E-3</v>
      </c>
      <c r="I888" s="16">
        <f t="shared" si="40"/>
        <v>4.3598367956406599E-3</v>
      </c>
      <c r="J888" s="16">
        <f t="shared" si="40"/>
        <v>6.4631268739428847E-3</v>
      </c>
      <c r="K888" s="16">
        <f t="shared" si="39"/>
        <v>3.9574194895242807E-3</v>
      </c>
      <c r="L888" s="16">
        <f t="shared" si="39"/>
        <v>-4.1314341468688285E-3</v>
      </c>
    </row>
    <row r="889" spans="1:12" x14ac:dyDescent="0.35">
      <c r="A889" s="18">
        <v>43544</v>
      </c>
      <c r="B889" s="15">
        <v>255.78131103515619</v>
      </c>
      <c r="C889" s="15">
        <v>66.805374145507813</v>
      </c>
      <c r="D889" s="15">
        <v>124.1800003051758</v>
      </c>
      <c r="E889" s="15">
        <v>172.77406311035159</v>
      </c>
      <c r="F889" s="15">
        <v>130.91661071777341</v>
      </c>
      <c r="H889" s="16">
        <f t="shared" si="40"/>
        <v>1.1231524100046889E-2</v>
      </c>
      <c r="I889" s="16">
        <f t="shared" si="40"/>
        <v>2.4767629463099224E-4</v>
      </c>
      <c r="J889" s="16">
        <f t="shared" si="40"/>
        <v>-4.034541087699915E-3</v>
      </c>
      <c r="K889" s="16">
        <f t="shared" si="39"/>
        <v>1.5511000465276569E-2</v>
      </c>
      <c r="L889" s="16">
        <f t="shared" si="39"/>
        <v>1.1662257651684766E-2</v>
      </c>
    </row>
    <row r="890" spans="1:12" x14ac:dyDescent="0.35">
      <c r="A890" s="18">
        <v>43545</v>
      </c>
      <c r="B890" s="15">
        <v>258.67031860351563</v>
      </c>
      <c r="C890" s="15">
        <v>66.821922302246094</v>
      </c>
      <c r="D890" s="15">
        <v>123.6800003051758</v>
      </c>
      <c r="E890" s="15">
        <v>175.474853515625</v>
      </c>
      <c r="F890" s="15">
        <v>132.45233154296881</v>
      </c>
      <c r="H890" s="16">
        <f t="shared" si="40"/>
        <v>-1.9433712368661159E-2</v>
      </c>
      <c r="I890" s="16">
        <f t="shared" si="40"/>
        <v>5.451584833534388E-3</v>
      </c>
      <c r="J890" s="16">
        <f t="shared" si="40"/>
        <v>2.3420233902430119E-3</v>
      </c>
      <c r="K890" s="16">
        <f t="shared" si="39"/>
        <v>-2.2208600394516751E-2</v>
      </c>
      <c r="L890" s="16">
        <f t="shared" si="39"/>
        <v>-2.1091460936092914E-2</v>
      </c>
    </row>
    <row r="891" spans="1:12" x14ac:dyDescent="0.35">
      <c r="A891" s="18">
        <v>43546</v>
      </c>
      <c r="B891" s="15">
        <v>253.6919250488281</v>
      </c>
      <c r="C891" s="15">
        <v>67.187202453613281</v>
      </c>
      <c r="D891" s="15">
        <v>123.9700012207031</v>
      </c>
      <c r="E891" s="15">
        <v>171.6207580566406</v>
      </c>
      <c r="F891" s="15">
        <v>129.68797302246091</v>
      </c>
      <c r="H891" s="16">
        <f t="shared" si="40"/>
        <v>-7.5229990366406556E-4</v>
      </c>
      <c r="I891" s="16">
        <f t="shared" si="40"/>
        <v>1.2350482643433008E-3</v>
      </c>
      <c r="J891" s="16">
        <f t="shared" si="40"/>
        <v>7.6339070602416273E-3</v>
      </c>
      <c r="K891" s="16">
        <f t="shared" si="39"/>
        <v>-1.9062664071838658E-3</v>
      </c>
      <c r="L891" s="16">
        <f t="shared" si="39"/>
        <v>-6.8665073221408702E-4</v>
      </c>
    </row>
    <row r="892" spans="1:12" x14ac:dyDescent="0.35">
      <c r="A892" s="18">
        <v>43549</v>
      </c>
      <c r="B892" s="15">
        <v>253.50114440917969</v>
      </c>
      <c r="C892" s="15">
        <v>67.270233154296875</v>
      </c>
      <c r="D892" s="15">
        <v>124.9199981689453</v>
      </c>
      <c r="E892" s="15">
        <v>171.2939147949219</v>
      </c>
      <c r="F892" s="15">
        <v>129.59895324707031</v>
      </c>
      <c r="H892" s="16">
        <f t="shared" si="40"/>
        <v>7.4263763177590744E-3</v>
      </c>
      <c r="I892" s="16">
        <f t="shared" si="40"/>
        <v>2.4607836824299691E-4</v>
      </c>
      <c r="J892" s="16">
        <f t="shared" si="40"/>
        <v>-4.9754946888428755E-3</v>
      </c>
      <c r="K892" s="16">
        <f t="shared" si="39"/>
        <v>4.6464468468996522E-3</v>
      </c>
      <c r="L892" s="16">
        <f t="shared" si="39"/>
        <v>7.679601362050024E-3</v>
      </c>
    </row>
    <row r="893" spans="1:12" x14ac:dyDescent="0.35">
      <c r="A893" s="18">
        <v>43550</v>
      </c>
      <c r="B893" s="15">
        <v>255.3907470703125</v>
      </c>
      <c r="C893" s="15">
        <v>67.286788940429688</v>
      </c>
      <c r="D893" s="15">
        <v>124.3000030517578</v>
      </c>
      <c r="E893" s="15">
        <v>172.0916748046875</v>
      </c>
      <c r="F893" s="15">
        <v>130.5980529785156</v>
      </c>
      <c r="H893" s="16">
        <f t="shared" si="40"/>
        <v>-5.2424020075340708E-3</v>
      </c>
      <c r="I893" s="16">
        <f t="shared" si="40"/>
        <v>1.8493189668305613E-3</v>
      </c>
      <c r="J893" s="16">
        <f t="shared" si="40"/>
        <v>-5.2430167604844589E-3</v>
      </c>
      <c r="K893" s="16">
        <f t="shared" si="39"/>
        <v>-6.4435485730844899E-3</v>
      </c>
      <c r="L893" s="16">
        <f t="shared" si="39"/>
        <v>-4.6005392041151196E-3</v>
      </c>
    </row>
    <row r="894" spans="1:12" x14ac:dyDescent="0.35">
      <c r="A894" s="18">
        <v>43551</v>
      </c>
      <c r="B894" s="15">
        <v>254.0553894042969</v>
      </c>
      <c r="C894" s="15">
        <v>67.411338806152344</v>
      </c>
      <c r="D894" s="15">
        <v>123.65000152587891</v>
      </c>
      <c r="E894" s="15">
        <v>170.9863586425781</v>
      </c>
      <c r="F894" s="15">
        <v>129.99861145019531</v>
      </c>
      <c r="H894" s="16">
        <f t="shared" si="40"/>
        <v>3.7831565489404445E-3</v>
      </c>
      <c r="I894" s="16">
        <f t="shared" si="40"/>
        <v>4.92989450087349E-4</v>
      </c>
      <c r="J894" s="16">
        <f t="shared" si="40"/>
        <v>-1.4253957303041619E-2</v>
      </c>
      <c r="K894" s="16">
        <f t="shared" si="39"/>
        <v>2.3019663690211425E-3</v>
      </c>
      <c r="L894" s="16">
        <f t="shared" si="39"/>
        <v>4.3920788443643412E-3</v>
      </c>
    </row>
    <row r="895" spans="1:12" x14ac:dyDescent="0.35">
      <c r="A895" s="18">
        <v>43552</v>
      </c>
      <c r="B895" s="15">
        <v>255.0183410644531</v>
      </c>
      <c r="C895" s="15">
        <v>67.444580078125</v>
      </c>
      <c r="D895" s="15">
        <v>121.90000152587891</v>
      </c>
      <c r="E895" s="15">
        <v>171.38041687011719</v>
      </c>
      <c r="F895" s="15">
        <v>130.5708312988281</v>
      </c>
      <c r="H895" s="16">
        <f t="shared" si="40"/>
        <v>6.28552052645892E-3</v>
      </c>
      <c r="I895" s="16">
        <f t="shared" si="40"/>
        <v>-7.3872631016064141E-4</v>
      </c>
      <c r="J895" s="16">
        <f t="shared" si="40"/>
        <v>9.0197709120348811E-4</v>
      </c>
      <c r="K895" s="16">
        <f t="shared" si="39"/>
        <v>7.5426300491352079E-3</v>
      </c>
      <c r="L895" s="16">
        <f t="shared" si="39"/>
        <v>6.5868142422544412E-3</v>
      </c>
    </row>
    <row r="896" spans="1:12" x14ac:dyDescent="0.35">
      <c r="A896" s="18">
        <v>43553</v>
      </c>
      <c r="B896" s="15">
        <v>256.62631225585938</v>
      </c>
      <c r="C896" s="15">
        <v>67.394775390625</v>
      </c>
      <c r="D896" s="15">
        <v>122.0100021362305</v>
      </c>
      <c r="E896" s="15">
        <v>172.67796325683591</v>
      </c>
      <c r="F896" s="15">
        <v>131.4337158203125</v>
      </c>
      <c r="H896" s="16">
        <f t="shared" si="40"/>
        <v>1.1789599239477706E-2</v>
      </c>
      <c r="I896" s="16">
        <f t="shared" si="40"/>
        <v>-3.9599138077805809E-3</v>
      </c>
      <c r="J896" s="16">
        <f t="shared" si="40"/>
        <v>-3.9418902576437006E-3</v>
      </c>
      <c r="K896" s="16">
        <f t="shared" si="39"/>
        <v>1.3160173583938662E-2</v>
      </c>
      <c r="L896" s="16">
        <f t="shared" si="39"/>
        <v>1.1542276396393188E-2</v>
      </c>
    </row>
    <row r="897" spans="1:12" x14ac:dyDescent="0.35">
      <c r="A897" s="18">
        <v>43556</v>
      </c>
      <c r="B897" s="15">
        <v>259.66973876953119</v>
      </c>
      <c r="C897" s="15">
        <v>67.128425598144531</v>
      </c>
      <c r="D897" s="15">
        <v>121.5299987792969</v>
      </c>
      <c r="E897" s="15">
        <v>174.9654541015625</v>
      </c>
      <c r="F897" s="15">
        <v>132.95954895019531</v>
      </c>
      <c r="H897" s="16">
        <f t="shared" si="40"/>
        <v>4.8948759992375503E-4</v>
      </c>
      <c r="I897" s="16">
        <f t="shared" si="40"/>
        <v>4.9608901985955325E-4</v>
      </c>
      <c r="J897" s="16">
        <f t="shared" si="40"/>
        <v>3.695988550420715E-3</v>
      </c>
      <c r="K897" s="16">
        <f t="shared" si="39"/>
        <v>3.7833424363129266E-3</v>
      </c>
      <c r="L897" s="16">
        <f t="shared" si="39"/>
        <v>-6.8630414685705207E-5</v>
      </c>
    </row>
    <row r="898" spans="1:12" x14ac:dyDescent="0.35">
      <c r="A898" s="18">
        <v>43557</v>
      </c>
      <c r="B898" s="15">
        <v>259.796875</v>
      </c>
      <c r="C898" s="15">
        <v>67.161735534667969</v>
      </c>
      <c r="D898" s="15">
        <v>121.98000335693359</v>
      </c>
      <c r="E898" s="15">
        <v>175.628662109375</v>
      </c>
      <c r="F898" s="15">
        <v>132.95042419433591</v>
      </c>
      <c r="H898" s="16">
        <f t="shared" si="40"/>
        <v>1.5723520978620691E-3</v>
      </c>
      <c r="I898" s="16">
        <f t="shared" si="40"/>
        <v>-1.3640980432543415E-3</v>
      </c>
      <c r="J898" s="16">
        <f t="shared" si="40"/>
        <v>-1.476744057391478E-3</v>
      </c>
      <c r="K898" s="16">
        <f t="shared" si="39"/>
        <v>5.7298605098206196E-3</v>
      </c>
      <c r="L898" s="16">
        <f t="shared" si="39"/>
        <v>2.3883892702702995E-3</v>
      </c>
    </row>
    <row r="899" spans="1:12" x14ac:dyDescent="0.35">
      <c r="A899" s="18">
        <v>43558</v>
      </c>
      <c r="B899" s="15">
        <v>260.2056884765625</v>
      </c>
      <c r="C899" s="15">
        <v>67.070182800292969</v>
      </c>
      <c r="D899" s="15">
        <v>121.8000030517578</v>
      </c>
      <c r="E899" s="15">
        <v>176.63787841796881</v>
      </c>
      <c r="F899" s="15">
        <v>133.2683410644531</v>
      </c>
      <c r="H899" s="16">
        <f t="shared" si="40"/>
        <v>2.6498856181723118E-3</v>
      </c>
      <c r="I899" s="16">
        <f t="shared" si="40"/>
        <v>9.9165661382784103E-4</v>
      </c>
      <c r="J899" s="16">
        <f t="shared" si="40"/>
        <v>2.5419025120266216E-3</v>
      </c>
      <c r="K899" s="16">
        <f t="shared" si="40"/>
        <v>-3.8111500055518232E-4</v>
      </c>
      <c r="L899" s="16">
        <f t="shared" si="40"/>
        <v>2.1101222690706111E-3</v>
      </c>
    </row>
    <row r="900" spans="1:12" x14ac:dyDescent="0.35">
      <c r="A900" s="18">
        <v>43559</v>
      </c>
      <c r="B900" s="15">
        <v>260.8961181640625</v>
      </c>
      <c r="C900" s="15">
        <v>67.136726379394531</v>
      </c>
      <c r="D900" s="15">
        <v>122.11000061035161</v>
      </c>
      <c r="E900" s="15">
        <v>176.57057189941409</v>
      </c>
      <c r="F900" s="15">
        <v>133.54985046386719</v>
      </c>
      <c r="H900" s="16">
        <f t="shared" ref="H900:K963" si="41">LN(B901/B900)</f>
        <v>4.8283978495653407E-3</v>
      </c>
      <c r="I900" s="16">
        <f t="shared" si="41"/>
        <v>7.4383575701842156E-4</v>
      </c>
      <c r="J900" s="16">
        <f t="shared" si="41"/>
        <v>-1.0651584546352466E-3</v>
      </c>
      <c r="K900" s="16">
        <f t="shared" si="41"/>
        <v>5.1580708501035959E-3</v>
      </c>
      <c r="L900" s="16">
        <f t="shared" ref="L900:L963" si="42">LN(F901/F900)</f>
        <v>5.0203265836350781E-3</v>
      </c>
    </row>
    <row r="901" spans="1:12" x14ac:dyDescent="0.35">
      <c r="A901" s="18">
        <v>43560</v>
      </c>
      <c r="B901" s="15">
        <v>262.15887451171881</v>
      </c>
      <c r="C901" s="15">
        <v>67.186683654785156</v>
      </c>
      <c r="D901" s="15">
        <v>121.98000335693359</v>
      </c>
      <c r="E901" s="15">
        <v>177.48368835449219</v>
      </c>
      <c r="F901" s="15">
        <v>134.22200012207031</v>
      </c>
      <c r="H901" s="16">
        <f t="shared" si="41"/>
        <v>7.6241919571541519E-4</v>
      </c>
      <c r="I901" s="16">
        <f t="shared" si="41"/>
        <v>-9.9160089966268856E-4</v>
      </c>
      <c r="J901" s="16">
        <f t="shared" si="41"/>
        <v>4.3355523546012775E-3</v>
      </c>
      <c r="K901" s="16">
        <f t="shared" si="41"/>
        <v>2.5419086216817103E-3</v>
      </c>
      <c r="L901" s="16">
        <f t="shared" si="42"/>
        <v>8.7952122446457851E-4</v>
      </c>
    </row>
    <row r="902" spans="1:12" x14ac:dyDescent="0.35">
      <c r="A902" s="18">
        <v>43563</v>
      </c>
      <c r="B902" s="15">
        <v>262.35882568359381</v>
      </c>
      <c r="C902" s="15">
        <v>67.120094299316406</v>
      </c>
      <c r="D902" s="15">
        <v>122.5100021362305</v>
      </c>
      <c r="E902" s="15">
        <v>177.93540954589841</v>
      </c>
      <c r="F902" s="15">
        <v>134.34010314941409</v>
      </c>
      <c r="H902" s="16">
        <f t="shared" si="41"/>
        <v>-5.1382372803138194E-3</v>
      </c>
      <c r="I902" s="16">
        <f t="shared" si="41"/>
        <v>1.4869193670320076E-3</v>
      </c>
      <c r="J902" s="16">
        <f t="shared" si="41"/>
        <v>5.2104602136842327E-3</v>
      </c>
      <c r="K902" s="16">
        <f t="shared" si="41"/>
        <v>-3.5174030274122991E-3</v>
      </c>
      <c r="L902" s="16">
        <f t="shared" si="42"/>
        <v>-6.035592413745872E-3</v>
      </c>
    </row>
    <row r="903" spans="1:12" x14ac:dyDescent="0.35">
      <c r="A903" s="18">
        <v>43564</v>
      </c>
      <c r="B903" s="15">
        <v>261.01422119140619</v>
      </c>
      <c r="C903" s="15">
        <v>67.219970703125</v>
      </c>
      <c r="D903" s="15">
        <v>123.15000152587891</v>
      </c>
      <c r="E903" s="15">
        <v>177.3106384277344</v>
      </c>
      <c r="F903" s="15">
        <v>133.53172302246091</v>
      </c>
      <c r="H903" s="16">
        <f t="shared" si="41"/>
        <v>3.4054299836818436E-3</v>
      </c>
      <c r="I903" s="16">
        <f t="shared" si="41"/>
        <v>1.3607204241810867E-3</v>
      </c>
      <c r="J903" s="16">
        <f t="shared" si="41"/>
        <v>3.0808947099309546E-3</v>
      </c>
      <c r="K903" s="16">
        <f t="shared" si="41"/>
        <v>5.3521547058558256E-3</v>
      </c>
      <c r="L903" s="16">
        <f t="shared" si="42"/>
        <v>4.6146788562440007E-3</v>
      </c>
    </row>
    <row r="904" spans="1:12" x14ac:dyDescent="0.35">
      <c r="A904" s="18">
        <v>43565</v>
      </c>
      <c r="B904" s="15">
        <v>261.90460205078119</v>
      </c>
      <c r="C904" s="15">
        <v>67.311500549316406</v>
      </c>
      <c r="D904" s="15">
        <v>123.5299987792969</v>
      </c>
      <c r="E904" s="15">
        <v>178.2621765136719</v>
      </c>
      <c r="F904" s="15">
        <v>134.14935302734381</v>
      </c>
      <c r="H904" s="16">
        <f t="shared" si="41"/>
        <v>-2.7782640177459889E-4</v>
      </c>
      <c r="I904" s="16">
        <f t="shared" si="41"/>
        <v>-1.7322714279734783E-3</v>
      </c>
      <c r="J904" s="16">
        <f t="shared" si="41"/>
        <v>-1.2872932029622355E-2</v>
      </c>
      <c r="K904" s="16">
        <f t="shared" si="41"/>
        <v>-2.3748945708185441E-3</v>
      </c>
      <c r="L904" s="16">
        <f t="shared" si="42"/>
        <v>-6.7794188699446715E-5</v>
      </c>
    </row>
    <row r="905" spans="1:12" x14ac:dyDescent="0.35">
      <c r="A905" s="18">
        <v>43566</v>
      </c>
      <c r="B905" s="15">
        <v>261.83184814453119</v>
      </c>
      <c r="C905" s="15">
        <v>67.194999694824219</v>
      </c>
      <c r="D905" s="15">
        <v>121.9499969482422</v>
      </c>
      <c r="E905" s="15">
        <v>177.8393249511719</v>
      </c>
      <c r="F905" s="15">
        <v>134.1402587890625</v>
      </c>
      <c r="H905" s="16">
        <f t="shared" si="41"/>
        <v>6.743063910747641E-3</v>
      </c>
      <c r="I905" s="16">
        <f t="shared" si="41"/>
        <v>-1.859259834423014E-3</v>
      </c>
      <c r="J905" s="16">
        <f t="shared" si="41"/>
        <v>-9.8445424136085475E-4</v>
      </c>
      <c r="K905" s="16">
        <f t="shared" si="41"/>
        <v>4.3141066248757734E-3</v>
      </c>
      <c r="L905" s="16">
        <f t="shared" si="42"/>
        <v>6.6805014203378185E-3</v>
      </c>
    </row>
    <row r="906" spans="1:12" x14ac:dyDescent="0.35">
      <c r="A906" s="18">
        <v>43567</v>
      </c>
      <c r="B906" s="15">
        <v>263.60336303710938</v>
      </c>
      <c r="C906" s="15">
        <v>67.070182800292969</v>
      </c>
      <c r="D906" s="15">
        <v>121.8300018310547</v>
      </c>
      <c r="E906" s="15">
        <v>178.60820007324219</v>
      </c>
      <c r="F906" s="15">
        <v>135.03938293457031</v>
      </c>
      <c r="H906" s="16">
        <f t="shared" si="41"/>
        <v>-6.5478255313857695E-4</v>
      </c>
      <c r="I906" s="16">
        <f t="shared" si="41"/>
        <v>2.4783577452544878E-4</v>
      </c>
      <c r="J906" s="16">
        <f t="shared" si="41"/>
        <v>-1.8896884121836421E-3</v>
      </c>
      <c r="K906" s="16">
        <f t="shared" si="41"/>
        <v>1.6162357579823991E-4</v>
      </c>
      <c r="L906" s="16">
        <f t="shared" si="42"/>
        <v>-8.067714068241093E-4</v>
      </c>
    </row>
    <row r="907" spans="1:12" x14ac:dyDescent="0.35">
      <c r="A907" s="18">
        <v>43570</v>
      </c>
      <c r="B907" s="15">
        <v>263.43081665039063</v>
      </c>
      <c r="C907" s="15">
        <v>67.086807250976563</v>
      </c>
      <c r="D907" s="15">
        <v>121.59999847412109</v>
      </c>
      <c r="E907" s="15">
        <v>178.63706970214841</v>
      </c>
      <c r="F907" s="15">
        <v>134.93048095703119</v>
      </c>
      <c r="H907" s="16">
        <f t="shared" si="41"/>
        <v>6.5478255313870066E-4</v>
      </c>
      <c r="I907" s="16">
        <f t="shared" si="41"/>
        <v>-1.7376226674781824E-3</v>
      </c>
      <c r="J907" s="16">
        <f t="shared" si="41"/>
        <v>-9.0042022178370446E-3</v>
      </c>
      <c r="K907" s="16">
        <f t="shared" si="41"/>
        <v>3.4370227346884668E-3</v>
      </c>
      <c r="L907" s="16">
        <f t="shared" si="42"/>
        <v>2.6899612876777598E-4</v>
      </c>
    </row>
    <row r="908" spans="1:12" x14ac:dyDescent="0.35">
      <c r="A908" s="18">
        <v>43571</v>
      </c>
      <c r="B908" s="15">
        <v>263.60336303710938</v>
      </c>
      <c r="C908" s="15">
        <v>66.9703369140625</v>
      </c>
      <c r="D908" s="15">
        <v>120.5100021362305</v>
      </c>
      <c r="E908" s="15">
        <v>179.2521057128906</v>
      </c>
      <c r="F908" s="15">
        <v>134.96678161621091</v>
      </c>
      <c r="H908" s="16">
        <f t="shared" si="41"/>
        <v>-2.4496986235609209E-3</v>
      </c>
      <c r="I908" s="16">
        <f t="shared" si="41"/>
        <v>0</v>
      </c>
      <c r="J908" s="16">
        <f t="shared" si="41"/>
        <v>-1.9104067944000637E-3</v>
      </c>
      <c r="K908" s="16">
        <f t="shared" si="41"/>
        <v>3.479287646124765E-3</v>
      </c>
      <c r="L908" s="16">
        <f t="shared" si="42"/>
        <v>-3.7079765928542873E-3</v>
      </c>
    </row>
    <row r="909" spans="1:12" x14ac:dyDescent="0.35">
      <c r="A909" s="18">
        <v>43572</v>
      </c>
      <c r="B909" s="15">
        <v>262.95840454101563</v>
      </c>
      <c r="C909" s="15">
        <v>66.9703369140625</v>
      </c>
      <c r="D909" s="15">
        <v>120.2799987792969</v>
      </c>
      <c r="E909" s="15">
        <v>179.8768615722656</v>
      </c>
      <c r="F909" s="15">
        <v>134.4672546386719</v>
      </c>
      <c r="H909" s="16">
        <f t="shared" si="41"/>
        <v>1.9675126861500025E-3</v>
      </c>
      <c r="I909" s="16">
        <f t="shared" si="41"/>
        <v>1.3660166181599807E-3</v>
      </c>
      <c r="J909" s="16">
        <f t="shared" si="41"/>
        <v>7.4800723798855082E-4</v>
      </c>
      <c r="K909" s="16">
        <f t="shared" si="41"/>
        <v>1.2816244319864565E-3</v>
      </c>
      <c r="L909" s="16">
        <f t="shared" si="42"/>
        <v>1.4848635965099516E-3</v>
      </c>
    </row>
    <row r="910" spans="1:12" x14ac:dyDescent="0.35">
      <c r="A910" s="18">
        <v>43573</v>
      </c>
      <c r="B910" s="15">
        <v>263.47628784179688</v>
      </c>
      <c r="C910" s="15">
        <v>67.061882019042969</v>
      </c>
      <c r="D910" s="15">
        <v>120.370002746582</v>
      </c>
      <c r="E910" s="15">
        <v>180.1075439453125</v>
      </c>
      <c r="F910" s="15">
        <v>134.66706848144531</v>
      </c>
      <c r="H910" s="16">
        <f t="shared" si="41"/>
        <v>8.6126352176882045E-4</v>
      </c>
      <c r="I910" s="16">
        <f t="shared" si="41"/>
        <v>-9.9390269643551978E-4</v>
      </c>
      <c r="J910" s="16">
        <f t="shared" si="41"/>
        <v>0</v>
      </c>
      <c r="K910" s="16">
        <f t="shared" si="41"/>
        <v>2.8244837550252702E-3</v>
      </c>
      <c r="L910" s="16">
        <f t="shared" si="42"/>
        <v>2.6963549862591698E-4</v>
      </c>
    </row>
    <row r="911" spans="1:12" x14ac:dyDescent="0.35">
      <c r="A911" s="18">
        <v>43577</v>
      </c>
      <c r="B911" s="15">
        <v>263.70330810546881</v>
      </c>
      <c r="C911" s="15">
        <v>66.995262145996094</v>
      </c>
      <c r="D911" s="15">
        <v>120.370002746582</v>
      </c>
      <c r="E911" s="15">
        <v>180.6169738769531</v>
      </c>
      <c r="F911" s="15">
        <v>134.70338439941409</v>
      </c>
      <c r="H911" s="16">
        <f t="shared" si="41"/>
        <v>8.9514523517011928E-3</v>
      </c>
      <c r="I911" s="16">
        <f t="shared" si="41"/>
        <v>1.7377725288439249E-3</v>
      </c>
      <c r="J911" s="16">
        <f t="shared" si="41"/>
        <v>-2.0790892290242957E-3</v>
      </c>
      <c r="K911" s="16">
        <f t="shared" si="41"/>
        <v>1.2637982962817327E-2</v>
      </c>
      <c r="L911" s="16">
        <f t="shared" si="42"/>
        <v>9.9965142588159459E-3</v>
      </c>
    </row>
    <row r="912" spans="1:12" x14ac:dyDescent="0.35">
      <c r="A912" s="18">
        <v>43578</v>
      </c>
      <c r="B912" s="15">
        <v>266.07443237304688</v>
      </c>
      <c r="C912" s="15">
        <v>67.111785888671875</v>
      </c>
      <c r="D912" s="15">
        <v>120.120002746582</v>
      </c>
      <c r="E912" s="15">
        <v>182.9140930175781</v>
      </c>
      <c r="F912" s="15">
        <v>136.05670166015619</v>
      </c>
      <c r="H912" s="16">
        <f t="shared" si="41"/>
        <v>-2.221482272031808E-3</v>
      </c>
      <c r="I912" s="16">
        <f t="shared" si="41"/>
        <v>2.6009529610689012E-3</v>
      </c>
      <c r="J912" s="16">
        <f t="shared" si="41"/>
        <v>2.9095034311529119E-3</v>
      </c>
      <c r="K912" s="16">
        <f t="shared" si="41"/>
        <v>-3.1576920420122545E-3</v>
      </c>
      <c r="L912" s="16">
        <f t="shared" si="42"/>
        <v>-1.3363773777659608E-3</v>
      </c>
    </row>
    <row r="913" spans="1:12" x14ac:dyDescent="0.35">
      <c r="A913" s="18">
        <v>43579</v>
      </c>
      <c r="B913" s="15">
        <v>265.4840087890625</v>
      </c>
      <c r="C913" s="15">
        <v>67.286567687988281</v>
      </c>
      <c r="D913" s="15">
        <v>120.4700012207031</v>
      </c>
      <c r="E913" s="15">
        <v>182.33741760253909</v>
      </c>
      <c r="F913" s="15">
        <v>135.875</v>
      </c>
      <c r="H913" s="16">
        <f t="shared" si="41"/>
        <v>-6.1667081708710299E-4</v>
      </c>
      <c r="I913" s="16">
        <f t="shared" si="41"/>
        <v>-2.4721332310862355E-4</v>
      </c>
      <c r="J913" s="16">
        <f t="shared" si="41"/>
        <v>8.2972518651051267E-4</v>
      </c>
      <c r="K913" s="16">
        <f t="shared" si="41"/>
        <v>4.0506436087594478E-3</v>
      </c>
      <c r="L913" s="16">
        <f t="shared" si="42"/>
        <v>-1.6725371198668363E-3</v>
      </c>
    </row>
    <row r="914" spans="1:12" x14ac:dyDescent="0.35">
      <c r="A914" s="18">
        <v>43580</v>
      </c>
      <c r="B914" s="15">
        <v>265.32034301757813</v>
      </c>
      <c r="C914" s="15">
        <v>67.269935607910156</v>
      </c>
      <c r="D914" s="15">
        <v>120.5699996948242</v>
      </c>
      <c r="E914" s="15">
        <v>183.07749938964841</v>
      </c>
      <c r="F914" s="15">
        <v>135.64793395996091</v>
      </c>
      <c r="H914" s="16">
        <f t="shared" si="41"/>
        <v>4.6461854693868989E-3</v>
      </c>
      <c r="I914" s="16">
        <f t="shared" si="41"/>
        <v>2.2245334692652927E-3</v>
      </c>
      <c r="J914" s="16">
        <f t="shared" si="41"/>
        <v>6.6132591499853573E-3</v>
      </c>
      <c r="K914" s="16">
        <f t="shared" si="41"/>
        <v>8.9173855677799317E-4</v>
      </c>
      <c r="L914" s="16">
        <f t="shared" si="42"/>
        <v>5.4095221029985827E-3</v>
      </c>
    </row>
    <row r="915" spans="1:12" x14ac:dyDescent="0.35">
      <c r="A915" s="18">
        <v>43581</v>
      </c>
      <c r="B915" s="15">
        <v>266.55593872070313</v>
      </c>
      <c r="C915" s="15">
        <v>67.419746398925781</v>
      </c>
      <c r="D915" s="15">
        <v>121.370002746582</v>
      </c>
      <c r="E915" s="15">
        <v>183.24082946777341</v>
      </c>
      <c r="F915" s="15">
        <v>136.38371276855469</v>
      </c>
      <c r="H915" s="16">
        <f t="shared" si="41"/>
        <v>1.5664628976422273E-3</v>
      </c>
      <c r="I915" s="16">
        <f t="shared" si="41"/>
        <v>-2.101259370284562E-3</v>
      </c>
      <c r="J915" s="16">
        <f t="shared" si="41"/>
        <v>-4.4591395549051565E-3</v>
      </c>
      <c r="K915" s="16">
        <f t="shared" si="41"/>
        <v>1.9391005246568087E-3</v>
      </c>
      <c r="L915" s="16">
        <f t="shared" si="42"/>
        <v>1.4635667517599693E-3</v>
      </c>
    </row>
    <row r="916" spans="1:12" x14ac:dyDescent="0.35">
      <c r="A916" s="18">
        <v>43584</v>
      </c>
      <c r="B916" s="15">
        <v>266.97381591796881</v>
      </c>
      <c r="C916" s="15">
        <v>67.278228759765625</v>
      </c>
      <c r="D916" s="15">
        <v>120.8300018310547</v>
      </c>
      <c r="E916" s="15">
        <v>183.59649658203119</v>
      </c>
      <c r="F916" s="15">
        <v>136.5834655761719</v>
      </c>
      <c r="H916" s="16">
        <f t="shared" si="41"/>
        <v>5.1037487147110032E-4</v>
      </c>
      <c r="I916" s="16">
        <f t="shared" si="41"/>
        <v>1.4832005555596545E-3</v>
      </c>
      <c r="J916" s="16">
        <f t="shared" si="41"/>
        <v>3.0574342625030088E-3</v>
      </c>
      <c r="K916" s="16">
        <f t="shared" si="41"/>
        <v>-7.7780602462922468E-3</v>
      </c>
      <c r="L916" s="16">
        <f t="shared" si="42"/>
        <v>6.6693235995483958E-5</v>
      </c>
    </row>
    <row r="917" spans="1:12" x14ac:dyDescent="0.35">
      <c r="A917" s="18">
        <v>43585</v>
      </c>
      <c r="B917" s="15">
        <v>267.110107421875</v>
      </c>
      <c r="C917" s="15">
        <v>67.378089904785156</v>
      </c>
      <c r="D917" s="15">
        <v>121.1999969482422</v>
      </c>
      <c r="E917" s="15">
        <v>182.17401123046881</v>
      </c>
      <c r="F917" s="15">
        <v>136.59257507324219</v>
      </c>
      <c r="H917" s="16">
        <f t="shared" si="41"/>
        <v>-7.5450755502410967E-3</v>
      </c>
      <c r="I917" s="16">
        <f t="shared" si="41"/>
        <v>6.2275976348830827E-5</v>
      </c>
      <c r="J917" s="16">
        <f t="shared" si="41"/>
        <v>-6.6225029075605455E-3</v>
      </c>
      <c r="K917" s="16">
        <f t="shared" si="41"/>
        <v>-3.2235619551149197E-3</v>
      </c>
      <c r="L917" s="16">
        <f t="shared" si="42"/>
        <v>-7.4750315782271277E-3</v>
      </c>
    </row>
    <row r="918" spans="1:12" x14ac:dyDescent="0.35">
      <c r="A918" s="18">
        <v>43586</v>
      </c>
      <c r="B918" s="15">
        <v>265.10232543945313</v>
      </c>
      <c r="C918" s="15">
        <v>67.382286071777344</v>
      </c>
      <c r="D918" s="15">
        <v>120.40000152587891</v>
      </c>
      <c r="E918" s="15">
        <v>181.58770751953119</v>
      </c>
      <c r="F918" s="15">
        <v>135.5753479003906</v>
      </c>
      <c r="H918" s="16">
        <f t="shared" si="41"/>
        <v>-2.1608772916745884E-3</v>
      </c>
      <c r="I918" s="16">
        <f t="shared" si="41"/>
        <v>-2.2309915409658271E-3</v>
      </c>
      <c r="J918" s="16">
        <f t="shared" si="41"/>
        <v>-3.827907452540713E-3</v>
      </c>
      <c r="K918" s="16">
        <f t="shared" si="41"/>
        <v>-4.3497566541526251E-3</v>
      </c>
      <c r="L918" s="16">
        <f t="shared" si="42"/>
        <v>-1.676462378618843E-3</v>
      </c>
    </row>
    <row r="919" spans="1:12" x14ac:dyDescent="0.35">
      <c r="A919" s="18">
        <v>43587</v>
      </c>
      <c r="B919" s="15">
        <v>264.53009033203119</v>
      </c>
      <c r="C919" s="15">
        <v>67.232124328613281</v>
      </c>
      <c r="D919" s="15">
        <v>119.94000244140619</v>
      </c>
      <c r="E919" s="15">
        <v>180.799560546875</v>
      </c>
      <c r="F919" s="15">
        <v>135.34825134277341</v>
      </c>
      <c r="H919" s="16">
        <f t="shared" si="41"/>
        <v>9.7402275334641329E-3</v>
      </c>
      <c r="I919" s="16">
        <f t="shared" si="41"/>
        <v>1.8594295818494303E-3</v>
      </c>
      <c r="J919" s="16">
        <f t="shared" si="41"/>
        <v>5.9021666226000561E-3</v>
      </c>
      <c r="K919" s="16">
        <f t="shared" si="41"/>
        <v>1.5822254945953178E-2</v>
      </c>
      <c r="L919" s="16">
        <f t="shared" si="42"/>
        <v>1.0746114332935904E-2</v>
      </c>
    </row>
    <row r="920" spans="1:12" x14ac:dyDescent="0.35">
      <c r="A920" s="18">
        <v>43588</v>
      </c>
      <c r="B920" s="15">
        <v>267.1192626953125</v>
      </c>
      <c r="C920" s="15">
        <v>67.357254028320313</v>
      </c>
      <c r="D920" s="15">
        <v>120.65000152587891</v>
      </c>
      <c r="E920" s="15">
        <v>183.68296813964841</v>
      </c>
      <c r="F920" s="15">
        <v>136.81056213378909</v>
      </c>
      <c r="H920" s="16">
        <f t="shared" si="41"/>
        <v>-4.1241269624918185E-3</v>
      </c>
      <c r="I920" s="16">
        <f t="shared" si="41"/>
        <v>1.237814801105323E-3</v>
      </c>
      <c r="J920" s="16">
        <f t="shared" si="41"/>
        <v>1.3252386046361609E-3</v>
      </c>
      <c r="K920" s="16">
        <f t="shared" si="41"/>
        <v>-6.1405906583192485E-3</v>
      </c>
      <c r="L920" s="16">
        <f t="shared" si="42"/>
        <v>-3.191787628164341E-3</v>
      </c>
    </row>
    <row r="921" spans="1:12" x14ac:dyDescent="0.35">
      <c r="A921" s="18">
        <v>43591</v>
      </c>
      <c r="B921" s="15">
        <v>266.0198974609375</v>
      </c>
      <c r="C921" s="15">
        <v>67.440681457519531</v>
      </c>
      <c r="D921" s="15">
        <v>120.80999755859381</v>
      </c>
      <c r="E921" s="15">
        <v>182.5585021972656</v>
      </c>
      <c r="F921" s="15">
        <v>136.37458801269531</v>
      </c>
      <c r="H921" s="16">
        <f t="shared" si="41"/>
        <v>-1.6840445758758402E-2</v>
      </c>
      <c r="I921" s="16">
        <f t="shared" si="41"/>
        <v>1.4833581094054471E-3</v>
      </c>
      <c r="J921" s="16">
        <f t="shared" si="41"/>
        <v>3.3055276063591911E-3</v>
      </c>
      <c r="K921" s="16">
        <f t="shared" si="41"/>
        <v>-1.9672174428982937E-2</v>
      </c>
      <c r="L921" s="16">
        <f t="shared" si="42"/>
        <v>-1.739983996047275E-2</v>
      </c>
    </row>
    <row r="922" spans="1:12" x14ac:dyDescent="0.35">
      <c r="A922" s="18">
        <v>43592</v>
      </c>
      <c r="B922" s="15">
        <v>261.5775146484375</v>
      </c>
      <c r="C922" s="15">
        <v>67.540794372558594</v>
      </c>
      <c r="D922" s="15">
        <v>121.2099990844727</v>
      </c>
      <c r="E922" s="15">
        <v>179.00227355957031</v>
      </c>
      <c r="F922" s="15">
        <v>134.022216796875</v>
      </c>
      <c r="H922" s="16">
        <f t="shared" si="41"/>
        <v>-1.3900081148381694E-3</v>
      </c>
      <c r="I922" s="16">
        <f t="shared" si="41"/>
        <v>-7.4140401081785332E-4</v>
      </c>
      <c r="J922" s="16">
        <f t="shared" si="41"/>
        <v>-2.4780734551380803E-3</v>
      </c>
      <c r="K922" s="16">
        <f t="shared" si="41"/>
        <v>-2.5269959192400471E-3</v>
      </c>
      <c r="L922" s="16">
        <f t="shared" si="42"/>
        <v>-1.6278236261125635E-3</v>
      </c>
    </row>
    <row r="923" spans="1:12" x14ac:dyDescent="0.35">
      <c r="A923" s="18">
        <v>43593</v>
      </c>
      <c r="B923" s="15">
        <v>261.21417236328119</v>
      </c>
      <c r="C923" s="15">
        <v>67.490737915039063</v>
      </c>
      <c r="D923" s="15">
        <v>120.9100036621094</v>
      </c>
      <c r="E923" s="15">
        <v>178.5505065917969</v>
      </c>
      <c r="F923" s="15">
        <v>133.8042297363281</v>
      </c>
      <c r="H923" s="16">
        <f t="shared" si="41"/>
        <v>-3.0305941437740991E-3</v>
      </c>
      <c r="I923" s="16">
        <f t="shared" si="41"/>
        <v>9.8875537593370953E-4</v>
      </c>
      <c r="J923" s="16">
        <f t="shared" si="41"/>
        <v>2.3955509816439269E-3</v>
      </c>
      <c r="K923" s="16">
        <f t="shared" si="41"/>
        <v>-5.3971883441183378E-3</v>
      </c>
      <c r="L923" s="16">
        <f t="shared" si="42"/>
        <v>-3.1956605175948983E-3</v>
      </c>
    </row>
    <row r="924" spans="1:12" x14ac:dyDescent="0.35">
      <c r="A924" s="18">
        <v>43594</v>
      </c>
      <c r="B924" s="15">
        <v>260.42373657226563</v>
      </c>
      <c r="C924" s="15">
        <v>67.557502746582031</v>
      </c>
      <c r="D924" s="15">
        <v>121.1999969482422</v>
      </c>
      <c r="E924" s="15">
        <v>177.58943176269531</v>
      </c>
      <c r="F924" s="15">
        <v>133.3773193359375</v>
      </c>
      <c r="H924" s="16">
        <f t="shared" si="41"/>
        <v>5.0106487090849881E-3</v>
      </c>
      <c r="I924" s="16">
        <f t="shared" si="41"/>
        <v>-1.2378098055539796E-4</v>
      </c>
      <c r="J924" s="16">
        <f t="shared" si="41"/>
        <v>1.8959191232165698E-3</v>
      </c>
      <c r="K924" s="16">
        <f t="shared" si="41"/>
        <v>1.2438022413434014E-3</v>
      </c>
      <c r="L924" s="16">
        <f t="shared" si="42"/>
        <v>4.6198948222883436E-3</v>
      </c>
    </row>
    <row r="925" spans="1:12" x14ac:dyDescent="0.35">
      <c r="A925" s="18">
        <v>43595</v>
      </c>
      <c r="B925" s="15">
        <v>261.73190307617188</v>
      </c>
      <c r="C925" s="15">
        <v>67.549140930175781</v>
      </c>
      <c r="D925" s="15">
        <v>121.4300003051758</v>
      </c>
      <c r="E925" s="15">
        <v>177.8104553222656</v>
      </c>
      <c r="F925" s="15">
        <v>133.99493408203119</v>
      </c>
      <c r="H925" s="16">
        <f t="shared" si="41"/>
        <v>-2.5451184769349777E-2</v>
      </c>
      <c r="I925" s="16">
        <f t="shared" si="41"/>
        <v>2.0972365537234249E-3</v>
      </c>
      <c r="J925" s="16">
        <f t="shared" si="41"/>
        <v>1.0159840539079302E-2</v>
      </c>
      <c r="K925" s="16">
        <f t="shared" si="41"/>
        <v>-3.53192242207679E-2</v>
      </c>
      <c r="L925" s="16">
        <f t="shared" si="42"/>
        <v>-2.5607818864913218E-2</v>
      </c>
    </row>
    <row r="926" spans="1:12" x14ac:dyDescent="0.35">
      <c r="A926" s="18">
        <v>43598</v>
      </c>
      <c r="B926" s="15">
        <v>255.1545715332031</v>
      </c>
      <c r="C926" s="15">
        <v>67.690956115722656</v>
      </c>
      <c r="D926" s="15">
        <v>122.6699981689453</v>
      </c>
      <c r="E926" s="15">
        <v>171.63993835449219</v>
      </c>
      <c r="F926" s="15">
        <v>130.607177734375</v>
      </c>
      <c r="H926" s="16">
        <f t="shared" si="41"/>
        <v>9.0031079463588105E-3</v>
      </c>
      <c r="I926" s="16">
        <f t="shared" si="41"/>
        <v>6.1565359757748486E-4</v>
      </c>
      <c r="J926" s="16">
        <f t="shared" si="41"/>
        <v>-1.7133695443147989E-3</v>
      </c>
      <c r="K926" s="16">
        <f t="shared" si="41"/>
        <v>1.0915534450565862E-2</v>
      </c>
      <c r="L926" s="16">
        <f t="shared" si="42"/>
        <v>8.9993112147774661E-3</v>
      </c>
    </row>
    <row r="927" spans="1:12" x14ac:dyDescent="0.35">
      <c r="A927" s="18">
        <v>43599</v>
      </c>
      <c r="B927" s="15">
        <v>257.46212768554688</v>
      </c>
      <c r="C927" s="15">
        <v>67.732643127441406</v>
      </c>
      <c r="D927" s="15">
        <v>122.4599990844727</v>
      </c>
      <c r="E927" s="15">
        <v>173.52374267578119</v>
      </c>
      <c r="F927" s="15">
        <v>131.78785705566409</v>
      </c>
      <c r="H927" s="16">
        <f t="shared" si="41"/>
        <v>5.8399507773297362E-3</v>
      </c>
      <c r="I927" s="16">
        <f t="shared" si="41"/>
        <v>1.4775311792426032E-3</v>
      </c>
      <c r="J927" s="16">
        <f t="shared" si="41"/>
        <v>-5.7177616636807781E-4</v>
      </c>
      <c r="K927" s="16">
        <f t="shared" si="41"/>
        <v>1.4025544428695812E-2</v>
      </c>
      <c r="L927" s="16">
        <f t="shared" si="42"/>
        <v>5.9097802110284585E-3</v>
      </c>
    </row>
    <row r="928" spans="1:12" x14ac:dyDescent="0.35">
      <c r="A928" s="18">
        <v>43600</v>
      </c>
      <c r="B928" s="15">
        <v>258.9700927734375</v>
      </c>
      <c r="C928" s="15">
        <v>67.832794189453125</v>
      </c>
      <c r="D928" s="15">
        <v>122.38999938964839</v>
      </c>
      <c r="E928" s="15">
        <v>175.97465515136719</v>
      </c>
      <c r="F928" s="15">
        <v>132.5690002441406</v>
      </c>
      <c r="H928" s="16">
        <f t="shared" si="41"/>
        <v>9.2191719494248304E-3</v>
      </c>
      <c r="I928" s="16">
        <f t="shared" si="41"/>
        <v>-1.4775311792426485E-3</v>
      </c>
      <c r="J928" s="16">
        <f t="shared" si="41"/>
        <v>-7.2160809060896587E-3</v>
      </c>
      <c r="K928" s="16">
        <f t="shared" si="41"/>
        <v>9.999629939607263E-3</v>
      </c>
      <c r="L928" s="16">
        <f t="shared" si="42"/>
        <v>9.0029313898298633E-3</v>
      </c>
    </row>
    <row r="929" spans="1:12" x14ac:dyDescent="0.35">
      <c r="A929" s="18">
        <v>43601</v>
      </c>
      <c r="B929" s="15">
        <v>261.36862182617188</v>
      </c>
      <c r="C929" s="15">
        <v>67.732643127441406</v>
      </c>
      <c r="D929" s="15">
        <v>121.5100021362305</v>
      </c>
      <c r="E929" s="15">
        <v>177.7431640625</v>
      </c>
      <c r="F929" s="15">
        <v>133.76789855957031</v>
      </c>
      <c r="H929" s="16">
        <f t="shared" si="41"/>
        <v>-6.4862627911511355E-3</v>
      </c>
      <c r="I929" s="16">
        <f t="shared" si="41"/>
        <v>2.4608778272441944E-4</v>
      </c>
      <c r="J929" s="16">
        <f t="shared" si="41"/>
        <v>-7.1027767830244984E-3</v>
      </c>
      <c r="K929" s="16">
        <f t="shared" si="41"/>
        <v>-1.0272544025007711E-2</v>
      </c>
      <c r="L929" s="16">
        <f t="shared" si="42"/>
        <v>-7.0865001065907318E-3</v>
      </c>
    </row>
    <row r="930" spans="1:12" x14ac:dyDescent="0.35">
      <c r="A930" s="18">
        <v>43602</v>
      </c>
      <c r="B930" s="15">
        <v>259.67880249023438</v>
      </c>
      <c r="C930" s="15">
        <v>67.749313354492188</v>
      </c>
      <c r="D930" s="15">
        <v>120.65000152587891</v>
      </c>
      <c r="E930" s="15">
        <v>175.9266357421875</v>
      </c>
      <c r="F930" s="15">
        <v>132.82330322265619</v>
      </c>
      <c r="H930" s="16">
        <f t="shared" si="41"/>
        <v>-6.6337747665800853E-3</v>
      </c>
      <c r="I930" s="16">
        <f t="shared" si="41"/>
        <v>-1.2317214583560049E-3</v>
      </c>
      <c r="J930" s="16">
        <f t="shared" si="41"/>
        <v>-8.2905517827411355E-5</v>
      </c>
      <c r="K930" s="16">
        <f t="shared" si="41"/>
        <v>-1.7025817298958464E-2</v>
      </c>
      <c r="L930" s="16">
        <f t="shared" si="42"/>
        <v>-7.1369615150294174E-3</v>
      </c>
    </row>
    <row r="931" spans="1:12" x14ac:dyDescent="0.35">
      <c r="A931" s="18">
        <v>43605</v>
      </c>
      <c r="B931" s="15">
        <v>257.96185302734381</v>
      </c>
      <c r="C931" s="15">
        <v>67.665916442871094</v>
      </c>
      <c r="D931" s="15">
        <v>120.63999938964839</v>
      </c>
      <c r="E931" s="15">
        <v>172.9566955566406</v>
      </c>
      <c r="F931" s="15">
        <v>131.87872314453119</v>
      </c>
      <c r="H931" s="16">
        <f t="shared" si="41"/>
        <v>8.9748607850061255E-3</v>
      </c>
      <c r="I931" s="16">
        <f t="shared" si="41"/>
        <v>-4.9340699312291306E-4</v>
      </c>
      <c r="J931" s="16">
        <f t="shared" si="41"/>
        <v>-2.3236423674707369E-3</v>
      </c>
      <c r="K931" s="16">
        <f t="shared" si="41"/>
        <v>1.0393279047074305E-2</v>
      </c>
      <c r="L931" s="16">
        <f t="shared" si="42"/>
        <v>9.7320701978814532E-3</v>
      </c>
    </row>
    <row r="932" spans="1:12" x14ac:dyDescent="0.35">
      <c r="A932" s="18">
        <v>43606</v>
      </c>
      <c r="B932" s="15">
        <v>260.28744506835938</v>
      </c>
      <c r="C932" s="15">
        <v>67.632537841796875</v>
      </c>
      <c r="D932" s="15">
        <v>120.36000061035161</v>
      </c>
      <c r="E932" s="15">
        <v>174.76365661621091</v>
      </c>
      <c r="F932" s="15">
        <v>133.16844177246091</v>
      </c>
      <c r="H932" s="16">
        <f t="shared" si="41"/>
        <v>-3.0762117332759705E-3</v>
      </c>
      <c r="I932" s="16">
        <f t="shared" si="41"/>
        <v>1.8485437307623599E-3</v>
      </c>
      <c r="J932" s="16">
        <f t="shared" si="41"/>
        <v>-9.9752915456384809E-4</v>
      </c>
      <c r="K932" s="16">
        <f t="shared" si="41"/>
        <v>-4.4648214873177963E-3</v>
      </c>
      <c r="L932" s="16">
        <f t="shared" si="42"/>
        <v>-3.6212868892865086E-3</v>
      </c>
    </row>
    <row r="933" spans="1:12" x14ac:dyDescent="0.35">
      <c r="A933" s="18">
        <v>43607</v>
      </c>
      <c r="B933" s="15">
        <v>259.48797607421881</v>
      </c>
      <c r="C933" s="15">
        <v>67.757675170898438</v>
      </c>
      <c r="D933" s="15">
        <v>120.2399978637695</v>
      </c>
      <c r="E933" s="15">
        <v>173.985107421875</v>
      </c>
      <c r="F933" s="15">
        <v>132.68707275390619</v>
      </c>
      <c r="H933" s="16">
        <f t="shared" si="41"/>
        <v>-1.2294032417547857E-2</v>
      </c>
      <c r="I933" s="16">
        <f t="shared" si="41"/>
        <v>3.564804103092665E-3</v>
      </c>
      <c r="J933" s="16">
        <f t="shared" si="41"/>
        <v>7.7047754536475888E-3</v>
      </c>
      <c r="K933" s="16">
        <f t="shared" si="41"/>
        <v>-1.5420389705805353E-2</v>
      </c>
      <c r="L933" s="16">
        <f t="shared" si="42"/>
        <v>-1.2814017807432859E-2</v>
      </c>
    </row>
    <row r="934" spans="1:12" x14ac:dyDescent="0.35">
      <c r="A934" s="18">
        <v>43608</v>
      </c>
      <c r="B934" s="15">
        <v>256.31735229492188</v>
      </c>
      <c r="C934" s="15">
        <v>67.999649047851563</v>
      </c>
      <c r="D934" s="15">
        <v>121.1699981689453</v>
      </c>
      <c r="E934" s="15">
        <v>171.32276916503909</v>
      </c>
      <c r="F934" s="15">
        <v>130.99766540527341</v>
      </c>
      <c r="H934" s="16">
        <f t="shared" si="41"/>
        <v>2.2660321232412907E-3</v>
      </c>
      <c r="I934" s="16">
        <f t="shared" si="41"/>
        <v>0</v>
      </c>
      <c r="J934" s="16">
        <f t="shared" si="41"/>
        <v>1.0723379767872785E-3</v>
      </c>
      <c r="K934" s="16">
        <f t="shared" si="41"/>
        <v>-5.05301894328434E-4</v>
      </c>
      <c r="L934" s="16">
        <f t="shared" si="42"/>
        <v>2.4239494466177605E-3</v>
      </c>
    </row>
    <row r="935" spans="1:12" x14ac:dyDescent="0.35">
      <c r="A935" s="18">
        <v>43609</v>
      </c>
      <c r="B935" s="15">
        <v>256.89883422851563</v>
      </c>
      <c r="C935" s="15">
        <v>67.999649047851563</v>
      </c>
      <c r="D935" s="15">
        <v>121.3000030517578</v>
      </c>
      <c r="E935" s="15">
        <v>171.23622131347659</v>
      </c>
      <c r="F935" s="15">
        <v>131.3155822753906</v>
      </c>
      <c r="H935" s="16">
        <f t="shared" si="41"/>
        <v>-9.3438186925184942E-3</v>
      </c>
      <c r="I935" s="16">
        <f t="shared" si="41"/>
        <v>2.0827966825923225E-3</v>
      </c>
      <c r="J935" s="16">
        <f t="shared" si="41"/>
        <v>-3.8822269155749296E-3</v>
      </c>
      <c r="K935" s="16">
        <f t="shared" si="41"/>
        <v>-3.7674233223968503E-3</v>
      </c>
      <c r="L935" s="16">
        <f t="shared" si="42"/>
        <v>-8.8228995891608542E-3</v>
      </c>
    </row>
    <row r="936" spans="1:12" x14ac:dyDescent="0.35">
      <c r="A936" s="18">
        <v>43613</v>
      </c>
      <c r="B936" s="15">
        <v>254.50959777832031</v>
      </c>
      <c r="C936" s="15">
        <v>68.141426086425781</v>
      </c>
      <c r="D936" s="15">
        <v>120.8300018310547</v>
      </c>
      <c r="E936" s="15">
        <v>170.5923156738281</v>
      </c>
      <c r="F936" s="15">
        <v>130.16209411621091</v>
      </c>
      <c r="H936" s="16">
        <f t="shared" si="41"/>
        <v>-6.7333544618417554E-3</v>
      </c>
      <c r="I936" s="16">
        <f t="shared" si="41"/>
        <v>-2.450074975815808E-4</v>
      </c>
      <c r="J936" s="16">
        <f t="shared" si="41"/>
        <v>3.3099640161294387E-4</v>
      </c>
      <c r="K936" s="16">
        <f t="shared" si="41"/>
        <v>-8.260004902569066E-3</v>
      </c>
      <c r="L936" s="16">
        <f t="shared" si="42"/>
        <v>-6.8614612356783693E-3</v>
      </c>
    </row>
    <row r="937" spans="1:12" x14ac:dyDescent="0.35">
      <c r="A937" s="18">
        <v>43614</v>
      </c>
      <c r="B937" s="15">
        <v>252.80165100097659</v>
      </c>
      <c r="C937" s="15">
        <v>68.124732971191406</v>
      </c>
      <c r="D937" s="15">
        <v>120.870002746582</v>
      </c>
      <c r="E937" s="15">
        <v>169.18902587890619</v>
      </c>
      <c r="F937" s="15">
        <v>129.27204895019531</v>
      </c>
      <c r="H937" s="16">
        <f t="shared" si="41"/>
        <v>2.7272089628830798E-3</v>
      </c>
      <c r="I937" s="16">
        <f t="shared" si="41"/>
        <v>2.6908930234237818E-3</v>
      </c>
      <c r="J937" s="16">
        <f t="shared" si="41"/>
        <v>6.7612368164094638E-3</v>
      </c>
      <c r="K937" s="16">
        <f t="shared" si="41"/>
        <v>4.195112953178837E-3</v>
      </c>
      <c r="L937" s="16">
        <f t="shared" si="42"/>
        <v>1.9651421004884344E-3</v>
      </c>
    </row>
    <row r="938" spans="1:12" x14ac:dyDescent="0.35">
      <c r="A938" s="18">
        <v>43615</v>
      </c>
      <c r="B938" s="15">
        <v>253.4920349121094</v>
      </c>
      <c r="C938" s="15">
        <v>68.308296203613281</v>
      </c>
      <c r="D938" s="15">
        <v>121.69000244140619</v>
      </c>
      <c r="E938" s="15">
        <v>169.90028381347659</v>
      </c>
      <c r="F938" s="15">
        <v>129.5263366699219</v>
      </c>
      <c r="H938" s="16">
        <f t="shared" si="41"/>
        <v>-1.3566904134683852E-2</v>
      </c>
      <c r="I938" s="16">
        <f t="shared" si="41"/>
        <v>4.3871743883691881E-3</v>
      </c>
      <c r="J938" s="16">
        <f t="shared" si="41"/>
        <v>1.33868570134743E-2</v>
      </c>
      <c r="K938" s="16">
        <f t="shared" si="41"/>
        <v>-1.608161569377459E-2</v>
      </c>
      <c r="L938" s="16">
        <f t="shared" si="42"/>
        <v>-1.3554861842330361E-2</v>
      </c>
    </row>
    <row r="939" spans="1:12" x14ac:dyDescent="0.35">
      <c r="A939" s="18">
        <v>43616</v>
      </c>
      <c r="B939" s="15">
        <v>250.07615661621091</v>
      </c>
      <c r="C939" s="15">
        <v>68.608634948730469</v>
      </c>
      <c r="D939" s="15">
        <v>123.3300018310547</v>
      </c>
      <c r="E939" s="15">
        <v>167.18986511230469</v>
      </c>
      <c r="F939" s="15">
        <v>127.782470703125</v>
      </c>
      <c r="H939" s="16">
        <f t="shared" si="41"/>
        <v>-2.5461040864315563E-3</v>
      </c>
      <c r="I939" s="16">
        <f t="shared" si="41"/>
        <v>2.8357324606668017E-3</v>
      </c>
      <c r="J939" s="16">
        <f t="shared" si="41"/>
        <v>1.4329650783141032E-2</v>
      </c>
      <c r="K939" s="16">
        <f t="shared" si="41"/>
        <v>-2.2263898755541228E-2</v>
      </c>
      <c r="L939" s="16">
        <f t="shared" si="42"/>
        <v>-1.9919275842112138E-3</v>
      </c>
    </row>
    <row r="940" spans="1:12" x14ac:dyDescent="0.35">
      <c r="A940" s="18">
        <v>43619</v>
      </c>
      <c r="B940" s="15">
        <v>249.44024658203119</v>
      </c>
      <c r="C940" s="15">
        <v>68.803466796875</v>
      </c>
      <c r="D940" s="15">
        <v>125.11000061035161</v>
      </c>
      <c r="E940" s="15">
        <v>163.5086975097656</v>
      </c>
      <c r="F940" s="15">
        <v>127.528190612793</v>
      </c>
      <c r="H940" s="16">
        <f t="shared" si="41"/>
        <v>2.1474626892352057E-2</v>
      </c>
      <c r="I940" s="16">
        <f t="shared" si="41"/>
        <v>-1.7032290049078761E-3</v>
      </c>
      <c r="J940" s="16">
        <f t="shared" si="41"/>
        <v>3.1967486235507628E-4</v>
      </c>
      <c r="K940" s="16">
        <f t="shared" si="41"/>
        <v>2.7767413132560766E-2</v>
      </c>
      <c r="L940" s="16">
        <f t="shared" si="42"/>
        <v>2.2185958371866495E-2</v>
      </c>
    </row>
    <row r="941" spans="1:12" x14ac:dyDescent="0.35">
      <c r="A941" s="18">
        <v>43620</v>
      </c>
      <c r="B941" s="15">
        <v>254.85481262207031</v>
      </c>
      <c r="C941" s="15">
        <v>68.686378479003906</v>
      </c>
      <c r="D941" s="15">
        <v>125.15000152587891</v>
      </c>
      <c r="E941" s="15">
        <v>168.11253356933591</v>
      </c>
      <c r="F941" s="15">
        <v>130.38914489746091</v>
      </c>
      <c r="H941" s="16">
        <f t="shared" si="41"/>
        <v>8.6245129471827706E-3</v>
      </c>
      <c r="I941" s="16">
        <f t="shared" si="41"/>
        <v>0</v>
      </c>
      <c r="J941" s="16">
        <f t="shared" si="41"/>
        <v>2.5536658304683444E-3</v>
      </c>
      <c r="K941" s="16">
        <f t="shared" si="41"/>
        <v>7.4049253000270958E-3</v>
      </c>
      <c r="L941" s="16">
        <f t="shared" si="42"/>
        <v>7.6334704532599164E-3</v>
      </c>
    </row>
    <row r="942" spans="1:12" x14ac:dyDescent="0.35">
      <c r="A942" s="18">
        <v>43621</v>
      </c>
      <c r="B942" s="15">
        <v>257.06231689453119</v>
      </c>
      <c r="C942" s="15">
        <v>68.686378479003906</v>
      </c>
      <c r="D942" s="15">
        <v>125.4700012207031</v>
      </c>
      <c r="E942" s="15">
        <v>169.36201477050781</v>
      </c>
      <c r="F942" s="15">
        <v>131.3882751464844</v>
      </c>
      <c r="H942" s="16">
        <f t="shared" si="41"/>
        <v>6.4815353988036421E-3</v>
      </c>
      <c r="I942" s="16">
        <f t="shared" si="41"/>
        <v>-2.4317449367158769E-4</v>
      </c>
      <c r="J942" s="16">
        <f t="shared" si="41"/>
        <v>3.2623544765041112E-3</v>
      </c>
      <c r="K942" s="16">
        <f t="shared" si="41"/>
        <v>7.9139613162290002E-3</v>
      </c>
      <c r="L942" s="16">
        <f t="shared" si="42"/>
        <v>5.5833727131949463E-3</v>
      </c>
    </row>
    <row r="943" spans="1:12" x14ac:dyDescent="0.35">
      <c r="A943" s="18">
        <v>43622</v>
      </c>
      <c r="B943" s="15">
        <v>258.73388671875</v>
      </c>
      <c r="C943" s="15">
        <v>68.669677734375</v>
      </c>
      <c r="D943" s="15">
        <v>125.879997253418</v>
      </c>
      <c r="E943" s="15">
        <v>170.70765686035159</v>
      </c>
      <c r="F943" s="15">
        <v>132.12391662597659</v>
      </c>
      <c r="H943" s="16">
        <f t="shared" si="41"/>
        <v>9.9574638635833799E-3</v>
      </c>
      <c r="I943" s="16">
        <f t="shared" si="41"/>
        <v>2.6751075870818674E-3</v>
      </c>
      <c r="J943" s="16">
        <f t="shared" si="41"/>
        <v>5.6244383426809243E-3</v>
      </c>
      <c r="K943" s="16">
        <f t="shared" si="41"/>
        <v>1.9127544220674871E-2</v>
      </c>
      <c r="L943" s="16">
        <f t="shared" si="42"/>
        <v>9.0335806456784302E-3</v>
      </c>
    </row>
    <row r="944" spans="1:12" x14ac:dyDescent="0.35">
      <c r="A944" s="18">
        <v>43623</v>
      </c>
      <c r="B944" s="15">
        <v>261.32308959960938</v>
      </c>
      <c r="C944" s="15">
        <v>68.853622436523438</v>
      </c>
      <c r="D944" s="15">
        <v>126.5899963378906</v>
      </c>
      <c r="E944" s="15">
        <v>174.0043029785156</v>
      </c>
      <c r="F944" s="15">
        <v>133.3228759765625</v>
      </c>
      <c r="H944" s="16">
        <f t="shared" si="41"/>
        <v>4.5786459039099401E-3</v>
      </c>
      <c r="I944" s="16">
        <f t="shared" si="41"/>
        <v>-2.0665604636846782E-3</v>
      </c>
      <c r="J944" s="16">
        <f t="shared" si="41"/>
        <v>-1.0003215486538548E-2</v>
      </c>
      <c r="K944" s="16">
        <f t="shared" si="41"/>
        <v>1.1587661847172453E-2</v>
      </c>
      <c r="L944" s="16">
        <f t="shared" si="42"/>
        <v>5.57041239567277E-3</v>
      </c>
    </row>
    <row r="945" spans="1:12" x14ac:dyDescent="0.35">
      <c r="A945" s="18">
        <v>43626</v>
      </c>
      <c r="B945" s="15">
        <v>262.5223388671875</v>
      </c>
      <c r="C945" s="15">
        <v>68.711479187011719</v>
      </c>
      <c r="D945" s="15">
        <v>125.3300018310547</v>
      </c>
      <c r="E945" s="15">
        <v>176.03233337402341</v>
      </c>
      <c r="F945" s="15">
        <v>134.06761169433591</v>
      </c>
      <c r="H945" s="16">
        <f t="shared" si="41"/>
        <v>-2.4252179065514971E-4</v>
      </c>
      <c r="I945" s="16">
        <f t="shared" si="41"/>
        <v>-7.3087880540542694E-4</v>
      </c>
      <c r="J945" s="16">
        <f t="shared" si="41"/>
        <v>-1.1975692988471266E-3</v>
      </c>
      <c r="K945" s="16">
        <f t="shared" si="41"/>
        <v>1.3641331983929529E-3</v>
      </c>
      <c r="L945" s="16">
        <f t="shared" si="42"/>
        <v>-9.486353589044607E-4</v>
      </c>
    </row>
    <row r="946" spans="1:12" x14ac:dyDescent="0.35">
      <c r="A946" s="18">
        <v>43627</v>
      </c>
      <c r="B946" s="15">
        <v>262.45867919921881</v>
      </c>
      <c r="C946" s="15">
        <v>68.661277770996094</v>
      </c>
      <c r="D946" s="15">
        <v>125.1800003051758</v>
      </c>
      <c r="E946" s="15">
        <v>176.27262878417969</v>
      </c>
      <c r="F946" s="15">
        <v>133.94049072265619</v>
      </c>
      <c r="H946" s="16">
        <f t="shared" si="41"/>
        <v>-1.7665088726916505E-3</v>
      </c>
      <c r="I946" s="16">
        <f t="shared" si="41"/>
        <v>1.7040729837200319E-3</v>
      </c>
      <c r="J946" s="16">
        <f t="shared" si="41"/>
        <v>5.1791002212387633E-3</v>
      </c>
      <c r="K946" s="16">
        <f t="shared" si="41"/>
        <v>-5.7967049975961808E-3</v>
      </c>
      <c r="L946" s="16">
        <f t="shared" si="42"/>
        <v>-1.3572778373036735E-3</v>
      </c>
    </row>
    <row r="947" spans="1:12" x14ac:dyDescent="0.35">
      <c r="A947" s="18">
        <v>43628</v>
      </c>
      <c r="B947" s="15">
        <v>261.99545288085938</v>
      </c>
      <c r="C947" s="15">
        <v>68.77838134765625</v>
      </c>
      <c r="D947" s="15">
        <v>125.8300018310547</v>
      </c>
      <c r="E947" s="15">
        <v>175.2537841796875</v>
      </c>
      <c r="F947" s="15">
        <v>133.7588195800781</v>
      </c>
      <c r="H947" s="16">
        <f t="shared" si="41"/>
        <v>4.1178609840937241E-3</v>
      </c>
      <c r="I947" s="16">
        <f t="shared" si="41"/>
        <v>1.7005096260117299E-3</v>
      </c>
      <c r="J947" s="16">
        <f t="shared" si="41"/>
        <v>6.1006935016297264E-3</v>
      </c>
      <c r="K947" s="16">
        <f t="shared" si="41"/>
        <v>5.905682601248621E-3</v>
      </c>
      <c r="L947" s="16">
        <f t="shared" si="42"/>
        <v>4.6067484924440863E-3</v>
      </c>
    </row>
    <row r="948" spans="1:12" x14ac:dyDescent="0.35">
      <c r="A948" s="18">
        <v>43629</v>
      </c>
      <c r="B948" s="15">
        <v>263.0765380859375</v>
      </c>
      <c r="C948" s="15">
        <v>68.895439147949219</v>
      </c>
      <c r="D948" s="15">
        <v>126.59999847412109</v>
      </c>
      <c r="E948" s="15">
        <v>176.2918395996094</v>
      </c>
      <c r="F948" s="15">
        <v>134.3764343261719</v>
      </c>
      <c r="H948" s="16">
        <f t="shared" si="41"/>
        <v>-1.1061168687982255E-3</v>
      </c>
      <c r="I948" s="16">
        <f t="shared" si="41"/>
        <v>1.2147302613383149E-4</v>
      </c>
      <c r="J948" s="16">
        <f t="shared" si="41"/>
        <v>-3.1601292848021107E-4</v>
      </c>
      <c r="K948" s="16">
        <f t="shared" si="41"/>
        <v>-4.2618199201943548E-3</v>
      </c>
      <c r="L948" s="16">
        <f t="shared" si="42"/>
        <v>-2.1655194470442487E-3</v>
      </c>
    </row>
    <row r="949" spans="1:12" x14ac:dyDescent="0.35">
      <c r="A949" s="18">
        <v>43630</v>
      </c>
      <c r="B949" s="15">
        <v>262.78570556640619</v>
      </c>
      <c r="C949" s="15">
        <v>68.90380859375</v>
      </c>
      <c r="D949" s="15">
        <v>126.55999755859381</v>
      </c>
      <c r="E949" s="15">
        <v>175.5421142578125</v>
      </c>
      <c r="F949" s="15">
        <v>134.08575439453119</v>
      </c>
      <c r="H949" s="16">
        <f t="shared" si="41"/>
        <v>3.802568596699215E-4</v>
      </c>
      <c r="I949" s="16">
        <f t="shared" si="41"/>
        <v>0</v>
      </c>
      <c r="J949" s="16">
        <f t="shared" si="41"/>
        <v>-6.3226528640262451E-4</v>
      </c>
      <c r="K949" s="16">
        <f t="shared" si="41"/>
        <v>6.0050580083201074E-3</v>
      </c>
      <c r="L949" s="16">
        <f t="shared" si="42"/>
        <v>7.2747822579667535E-4</v>
      </c>
    </row>
    <row r="950" spans="1:12" x14ac:dyDescent="0.35">
      <c r="A950" s="18">
        <v>43633</v>
      </c>
      <c r="B950" s="15">
        <v>262.88565063476563</v>
      </c>
      <c r="C950" s="15">
        <v>68.90380859375</v>
      </c>
      <c r="D950" s="15">
        <v>126.48000335693359</v>
      </c>
      <c r="E950" s="15">
        <v>176.59942626953119</v>
      </c>
      <c r="F950" s="15">
        <v>134.18333435058591</v>
      </c>
      <c r="H950" s="16">
        <f t="shared" si="41"/>
        <v>1.0416596050944606E-2</v>
      </c>
      <c r="I950" s="16">
        <f t="shared" si="41"/>
        <v>2.302978924347361E-3</v>
      </c>
      <c r="J950" s="16">
        <f t="shared" si="41"/>
        <v>5.0473243922380387E-3</v>
      </c>
      <c r="K950" s="16">
        <f t="shared" si="41"/>
        <v>1.442675422095567E-2</v>
      </c>
      <c r="L950" s="16">
        <f t="shared" si="42"/>
        <v>1.0878499016544828E-2</v>
      </c>
    </row>
    <row r="951" spans="1:12" x14ac:dyDescent="0.35">
      <c r="A951" s="18">
        <v>43634</v>
      </c>
      <c r="B951" s="15">
        <v>265.63833618164063</v>
      </c>
      <c r="C951" s="15">
        <v>69.062675476074219</v>
      </c>
      <c r="D951" s="15">
        <v>127.120002746582</v>
      </c>
      <c r="E951" s="15">
        <v>179.1656494140625</v>
      </c>
      <c r="F951" s="15">
        <v>135.65101623535159</v>
      </c>
      <c r="H951" s="16">
        <f t="shared" si="41"/>
        <v>2.2546958742267506E-3</v>
      </c>
      <c r="I951" s="16">
        <f t="shared" si="41"/>
        <v>3.3844980668390093E-3</v>
      </c>
      <c r="J951" s="16">
        <f t="shared" si="41"/>
        <v>6.0389708380804369E-3</v>
      </c>
      <c r="K951" s="16">
        <f t="shared" si="41"/>
        <v>3.7479286416040769E-3</v>
      </c>
      <c r="L951" s="16">
        <f t="shared" si="42"/>
        <v>3.4220250609342463E-3</v>
      </c>
    </row>
    <row r="952" spans="1:12" x14ac:dyDescent="0.35">
      <c r="A952" s="18">
        <v>43635</v>
      </c>
      <c r="B952" s="15">
        <v>266.23794555664063</v>
      </c>
      <c r="C952" s="15">
        <v>69.29681396484375</v>
      </c>
      <c r="D952" s="15">
        <v>127.88999938964839</v>
      </c>
      <c r="E952" s="15">
        <v>179.8384094238281</v>
      </c>
      <c r="F952" s="15">
        <v>136.11601257324219</v>
      </c>
      <c r="H952" s="16">
        <f t="shared" si="41"/>
        <v>9.5091137648936463E-3</v>
      </c>
      <c r="I952" s="16">
        <f t="shared" si="41"/>
        <v>1.5677675289740404E-3</v>
      </c>
      <c r="J952" s="16">
        <f t="shared" si="41"/>
        <v>2.4866155493818536E-2</v>
      </c>
      <c r="K952" s="16">
        <f t="shared" si="41"/>
        <v>9.2567037475669838E-3</v>
      </c>
      <c r="L952" s="16">
        <f t="shared" si="42"/>
        <v>9.1335454682451977E-3</v>
      </c>
    </row>
    <row r="953" spans="1:12" x14ac:dyDescent="0.35">
      <c r="A953" s="18">
        <v>43636</v>
      </c>
      <c r="B953" s="15">
        <v>268.78170776367188</v>
      </c>
      <c r="C953" s="15">
        <v>69.405540466308594</v>
      </c>
      <c r="D953" s="15">
        <v>131.11000061035159</v>
      </c>
      <c r="E953" s="15">
        <v>181.51084899902341</v>
      </c>
      <c r="F953" s="15">
        <v>137.36492919921881</v>
      </c>
      <c r="H953" s="16">
        <f t="shared" si="41"/>
        <v>-1.4547151125995168E-3</v>
      </c>
      <c r="I953" s="16">
        <f t="shared" si="41"/>
        <v>-2.7749424668369041E-3</v>
      </c>
      <c r="J953" s="16">
        <f t="shared" si="41"/>
        <v>6.6136934166681699E-3</v>
      </c>
      <c r="K953" s="16">
        <f t="shared" si="41"/>
        <v>-1.4838465552754804E-3</v>
      </c>
      <c r="L953" s="16">
        <f t="shared" si="42"/>
        <v>1.3251220217363617E-4</v>
      </c>
    </row>
    <row r="954" spans="1:12" x14ac:dyDescent="0.35">
      <c r="A954" s="18">
        <v>43637</v>
      </c>
      <c r="B954" s="15">
        <v>268.3909912109375</v>
      </c>
      <c r="C954" s="15">
        <v>69.213211059570313</v>
      </c>
      <c r="D954" s="15">
        <v>131.97999572753909</v>
      </c>
      <c r="E954" s="15">
        <v>181.24171447753909</v>
      </c>
      <c r="F954" s="15">
        <v>137.38313293457031</v>
      </c>
      <c r="H954" s="16">
        <f t="shared" si="41"/>
        <v>-1.2253605395505665E-3</v>
      </c>
      <c r="I954" s="16">
        <f t="shared" si="41"/>
        <v>1.8107665241326081E-3</v>
      </c>
      <c r="J954" s="16">
        <f t="shared" si="41"/>
        <v>1.4741593126272694E-2</v>
      </c>
      <c r="K954" s="16">
        <f t="shared" si="41"/>
        <v>3.1907603664804448E-5</v>
      </c>
      <c r="L954" s="16">
        <f t="shared" si="42"/>
        <v>-5.589510332346696E-3</v>
      </c>
    </row>
    <row r="955" spans="1:12" x14ac:dyDescent="0.35">
      <c r="A955" s="18">
        <v>43640</v>
      </c>
      <c r="B955" s="15">
        <v>268.06231689453119</v>
      </c>
      <c r="C955" s="15">
        <v>69.338653564453125</v>
      </c>
      <c r="D955" s="15">
        <v>133.94000244140619</v>
      </c>
      <c r="E955" s="15">
        <v>181.24749755859381</v>
      </c>
      <c r="F955" s="15">
        <v>136.61737060546881</v>
      </c>
      <c r="H955" s="16">
        <f t="shared" si="41"/>
        <v>-9.8563971289548254E-3</v>
      </c>
      <c r="I955" s="16">
        <f t="shared" si="41"/>
        <v>3.6193615775336358E-4</v>
      </c>
      <c r="J955" s="16">
        <f t="shared" si="41"/>
        <v>1.9392450876951929E-3</v>
      </c>
      <c r="K955" s="16">
        <f t="shared" si="41"/>
        <v>-1.7315575049172707E-2</v>
      </c>
      <c r="L955" s="16">
        <f t="shared" si="42"/>
        <v>-9.5205062355835455E-3</v>
      </c>
    </row>
    <row r="956" spans="1:12" x14ac:dyDescent="0.35">
      <c r="A956" s="18">
        <v>43641</v>
      </c>
      <c r="B956" s="15">
        <v>265.43316650390619</v>
      </c>
      <c r="C956" s="15">
        <v>69.363754272460938</v>
      </c>
      <c r="D956" s="15">
        <v>134.19999694824219</v>
      </c>
      <c r="E956" s="15">
        <v>178.1361083984375</v>
      </c>
      <c r="F956" s="15">
        <v>135.3228759765625</v>
      </c>
      <c r="H956" s="16">
        <f t="shared" si="41"/>
        <v>-9.9788623210578936E-4</v>
      </c>
      <c r="I956" s="16">
        <f t="shared" si="41"/>
        <v>-2.2934121694071462E-3</v>
      </c>
      <c r="J956" s="16">
        <f t="shared" si="41"/>
        <v>-9.2076537483059915E-3</v>
      </c>
      <c r="K956" s="16">
        <f t="shared" si="41"/>
        <v>4.6400214582625245E-3</v>
      </c>
      <c r="L956" s="16">
        <f t="shared" si="42"/>
        <v>-1.8882293786929682E-3</v>
      </c>
    </row>
    <row r="957" spans="1:12" x14ac:dyDescent="0.35">
      <c r="A957" s="18">
        <v>43642</v>
      </c>
      <c r="B957" s="15">
        <v>265.16842651367188</v>
      </c>
      <c r="C957" s="15">
        <v>69.204856872558594</v>
      </c>
      <c r="D957" s="15">
        <v>132.9700012207031</v>
      </c>
      <c r="E957" s="15">
        <v>178.96458435058591</v>
      </c>
      <c r="F957" s="15">
        <v>135.0675964355469</v>
      </c>
      <c r="H957" s="16">
        <f t="shared" si="41"/>
        <v>3.5398043382902536E-3</v>
      </c>
      <c r="I957" s="16">
        <f t="shared" si="41"/>
        <v>2.8956519543577269E-3</v>
      </c>
      <c r="J957" s="16">
        <f t="shared" si="41"/>
        <v>-9.7817910818000578E-4</v>
      </c>
      <c r="K957" s="16">
        <f t="shared" si="41"/>
        <v>3.814137389916275E-3</v>
      </c>
      <c r="L957" s="16">
        <f t="shared" si="42"/>
        <v>5.9889510118679972E-3</v>
      </c>
    </row>
    <row r="958" spans="1:12" x14ac:dyDescent="0.35">
      <c r="A958" s="18">
        <v>43643</v>
      </c>
      <c r="B958" s="15">
        <v>266.10873413085938</v>
      </c>
      <c r="C958" s="15">
        <v>69.405540466308594</v>
      </c>
      <c r="D958" s="15">
        <v>132.8399963378906</v>
      </c>
      <c r="E958" s="15">
        <v>179.64848327636719</v>
      </c>
      <c r="F958" s="15">
        <v>135.8789367675781</v>
      </c>
      <c r="H958" s="16">
        <f t="shared" si="41"/>
        <v>5.1326501947887354E-3</v>
      </c>
      <c r="I958" s="16">
        <f t="shared" si="41"/>
        <v>8.4243897368820823E-4</v>
      </c>
      <c r="J958" s="16">
        <f t="shared" si="41"/>
        <v>2.7063662544698874E-3</v>
      </c>
      <c r="K958" s="16">
        <f t="shared" si="41"/>
        <v>1.2860519731993244E-3</v>
      </c>
      <c r="L958" s="16">
        <f t="shared" si="42"/>
        <v>6.9531168485462737E-3</v>
      </c>
    </row>
    <row r="959" spans="1:12" x14ac:dyDescent="0.35">
      <c r="A959" s="18">
        <v>43644</v>
      </c>
      <c r="B959" s="15">
        <v>267.47808837890619</v>
      </c>
      <c r="C959" s="15">
        <v>69.464035034179688</v>
      </c>
      <c r="D959" s="15">
        <v>133.19999694824219</v>
      </c>
      <c r="E959" s="15">
        <v>179.8796691894531</v>
      </c>
      <c r="F959" s="15">
        <v>136.82701110839841</v>
      </c>
      <c r="H959" s="16">
        <f t="shared" si="41"/>
        <v>9.0379306399418526E-3</v>
      </c>
      <c r="I959" s="16">
        <f t="shared" si="41"/>
        <v>-7.1393541550852054E-5</v>
      </c>
      <c r="J959" s="16">
        <f t="shared" si="41"/>
        <v>-1.9559428102497136E-2</v>
      </c>
      <c r="K959" s="16">
        <f t="shared" si="41"/>
        <v>1.3404328643717734E-2</v>
      </c>
      <c r="L959" s="16">
        <f t="shared" si="42"/>
        <v>7.0377760803866504E-3</v>
      </c>
    </row>
    <row r="960" spans="1:12" x14ac:dyDescent="0.35">
      <c r="A960" s="18">
        <v>43647</v>
      </c>
      <c r="B960" s="15">
        <v>269.906494140625</v>
      </c>
      <c r="C960" s="15">
        <v>69.459075927734375</v>
      </c>
      <c r="D960" s="15">
        <v>130.6199951171875</v>
      </c>
      <c r="E960" s="15">
        <v>182.30706787109381</v>
      </c>
      <c r="F960" s="15">
        <v>137.7933654785156</v>
      </c>
      <c r="H960" s="16">
        <f t="shared" si="41"/>
        <v>2.6006665770587256E-3</v>
      </c>
      <c r="I960" s="16">
        <f t="shared" si="41"/>
        <v>1.9282506457981208E-3</v>
      </c>
      <c r="J960" s="16">
        <f t="shared" si="41"/>
        <v>2.1134813548054444E-2</v>
      </c>
      <c r="K960" s="16">
        <f t="shared" si="41"/>
        <v>3.9551146463660466E-3</v>
      </c>
      <c r="L960" s="16">
        <f t="shared" si="42"/>
        <v>2.3131601726878981E-3</v>
      </c>
    </row>
    <row r="961" spans="1:12" x14ac:dyDescent="0.35">
      <c r="A961" s="18">
        <v>43648</v>
      </c>
      <c r="B961" s="15">
        <v>270.60934448242188</v>
      </c>
      <c r="C961" s="15">
        <v>69.5931396484375</v>
      </c>
      <c r="D961" s="15">
        <v>133.4100036621094</v>
      </c>
      <c r="E961" s="15">
        <v>183.029541015625</v>
      </c>
      <c r="F961" s="15">
        <v>138.11247253417969</v>
      </c>
      <c r="H961" s="16">
        <f t="shared" si="41"/>
        <v>7.9632899433939915E-3</v>
      </c>
      <c r="I961" s="16">
        <f t="shared" si="41"/>
        <v>1.8049388842624543E-3</v>
      </c>
      <c r="J961" s="16">
        <f t="shared" si="41"/>
        <v>1.6477026920103729E-3</v>
      </c>
      <c r="K961" s="16">
        <f t="shared" si="41"/>
        <v>7.4976926506892527E-3</v>
      </c>
      <c r="L961" s="16">
        <f t="shared" si="42"/>
        <v>7.4965733700994948E-3</v>
      </c>
    </row>
    <row r="962" spans="1:12" x14ac:dyDescent="0.35">
      <c r="A962" s="18">
        <v>43649</v>
      </c>
      <c r="B962" s="15">
        <v>272.77288818359381</v>
      </c>
      <c r="C962" s="15">
        <v>69.718864440917969</v>
      </c>
      <c r="D962" s="15">
        <v>133.6300048828125</v>
      </c>
      <c r="E962" s="15">
        <v>184.40699768066409</v>
      </c>
      <c r="F962" s="15">
        <v>139.1517333984375</v>
      </c>
      <c r="H962" s="16">
        <f t="shared" si="41"/>
        <v>-1.1383459728579505E-3</v>
      </c>
      <c r="I962" s="16">
        <f t="shared" si="41"/>
        <v>-4.699480578174443E-3</v>
      </c>
      <c r="J962" s="16">
        <f t="shared" si="41"/>
        <v>-1.1212861349998719E-2</v>
      </c>
      <c r="K962" s="16">
        <f t="shared" si="41"/>
        <v>-2.039264063819283E-3</v>
      </c>
      <c r="L962" s="16">
        <f t="shared" si="42"/>
        <v>-5.8979291445277696E-4</v>
      </c>
    </row>
    <row r="963" spans="1:12" x14ac:dyDescent="0.35">
      <c r="A963" s="18">
        <v>43651</v>
      </c>
      <c r="B963" s="15">
        <v>272.46255493164063</v>
      </c>
      <c r="C963" s="15">
        <v>69.391990661621094</v>
      </c>
      <c r="D963" s="15">
        <v>132.13999938964841</v>
      </c>
      <c r="E963" s="15">
        <v>184.03132629394531</v>
      </c>
      <c r="F963" s="15">
        <v>139.06968688964841</v>
      </c>
      <c r="H963" s="16">
        <f t="shared" si="41"/>
        <v>-5.509854452357482E-3</v>
      </c>
      <c r="I963" s="16">
        <f t="shared" si="41"/>
        <v>-1.2116819347554762E-4</v>
      </c>
      <c r="J963" s="16">
        <f t="shared" si="41"/>
        <v>-6.4533961744341834E-3</v>
      </c>
      <c r="K963" s="16">
        <f t="shared" ref="K963:L1026" si="43">LN(E964/E963)</f>
        <v>-7.0384140902082113E-3</v>
      </c>
      <c r="L963" s="16">
        <f t="shared" si="42"/>
        <v>-5.3898137046511432E-3</v>
      </c>
    </row>
    <row r="964" spans="1:12" x14ac:dyDescent="0.35">
      <c r="A964" s="18">
        <v>43654</v>
      </c>
      <c r="B964" s="15">
        <v>270.9654541015625</v>
      </c>
      <c r="C964" s="15">
        <v>69.383583068847656</v>
      </c>
      <c r="D964" s="15">
        <v>131.28999328613281</v>
      </c>
      <c r="E964" s="15">
        <v>182.74058532714841</v>
      </c>
      <c r="F964" s="15">
        <v>138.3221435546875</v>
      </c>
      <c r="H964" s="16">
        <f t="shared" ref="H964:L1027" si="44">LN(B965/B964)</f>
        <v>1.2453111104875187E-3</v>
      </c>
      <c r="I964" s="16">
        <f t="shared" si="44"/>
        <v>-1.3298562005104907E-3</v>
      </c>
      <c r="J964" s="16">
        <f t="shared" si="44"/>
        <v>3.4976216131429347E-3</v>
      </c>
      <c r="K964" s="16">
        <f t="shared" si="43"/>
        <v>4.9948998455173945E-3</v>
      </c>
      <c r="L964" s="16">
        <f t="shared" si="43"/>
        <v>1.7782147970682727E-3</v>
      </c>
    </row>
    <row r="965" spans="1:12" x14ac:dyDescent="0.35">
      <c r="A965" s="18">
        <v>43655</v>
      </c>
      <c r="B965" s="15">
        <v>271.3031005859375</v>
      </c>
      <c r="C965" s="15">
        <v>69.291374206542969</v>
      </c>
      <c r="D965" s="15">
        <v>131.75</v>
      </c>
      <c r="E965" s="15">
        <v>183.6556396484375</v>
      </c>
      <c r="F965" s="15">
        <v>138.5683288574219</v>
      </c>
      <c r="H965" s="16">
        <f t="shared" si="44"/>
        <v>4.7667663751692945E-3</v>
      </c>
      <c r="I965" s="16">
        <f t="shared" si="44"/>
        <v>8.4668674915277229E-4</v>
      </c>
      <c r="J965" s="16">
        <f t="shared" si="44"/>
        <v>1.5664164068756106E-2</v>
      </c>
      <c r="K965" s="16">
        <f t="shared" si="43"/>
        <v>9.9158990612119389E-3</v>
      </c>
      <c r="L965" s="16">
        <f t="shared" si="43"/>
        <v>4.0704542728089961E-3</v>
      </c>
    </row>
    <row r="966" spans="1:12" x14ac:dyDescent="0.35">
      <c r="A966" s="18">
        <v>43656</v>
      </c>
      <c r="B966" s="15">
        <v>272.59942626953119</v>
      </c>
      <c r="C966" s="15">
        <v>69.350067138671875</v>
      </c>
      <c r="D966" s="15">
        <v>133.83000183105469</v>
      </c>
      <c r="E966" s="15">
        <v>185.4858093261719</v>
      </c>
      <c r="F966" s="15">
        <v>139.1335144042969</v>
      </c>
      <c r="H966" s="16">
        <f t="shared" si="44"/>
        <v>2.3417184942871841E-3</v>
      </c>
      <c r="I966" s="16">
        <f t="shared" si="44"/>
        <v>-3.2679834266018289E-3</v>
      </c>
      <c r="J966" s="16">
        <f t="shared" si="44"/>
        <v>-8.4794331494876477E-3</v>
      </c>
      <c r="K966" s="16">
        <f t="shared" si="43"/>
        <v>-7.2706594744623685E-4</v>
      </c>
      <c r="L966" s="16">
        <f t="shared" si="43"/>
        <v>1.3748660794729571E-3</v>
      </c>
    </row>
    <row r="967" spans="1:12" x14ac:dyDescent="0.35">
      <c r="A967" s="18">
        <v>43657</v>
      </c>
      <c r="B967" s="15">
        <v>273.238525390625</v>
      </c>
      <c r="C967" s="15">
        <v>69.123802185058594</v>
      </c>
      <c r="D967" s="15">
        <v>132.69999694824219</v>
      </c>
      <c r="E967" s="15">
        <v>185.35099792480469</v>
      </c>
      <c r="F967" s="15">
        <v>139.32493591308591</v>
      </c>
      <c r="H967" s="16">
        <f t="shared" si="44"/>
        <v>4.466704501069548E-3</v>
      </c>
      <c r="I967" s="16">
        <f t="shared" si="44"/>
        <v>8.4796648696195819E-4</v>
      </c>
      <c r="J967" s="16">
        <f t="shared" si="44"/>
        <v>6.235244213343291E-3</v>
      </c>
      <c r="K967" s="16">
        <f t="shared" si="43"/>
        <v>5.7518514459941788E-3</v>
      </c>
      <c r="L967" s="16">
        <f t="shared" si="43"/>
        <v>5.0907356470170709E-3</v>
      </c>
    </row>
    <row r="968" spans="1:12" x14ac:dyDescent="0.35">
      <c r="A968" s="18">
        <v>43658</v>
      </c>
      <c r="B968" s="15">
        <v>274.46173095703119</v>
      </c>
      <c r="C968" s="15">
        <v>69.182441711425781</v>
      </c>
      <c r="D968" s="15">
        <v>133.5299987792969</v>
      </c>
      <c r="E968" s="15">
        <v>186.42018127441409</v>
      </c>
      <c r="F968" s="15">
        <v>140.0360107421875</v>
      </c>
      <c r="H968" s="16">
        <f t="shared" si="44"/>
        <v>3.3262709674428289E-4</v>
      </c>
      <c r="I968" s="16">
        <f t="shared" si="44"/>
        <v>1.4531973527142552E-3</v>
      </c>
      <c r="J968" s="16">
        <f t="shared" si="44"/>
        <v>0</v>
      </c>
      <c r="K968" s="16">
        <f t="shared" si="43"/>
        <v>3.1984689927495526E-3</v>
      </c>
      <c r="L968" s="16">
        <f t="shared" si="43"/>
        <v>-6.5137691781197264E-4</v>
      </c>
    </row>
    <row r="969" spans="1:12" x14ac:dyDescent="0.35">
      <c r="A969" s="18">
        <v>43661</v>
      </c>
      <c r="B969" s="15">
        <v>274.55303955078119</v>
      </c>
      <c r="C969" s="15">
        <v>69.283050537109375</v>
      </c>
      <c r="D969" s="15">
        <v>133.5299987792969</v>
      </c>
      <c r="E969" s="15">
        <v>187.01739501953119</v>
      </c>
      <c r="F969" s="15">
        <v>139.94482421875</v>
      </c>
      <c r="H969" s="16">
        <f t="shared" si="44"/>
        <v>-3.2305587002808868E-3</v>
      </c>
      <c r="I969" s="16">
        <f t="shared" si="44"/>
        <v>-1.3318974275839937E-3</v>
      </c>
      <c r="J969" s="16">
        <f t="shared" si="44"/>
        <v>-8.498565150237166E-3</v>
      </c>
      <c r="K969" s="16">
        <f t="shared" si="43"/>
        <v>-5.1638551455012094E-3</v>
      </c>
      <c r="L969" s="16">
        <f t="shared" si="43"/>
        <v>-2.5436229420360331E-3</v>
      </c>
    </row>
    <row r="970" spans="1:12" x14ac:dyDescent="0.35">
      <c r="A970" s="18">
        <v>43662</v>
      </c>
      <c r="B970" s="15">
        <v>273.66751098632813</v>
      </c>
      <c r="C970" s="15">
        <v>69.190834045410156</v>
      </c>
      <c r="D970" s="15">
        <v>132.3999938964844</v>
      </c>
      <c r="E970" s="15">
        <v>186.05415344238281</v>
      </c>
      <c r="F970" s="15">
        <v>139.58930969238281</v>
      </c>
      <c r="H970" s="16">
        <f t="shared" si="44"/>
        <v>-6.8282495688936941E-3</v>
      </c>
      <c r="I970" s="16">
        <f t="shared" si="44"/>
        <v>3.0237684407376933E-3</v>
      </c>
      <c r="J970" s="16">
        <f t="shared" si="44"/>
        <v>1.6331233962022303E-2</v>
      </c>
      <c r="K970" s="16">
        <f t="shared" si="43"/>
        <v>-4.9305964377746384E-3</v>
      </c>
      <c r="L970" s="16">
        <f t="shared" si="43"/>
        <v>-6.6179562031993735E-3</v>
      </c>
    </row>
    <row r="971" spans="1:12" x14ac:dyDescent="0.35">
      <c r="A971" s="18">
        <v>43663</v>
      </c>
      <c r="B971" s="15">
        <v>271.80520629882813</v>
      </c>
      <c r="C971" s="15">
        <v>69.400367736816406</v>
      </c>
      <c r="D971" s="15">
        <v>134.58000183105469</v>
      </c>
      <c r="E971" s="15">
        <v>185.13905334472659</v>
      </c>
      <c r="F971" s="15">
        <v>138.66856384277341</v>
      </c>
      <c r="H971" s="16">
        <f t="shared" si="44"/>
        <v>3.6542316106741193E-3</v>
      </c>
      <c r="I971" s="16">
        <f t="shared" si="44"/>
        <v>1.8106062952252108E-3</v>
      </c>
      <c r="J971" s="16">
        <f t="shared" si="44"/>
        <v>1.4019221072832979E-2</v>
      </c>
      <c r="K971" s="16">
        <f t="shared" si="43"/>
        <v>1.1441311445320105E-3</v>
      </c>
      <c r="L971" s="16">
        <f t="shared" si="43"/>
        <v>3.6747757032549637E-3</v>
      </c>
    </row>
    <row r="972" spans="1:12" x14ac:dyDescent="0.35">
      <c r="A972" s="18">
        <v>43664</v>
      </c>
      <c r="B972" s="15">
        <v>272.80026245117188</v>
      </c>
      <c r="C972" s="15">
        <v>69.526138305664063</v>
      </c>
      <c r="D972" s="15">
        <v>136.47999572753909</v>
      </c>
      <c r="E972" s="15">
        <v>185.35099792480469</v>
      </c>
      <c r="F972" s="15">
        <v>139.1790771484375</v>
      </c>
      <c r="H972" s="16">
        <f t="shared" si="44"/>
        <v>-5.5702832234553416E-3</v>
      </c>
      <c r="I972" s="16">
        <f t="shared" si="44"/>
        <v>-1.086849162053629E-3</v>
      </c>
      <c r="J972" s="16">
        <f t="shared" si="44"/>
        <v>-1.4836917525039021E-2</v>
      </c>
      <c r="K972" s="16">
        <f t="shared" si="43"/>
        <v>-7.3549476469646916E-3</v>
      </c>
      <c r="L972" s="16">
        <f t="shared" si="43"/>
        <v>-5.7146455589167531E-3</v>
      </c>
    </row>
    <row r="973" spans="1:12" x14ac:dyDescent="0.35">
      <c r="A973" s="18">
        <v>43665</v>
      </c>
      <c r="B973" s="15">
        <v>271.284912109375</v>
      </c>
      <c r="C973" s="15">
        <v>69.450614929199219</v>
      </c>
      <c r="D973" s="15">
        <v>134.4700012207031</v>
      </c>
      <c r="E973" s="15">
        <v>183.99275207519531</v>
      </c>
      <c r="F973" s="15">
        <v>138.385986328125</v>
      </c>
      <c r="H973" s="16">
        <f t="shared" si="44"/>
        <v>2.4534912914362934E-3</v>
      </c>
      <c r="I973" s="16">
        <f t="shared" si="44"/>
        <v>1.0868491620535799E-3</v>
      </c>
      <c r="J973" s="16">
        <f t="shared" si="44"/>
        <v>-1.4877489687654019E-4</v>
      </c>
      <c r="K973" s="16">
        <f t="shared" si="43"/>
        <v>7.9262758746795961E-3</v>
      </c>
      <c r="L973" s="16">
        <f t="shared" si="43"/>
        <v>2.3683888737726904E-3</v>
      </c>
    </row>
    <row r="974" spans="1:12" x14ac:dyDescent="0.35">
      <c r="A974" s="18">
        <v>43668</v>
      </c>
      <c r="B974" s="15">
        <v>271.95132446289063</v>
      </c>
      <c r="C974" s="15">
        <v>69.526138305664063</v>
      </c>
      <c r="D974" s="15">
        <v>134.44999694824219</v>
      </c>
      <c r="E974" s="15">
        <v>185.45692443847659</v>
      </c>
      <c r="F974" s="15">
        <v>138.71412658691409</v>
      </c>
      <c r="H974" s="16">
        <f t="shared" si="44"/>
        <v>7.1246934072181668E-3</v>
      </c>
      <c r="I974" s="16">
        <f t="shared" si="44"/>
        <v>-8.4509078996506629E-4</v>
      </c>
      <c r="J974" s="16">
        <f t="shared" si="44"/>
        <v>-5.6686547600588739E-3</v>
      </c>
      <c r="K974" s="16">
        <f t="shared" si="43"/>
        <v>6.5232153254560568E-3</v>
      </c>
      <c r="L974" s="16">
        <f t="shared" si="43"/>
        <v>6.6810254630569263E-3</v>
      </c>
    </row>
    <row r="975" spans="1:12" x14ac:dyDescent="0.35">
      <c r="A975" s="18">
        <v>43669</v>
      </c>
      <c r="B975" s="15">
        <v>273.89581298828119</v>
      </c>
      <c r="C975" s="15">
        <v>69.4674072265625</v>
      </c>
      <c r="D975" s="15">
        <v>133.69000244140619</v>
      </c>
      <c r="E975" s="15">
        <v>186.670654296875</v>
      </c>
      <c r="F975" s="15">
        <v>139.64398193359381</v>
      </c>
      <c r="H975" s="16">
        <f t="shared" si="44"/>
        <v>4.6880374607215199E-3</v>
      </c>
      <c r="I975" s="16">
        <f t="shared" si="44"/>
        <v>9.6513278944705509E-4</v>
      </c>
      <c r="J975" s="16">
        <f t="shared" si="44"/>
        <v>5.0734472920288031E-3</v>
      </c>
      <c r="K975" s="16">
        <f t="shared" si="43"/>
        <v>6.9933470780048747E-3</v>
      </c>
      <c r="L975" s="16">
        <f t="shared" si="43"/>
        <v>6.1179160249979266E-3</v>
      </c>
    </row>
    <row r="976" spans="1:12" x14ac:dyDescent="0.35">
      <c r="A976" s="18">
        <v>43670</v>
      </c>
      <c r="B976" s="15">
        <v>275.182861328125</v>
      </c>
      <c r="C976" s="15">
        <v>69.53448486328125</v>
      </c>
      <c r="D976" s="15">
        <v>134.3699951171875</v>
      </c>
      <c r="E976" s="15">
        <v>187.9806823730469</v>
      </c>
      <c r="F976" s="15">
        <v>140.50093078613281</v>
      </c>
      <c r="H976" s="16">
        <f t="shared" si="44"/>
        <v>-4.7882094077905703E-3</v>
      </c>
      <c r="I976" s="16">
        <f t="shared" si="44"/>
        <v>-1.0850710279880973E-3</v>
      </c>
      <c r="J976" s="16">
        <f t="shared" si="44"/>
        <v>-7.095118991376651E-3</v>
      </c>
      <c r="K976" s="16">
        <f t="shared" si="43"/>
        <v>-9.5248213993134167E-3</v>
      </c>
      <c r="L976" s="16">
        <f t="shared" si="43"/>
        <v>-5.3344349073863734E-3</v>
      </c>
    </row>
    <row r="977" spans="1:12" x14ac:dyDescent="0.35">
      <c r="A977" s="18">
        <v>43671</v>
      </c>
      <c r="B977" s="15">
        <v>273.86837768554688</v>
      </c>
      <c r="C977" s="15">
        <v>69.459075927734375</v>
      </c>
      <c r="D977" s="15">
        <v>133.41999816894531</v>
      </c>
      <c r="E977" s="15">
        <v>186.1986999511719</v>
      </c>
      <c r="F977" s="15">
        <v>139.75343322753909</v>
      </c>
      <c r="H977" s="16">
        <f t="shared" si="44"/>
        <v>6.6778100179914444E-3</v>
      </c>
      <c r="I977" s="16">
        <f t="shared" si="44"/>
        <v>0</v>
      </c>
      <c r="J977" s="16">
        <f t="shared" si="44"/>
        <v>1.6475793640435884E-3</v>
      </c>
      <c r="K977" s="16">
        <f t="shared" si="43"/>
        <v>1.0241963320198099E-2</v>
      </c>
      <c r="L977" s="16">
        <f t="shared" si="43"/>
        <v>7.214643459235376E-3</v>
      </c>
    </row>
    <row r="978" spans="1:12" x14ac:dyDescent="0.35">
      <c r="A978" s="18">
        <v>43672</v>
      </c>
      <c r="B978" s="15">
        <v>275.70333862304688</v>
      </c>
      <c r="C978" s="15">
        <v>69.459075927734375</v>
      </c>
      <c r="D978" s="15">
        <v>133.63999938964841</v>
      </c>
      <c r="E978" s="15">
        <v>188.11553955078119</v>
      </c>
      <c r="F978" s="15">
        <v>140.7653503417969</v>
      </c>
      <c r="H978" s="16">
        <f t="shared" si="44"/>
        <v>-1.8233959382670689E-3</v>
      </c>
      <c r="I978" s="16">
        <f t="shared" si="44"/>
        <v>6.025112944499692E-4</v>
      </c>
      <c r="J978" s="16">
        <f t="shared" si="44"/>
        <v>6.6376005021925892E-3</v>
      </c>
      <c r="K978" s="16">
        <f t="shared" si="43"/>
        <v>-3.4367744771246888E-3</v>
      </c>
      <c r="L978" s="16">
        <f t="shared" si="43"/>
        <v>-2.3993558822335815E-3</v>
      </c>
    </row>
    <row r="979" spans="1:12" x14ac:dyDescent="0.35">
      <c r="A979" s="18">
        <v>43675</v>
      </c>
      <c r="B979" s="15">
        <v>275.20108032226563</v>
      </c>
      <c r="C979" s="15">
        <v>69.500938415527344</v>
      </c>
      <c r="D979" s="15">
        <v>134.5299987792969</v>
      </c>
      <c r="E979" s="15">
        <v>187.47013854980469</v>
      </c>
      <c r="F979" s="15">
        <v>140.4280090332031</v>
      </c>
      <c r="H979" s="16">
        <f t="shared" si="44"/>
        <v>-2.4571655980068874E-3</v>
      </c>
      <c r="I979" s="16">
        <f t="shared" si="44"/>
        <v>-2.4065351598182686E-4</v>
      </c>
      <c r="J979" s="16">
        <f t="shared" si="44"/>
        <v>3.3393742390960437E-3</v>
      </c>
      <c r="K979" s="16">
        <f t="shared" si="43"/>
        <v>-4.3254583987407322E-3</v>
      </c>
      <c r="L979" s="16">
        <f t="shared" si="43"/>
        <v>-9.7427781840768576E-4</v>
      </c>
    </row>
    <row r="980" spans="1:12" x14ac:dyDescent="0.35">
      <c r="A980" s="18">
        <v>43676</v>
      </c>
      <c r="B980" s="15">
        <v>274.52569580078119</v>
      </c>
      <c r="C980" s="15">
        <v>69.484214782714844</v>
      </c>
      <c r="D980" s="15">
        <v>134.97999572753909</v>
      </c>
      <c r="E980" s="15">
        <v>186.66099548339841</v>
      </c>
      <c r="F980" s="15">
        <v>140.291259765625</v>
      </c>
      <c r="H980" s="16">
        <f t="shared" si="44"/>
        <v>-1.1001012588659483E-2</v>
      </c>
      <c r="I980" s="16">
        <f t="shared" si="44"/>
        <v>1.2053208952288287E-3</v>
      </c>
      <c r="J980" s="16">
        <f t="shared" si="44"/>
        <v>-1.3199706898717488E-2</v>
      </c>
      <c r="K980" s="16">
        <f t="shared" si="43"/>
        <v>-1.3926558816283338E-2</v>
      </c>
      <c r="L980" s="16">
        <f t="shared" si="43"/>
        <v>-1.0976775313783016E-2</v>
      </c>
    </row>
    <row r="981" spans="1:12" x14ac:dyDescent="0.35">
      <c r="A981" s="18">
        <v>43677</v>
      </c>
      <c r="B981" s="15">
        <v>271.52218627929688</v>
      </c>
      <c r="C981" s="15">
        <v>69.568016052246094</v>
      </c>
      <c r="D981" s="15">
        <v>133.21000671386719</v>
      </c>
      <c r="E981" s="15">
        <v>184.0794677734375</v>
      </c>
      <c r="F981" s="15">
        <v>138.7597351074219</v>
      </c>
      <c r="H981" s="16">
        <f t="shared" si="44"/>
        <v>-8.7460049799749692E-3</v>
      </c>
      <c r="I981" s="16">
        <f t="shared" si="44"/>
        <v>7.1355908471833259E-3</v>
      </c>
      <c r="J981" s="16">
        <f t="shared" si="44"/>
        <v>2.3738202587375117E-2</v>
      </c>
      <c r="K981" s="16">
        <f t="shared" si="43"/>
        <v>-4.9836207081574661E-3</v>
      </c>
      <c r="L981" s="16">
        <f t="shared" si="43"/>
        <v>-9.3066700226139016E-3</v>
      </c>
    </row>
    <row r="982" spans="1:12" x14ac:dyDescent="0.35">
      <c r="A982" s="18">
        <v>43678</v>
      </c>
      <c r="B982" s="15">
        <v>269.15780639648438</v>
      </c>
      <c r="C982" s="15">
        <v>70.066200256347656</v>
      </c>
      <c r="D982" s="15">
        <v>136.4100036621094</v>
      </c>
      <c r="E982" s="15">
        <v>183.16436767578119</v>
      </c>
      <c r="F982" s="15">
        <v>137.4743347167969</v>
      </c>
      <c r="H982" s="16">
        <f t="shared" si="44"/>
        <v>-7.5582861841645751E-3</v>
      </c>
      <c r="I982" s="16">
        <f t="shared" si="44"/>
        <v>9.5873793949640209E-4</v>
      </c>
      <c r="J982" s="16">
        <f t="shared" si="44"/>
        <v>-3.8193529104758638E-3</v>
      </c>
      <c r="K982" s="16">
        <f t="shared" si="43"/>
        <v>-1.4834587165094695E-2</v>
      </c>
      <c r="L982" s="16">
        <f t="shared" si="43"/>
        <v>-8.123349146241415E-3</v>
      </c>
    </row>
    <row r="983" spans="1:12" x14ac:dyDescent="0.35">
      <c r="A983" s="18">
        <v>43679</v>
      </c>
      <c r="B983" s="15">
        <v>267.131103515625</v>
      </c>
      <c r="C983" s="15">
        <v>70.133407592773438</v>
      </c>
      <c r="D983" s="15">
        <v>135.88999938964841</v>
      </c>
      <c r="E983" s="15">
        <v>180.4672546386719</v>
      </c>
      <c r="F983" s="15">
        <v>136.36210632324219</v>
      </c>
      <c r="H983" s="16">
        <f t="shared" si="44"/>
        <v>-3.0534520498391438E-2</v>
      </c>
      <c r="I983" s="16">
        <f t="shared" si="44"/>
        <v>4.3031445918252208E-3</v>
      </c>
      <c r="J983" s="16">
        <f t="shared" si="44"/>
        <v>1.3885007839557815E-2</v>
      </c>
      <c r="K983" s="16">
        <f t="shared" si="43"/>
        <v>-3.5974506571225584E-2</v>
      </c>
      <c r="L983" s="16">
        <f t="shared" si="43"/>
        <v>-3.0132353047434092E-2</v>
      </c>
    </row>
    <row r="984" spans="1:12" x14ac:dyDescent="0.35">
      <c r="A984" s="18">
        <v>43682</v>
      </c>
      <c r="B984" s="15">
        <v>259.09765625</v>
      </c>
      <c r="C984" s="15">
        <v>70.43585205078125</v>
      </c>
      <c r="D984" s="15">
        <v>137.78999328613281</v>
      </c>
      <c r="E984" s="15">
        <v>174.0904235839844</v>
      </c>
      <c r="F984" s="15">
        <v>132.3144836425781</v>
      </c>
      <c r="H984" s="16">
        <f t="shared" si="44"/>
        <v>1.3925605875439576E-2</v>
      </c>
      <c r="I984" s="16">
        <f t="shared" si="44"/>
        <v>2.5013727745519651E-3</v>
      </c>
      <c r="J984" s="16">
        <f t="shared" si="44"/>
        <v>8.0955294920261617E-3</v>
      </c>
      <c r="K984" s="16">
        <f t="shared" si="43"/>
        <v>1.3901637979747366E-2</v>
      </c>
      <c r="L984" s="16">
        <f t="shared" si="43"/>
        <v>1.2937774677669853E-2</v>
      </c>
    </row>
    <row r="985" spans="1:12" x14ac:dyDescent="0.35">
      <c r="A985" s="18">
        <v>43683</v>
      </c>
      <c r="B985" s="15">
        <v>262.73098754882813</v>
      </c>
      <c r="C985" s="15">
        <v>70.612258911132813</v>
      </c>
      <c r="D985" s="15">
        <v>138.9100036621094</v>
      </c>
      <c r="E985" s="15">
        <v>176.5274658203125</v>
      </c>
      <c r="F985" s="15">
        <v>134.03746032714841</v>
      </c>
      <c r="H985" s="16">
        <f t="shared" si="44"/>
        <v>5.9059106340663716E-4</v>
      </c>
      <c r="I985" s="16">
        <f t="shared" si="44"/>
        <v>0</v>
      </c>
      <c r="J985" s="16">
        <f t="shared" si="44"/>
        <v>1.5075486815259822E-2</v>
      </c>
      <c r="K985" s="16">
        <f t="shared" si="43"/>
        <v>5.3877005914519426E-3</v>
      </c>
      <c r="L985" s="16">
        <f t="shared" si="43"/>
        <v>1.0877160959503801E-3</v>
      </c>
    </row>
    <row r="986" spans="1:12" x14ac:dyDescent="0.35">
      <c r="A986" s="18">
        <v>43684</v>
      </c>
      <c r="B986" s="15">
        <v>262.88619995117188</v>
      </c>
      <c r="C986" s="15">
        <v>70.612258911132813</v>
      </c>
      <c r="D986" s="15">
        <v>141.02000427246091</v>
      </c>
      <c r="E986" s="15">
        <v>177.4811096191406</v>
      </c>
      <c r="F986" s="15">
        <v>134.18333435058591</v>
      </c>
      <c r="H986" s="16">
        <f t="shared" si="44"/>
        <v>1.9430158795760627E-2</v>
      </c>
      <c r="I986" s="16">
        <f t="shared" si="44"/>
        <v>8.3312214896094422E-4</v>
      </c>
      <c r="J986" s="16">
        <f t="shared" si="44"/>
        <v>5.0220544460048457E-3</v>
      </c>
      <c r="K986" s="16">
        <f t="shared" si="43"/>
        <v>2.1530643534229989E-2</v>
      </c>
      <c r="L986" s="16">
        <f t="shared" si="43"/>
        <v>1.884396811438183E-2</v>
      </c>
    </row>
    <row r="987" spans="1:12" x14ac:dyDescent="0.35">
      <c r="A987" s="18">
        <v>43685</v>
      </c>
      <c r="B987" s="15">
        <v>268.0440673828125</v>
      </c>
      <c r="C987" s="15">
        <v>70.671112060546875</v>
      </c>
      <c r="D987" s="15">
        <v>141.72999572753909</v>
      </c>
      <c r="E987" s="15">
        <v>181.34382629394531</v>
      </c>
      <c r="F987" s="15">
        <v>136.73585510253909</v>
      </c>
      <c r="H987" s="16">
        <f t="shared" si="44"/>
        <v>-6.8348924205507916E-3</v>
      </c>
      <c r="I987" s="16">
        <f t="shared" si="44"/>
        <v>-1.7849227913017034E-3</v>
      </c>
      <c r="J987" s="16">
        <f t="shared" si="44"/>
        <v>-3.3216839398713628E-3</v>
      </c>
      <c r="K987" s="16">
        <f t="shared" si="43"/>
        <v>-9.4463478736237436E-3</v>
      </c>
      <c r="L987" s="16">
        <f t="shared" si="43"/>
        <v>-7.1590474555287484E-3</v>
      </c>
    </row>
    <row r="988" spans="1:12" x14ac:dyDescent="0.35">
      <c r="A988" s="18">
        <v>43686</v>
      </c>
      <c r="B988" s="15">
        <v>266.21826171875</v>
      </c>
      <c r="C988" s="15">
        <v>70.545082092285156</v>
      </c>
      <c r="D988" s="15">
        <v>141.25999450683591</v>
      </c>
      <c r="E988" s="15">
        <v>179.63885498046881</v>
      </c>
      <c r="F988" s="15">
        <v>135.76045227050781</v>
      </c>
      <c r="H988" s="16">
        <f t="shared" si="44"/>
        <v>-1.2247763333092422E-2</v>
      </c>
      <c r="I988" s="16">
        <f t="shared" si="44"/>
        <v>4.3966436333372667E-3</v>
      </c>
      <c r="J988" s="16">
        <f t="shared" si="44"/>
        <v>9.6517736755788418E-3</v>
      </c>
      <c r="K988" s="16">
        <f t="shared" si="43"/>
        <v>-1.1541602108150927E-2</v>
      </c>
      <c r="L988" s="16">
        <f t="shared" si="43"/>
        <v>-1.2432882866517574E-2</v>
      </c>
    </row>
    <row r="989" spans="1:12" x14ac:dyDescent="0.35">
      <c r="A989" s="18">
        <v>43689</v>
      </c>
      <c r="B989" s="15">
        <v>262.97756958007813</v>
      </c>
      <c r="C989" s="15">
        <v>70.855926513671875</v>
      </c>
      <c r="D989" s="15">
        <v>142.6300048828125</v>
      </c>
      <c r="E989" s="15">
        <v>177.57745361328119</v>
      </c>
      <c r="F989" s="15">
        <v>134.0830078125</v>
      </c>
      <c r="H989" s="16">
        <f t="shared" si="44"/>
        <v>1.5431797794735091E-2</v>
      </c>
      <c r="I989" s="16">
        <f t="shared" si="44"/>
        <v>-1.5425532422959438E-3</v>
      </c>
      <c r="J989" s="16">
        <f t="shared" si="44"/>
        <v>-5.9773469524184763E-3</v>
      </c>
      <c r="K989" s="16">
        <f t="shared" si="43"/>
        <v>2.1678272146200953E-2</v>
      </c>
      <c r="L989" s="16">
        <f t="shared" si="43"/>
        <v>1.4176967014753796E-2</v>
      </c>
    </row>
    <row r="990" spans="1:12" x14ac:dyDescent="0.35">
      <c r="A990" s="18">
        <v>43690</v>
      </c>
      <c r="B990" s="15">
        <v>267.0672607421875</v>
      </c>
      <c r="C990" s="15">
        <v>70.746711730957031</v>
      </c>
      <c r="D990" s="15">
        <v>141.7799987792969</v>
      </c>
      <c r="E990" s="15">
        <v>181.46905517578119</v>
      </c>
      <c r="F990" s="15">
        <v>135.9974365234375</v>
      </c>
      <c r="H990" s="16">
        <f t="shared" si="44"/>
        <v>-3.0013091441042083E-2</v>
      </c>
      <c r="I990" s="16">
        <f t="shared" si="44"/>
        <v>3.5560884587834984E-3</v>
      </c>
      <c r="J990" s="16">
        <f t="shared" si="44"/>
        <v>6.8182967190880293E-3</v>
      </c>
      <c r="K990" s="16">
        <f t="shared" si="43"/>
        <v>-3.0340830029173971E-2</v>
      </c>
      <c r="L990" s="16">
        <f t="shared" si="43"/>
        <v>-2.9316489414181818E-2</v>
      </c>
    </row>
    <row r="991" spans="1:12" x14ac:dyDescent="0.35">
      <c r="A991" s="18">
        <v>43691</v>
      </c>
      <c r="B991" s="15">
        <v>259.17083740234381</v>
      </c>
      <c r="C991" s="15">
        <v>70.998741149902344</v>
      </c>
      <c r="D991" s="15">
        <v>142.75</v>
      </c>
      <c r="E991" s="15">
        <v>176.04582214355469</v>
      </c>
      <c r="F991" s="15">
        <v>132.06834411621091</v>
      </c>
      <c r="H991" s="16">
        <f t="shared" si="44"/>
        <v>2.6379040208757048E-3</v>
      </c>
      <c r="I991" s="16">
        <f t="shared" si="44"/>
        <v>4.8393628296056522E-3</v>
      </c>
      <c r="J991" s="16">
        <f t="shared" si="44"/>
        <v>6.6329233118531091E-3</v>
      </c>
      <c r="K991" s="16">
        <f t="shared" si="43"/>
        <v>-1.1493653543939279E-3</v>
      </c>
      <c r="L991" s="16">
        <f t="shared" si="43"/>
        <v>1.8619938334723243E-3</v>
      </c>
    </row>
    <row r="992" spans="1:12" x14ac:dyDescent="0.35">
      <c r="A992" s="18">
        <v>43692</v>
      </c>
      <c r="B992" s="15">
        <v>259.85540771484381</v>
      </c>
      <c r="C992" s="15">
        <v>71.343162536621094</v>
      </c>
      <c r="D992" s="15">
        <v>143.69999694824219</v>
      </c>
      <c r="E992" s="15">
        <v>175.8435974121094</v>
      </c>
      <c r="F992" s="15">
        <v>132.3144836425781</v>
      </c>
      <c r="H992" s="16">
        <f t="shared" si="44"/>
        <v>1.4647207610149345E-2</v>
      </c>
      <c r="I992" s="16">
        <f t="shared" si="44"/>
        <v>-1.0602242892777689E-3</v>
      </c>
      <c r="J992" s="16">
        <f t="shared" si="44"/>
        <v>-6.4227963231966159E-3</v>
      </c>
      <c r="K992" s="16">
        <f t="shared" si="43"/>
        <v>1.5922767195955631E-2</v>
      </c>
      <c r="L992" s="16">
        <f t="shared" si="43"/>
        <v>1.5043640012354684E-2</v>
      </c>
    </row>
    <row r="993" spans="1:12" x14ac:dyDescent="0.35">
      <c r="A993" s="18">
        <v>43693</v>
      </c>
      <c r="B993" s="15">
        <v>263.6895751953125</v>
      </c>
      <c r="C993" s="15">
        <v>71.267562866210938</v>
      </c>
      <c r="D993" s="15">
        <v>142.7799987792969</v>
      </c>
      <c r="E993" s="15">
        <v>178.6659240722656</v>
      </c>
      <c r="F993" s="15">
        <v>134.32002258300781</v>
      </c>
      <c r="H993" s="16">
        <f t="shared" si="44"/>
        <v>1.197557655955867E-2</v>
      </c>
      <c r="I993" s="16">
        <f t="shared" si="44"/>
        <v>-3.1878636306598694E-3</v>
      </c>
      <c r="J993" s="16">
        <f t="shared" si="44"/>
        <v>-1.1765243129746363E-2</v>
      </c>
      <c r="K993" s="16">
        <f t="shared" si="43"/>
        <v>1.5779383502239779E-2</v>
      </c>
      <c r="L993" s="16">
        <f t="shared" si="43"/>
        <v>1.1807828055764479E-2</v>
      </c>
    </row>
    <row r="994" spans="1:12" x14ac:dyDescent="0.35">
      <c r="A994" s="18">
        <v>43696</v>
      </c>
      <c r="B994" s="15">
        <v>266.86639404296881</v>
      </c>
      <c r="C994" s="15">
        <v>71.040733337402344</v>
      </c>
      <c r="D994" s="15">
        <v>141.11000061035159</v>
      </c>
      <c r="E994" s="15">
        <v>181.50752258300781</v>
      </c>
      <c r="F994" s="15">
        <v>135.91545104980469</v>
      </c>
      <c r="H994" s="16">
        <f t="shared" si="44"/>
        <v>-7.6917663410375281E-3</v>
      </c>
      <c r="I994" s="16">
        <f t="shared" si="44"/>
        <v>2.5981498303568303E-3</v>
      </c>
      <c r="J994" s="16">
        <f t="shared" si="44"/>
        <v>7.7651532005101435E-3</v>
      </c>
      <c r="K994" s="16">
        <f t="shared" si="43"/>
        <v>-7.7785439580836174E-3</v>
      </c>
      <c r="L994" s="16">
        <f t="shared" si="43"/>
        <v>-7.676100449661871E-3</v>
      </c>
    </row>
    <row r="995" spans="1:12" x14ac:dyDescent="0.35">
      <c r="A995" s="18">
        <v>43697</v>
      </c>
      <c r="B995" s="15">
        <v>264.82159423828119</v>
      </c>
      <c r="C995" s="15">
        <v>71.225547790527344</v>
      </c>
      <c r="D995" s="15">
        <v>142.21000671386719</v>
      </c>
      <c r="E995" s="15">
        <v>180.10113525390619</v>
      </c>
      <c r="F995" s="15">
        <v>134.87614440917969</v>
      </c>
      <c r="H995" s="16">
        <f t="shared" si="44"/>
        <v>8.1023318164192559E-3</v>
      </c>
      <c r="I995" s="16">
        <f t="shared" si="44"/>
        <v>-4.7142142465561061E-4</v>
      </c>
      <c r="J995" s="16">
        <f t="shared" si="44"/>
        <v>-3.169437488516343E-3</v>
      </c>
      <c r="K995" s="16">
        <f t="shared" si="43"/>
        <v>8.8397466262034301E-3</v>
      </c>
      <c r="L995" s="16">
        <f t="shared" si="43"/>
        <v>8.4131968910476466E-3</v>
      </c>
    </row>
    <row r="996" spans="1:12" x14ac:dyDescent="0.35">
      <c r="A996" s="18">
        <v>43698</v>
      </c>
      <c r="B996" s="15">
        <v>266.97598266601563</v>
      </c>
      <c r="C996" s="15">
        <v>71.191978454589844</v>
      </c>
      <c r="D996" s="15">
        <v>141.75999450683591</v>
      </c>
      <c r="E996" s="15">
        <v>181.70024108886719</v>
      </c>
      <c r="F996" s="15">
        <v>136.01567077636719</v>
      </c>
      <c r="H996" s="16">
        <f t="shared" si="44"/>
        <v>-3.0787971669717865E-4</v>
      </c>
      <c r="I996" s="16">
        <f t="shared" si="44"/>
        <v>-1.8902733491002422E-3</v>
      </c>
      <c r="J996" s="16">
        <f t="shared" si="44"/>
        <v>-2.5427378094430401E-3</v>
      </c>
      <c r="K996" s="16">
        <f t="shared" si="43"/>
        <v>-3.2391420028322244E-3</v>
      </c>
      <c r="L996" s="16">
        <f t="shared" si="43"/>
        <v>-8.7115195314268481E-4</v>
      </c>
    </row>
    <row r="997" spans="1:12" x14ac:dyDescent="0.35">
      <c r="A997" s="18">
        <v>43699</v>
      </c>
      <c r="B997" s="15">
        <v>266.893798828125</v>
      </c>
      <c r="C997" s="15">
        <v>71.057533264160156</v>
      </c>
      <c r="D997" s="15">
        <v>141.3999938964844</v>
      </c>
      <c r="E997" s="15">
        <v>181.1126403808594</v>
      </c>
      <c r="F997" s="15">
        <v>135.89723205566409</v>
      </c>
      <c r="H997" s="16">
        <f t="shared" si="44"/>
        <v>-2.6022952129345567E-2</v>
      </c>
      <c r="I997" s="16">
        <f t="shared" si="44"/>
        <v>3.65856360381355E-3</v>
      </c>
      <c r="J997" s="16">
        <f t="shared" si="44"/>
        <v>1.9400435825568281E-2</v>
      </c>
      <c r="K997" s="16">
        <f t="shared" si="43"/>
        <v>-3.21571237489496E-2</v>
      </c>
      <c r="L997" s="16">
        <f t="shared" si="43"/>
        <v>-2.5546886262214793E-2</v>
      </c>
    </row>
    <row r="998" spans="1:12" x14ac:dyDescent="0.35">
      <c r="A998" s="18">
        <v>43700</v>
      </c>
      <c r="B998" s="15">
        <v>260.03802490234381</v>
      </c>
      <c r="C998" s="15">
        <v>71.317977905273438</v>
      </c>
      <c r="D998" s="15">
        <v>144.16999816894531</v>
      </c>
      <c r="E998" s="15">
        <v>175.3812255859375</v>
      </c>
      <c r="F998" s="15">
        <v>132.4694519042969</v>
      </c>
      <c r="H998" s="16">
        <f t="shared" si="44"/>
        <v>1.0997377013083157E-2</v>
      </c>
      <c r="I998" s="16">
        <f t="shared" si="44"/>
        <v>-5.8929680578217927E-4</v>
      </c>
      <c r="J998" s="16">
        <f t="shared" si="44"/>
        <v>1.3874512727587665E-4</v>
      </c>
      <c r="K998" s="16">
        <f t="shared" si="43"/>
        <v>1.499140340384662E-2</v>
      </c>
      <c r="L998" s="16">
        <f t="shared" si="43"/>
        <v>1.0065262855070225E-2</v>
      </c>
    </row>
    <row r="999" spans="1:12" x14ac:dyDescent="0.35">
      <c r="A999" s="18">
        <v>43703</v>
      </c>
      <c r="B999" s="15">
        <v>262.91354370117188</v>
      </c>
      <c r="C999" s="15">
        <v>71.275962829589844</v>
      </c>
      <c r="D999" s="15">
        <v>144.19000244140619</v>
      </c>
      <c r="E999" s="15">
        <v>178.0302429199219</v>
      </c>
      <c r="F999" s="15">
        <v>133.80952453613281</v>
      </c>
      <c r="H999" s="16">
        <f t="shared" si="44"/>
        <v>-3.931386677915435E-3</v>
      </c>
      <c r="I999" s="16">
        <f t="shared" si="44"/>
        <v>3.4123934483221729E-3</v>
      </c>
      <c r="J999" s="16">
        <f t="shared" si="44"/>
        <v>9.5252296402112066E-3</v>
      </c>
      <c r="K999" s="16">
        <f t="shared" si="43"/>
        <v>-2.1128997398796763E-3</v>
      </c>
      <c r="L999" s="16">
        <f t="shared" si="43"/>
        <v>-4.6436101616664704E-3</v>
      </c>
    </row>
    <row r="1000" spans="1:12" x14ac:dyDescent="0.35">
      <c r="A1000" s="18">
        <v>43704</v>
      </c>
      <c r="B1000" s="15">
        <v>261.8819580078125</v>
      </c>
      <c r="C1000" s="15">
        <v>71.519599914550781</v>
      </c>
      <c r="D1000" s="15">
        <v>145.57000732421881</v>
      </c>
      <c r="E1000" s="15">
        <v>177.65447998046881</v>
      </c>
      <c r="F1000" s="15">
        <v>133.1896057128906</v>
      </c>
      <c r="H1000" s="16">
        <f t="shared" si="44"/>
        <v>7.0175693990154799E-3</v>
      </c>
      <c r="I1000" s="16">
        <f t="shared" si="44"/>
        <v>3.5260728169801703E-4</v>
      </c>
      <c r="J1000" s="16">
        <f t="shared" si="44"/>
        <v>-2.8205133176773872E-3</v>
      </c>
      <c r="K1000" s="16">
        <f t="shared" si="43"/>
        <v>3.5725719056070803E-3</v>
      </c>
      <c r="L1000" s="16">
        <f t="shared" si="43"/>
        <v>7.0934707051337432E-3</v>
      </c>
    </row>
    <row r="1001" spans="1:12" x14ac:dyDescent="0.35">
      <c r="A1001" s="18">
        <v>43705</v>
      </c>
      <c r="B1001" s="15">
        <v>263.7261962890625</v>
      </c>
      <c r="C1001" s="15">
        <v>71.544822692871094</v>
      </c>
      <c r="D1001" s="15">
        <v>145.1600036621094</v>
      </c>
      <c r="E1001" s="15">
        <v>178.29029846191409</v>
      </c>
      <c r="F1001" s="15">
        <v>134.13774108886719</v>
      </c>
      <c r="H1001" s="16">
        <f t="shared" si="44"/>
        <v>1.2691946932587052E-2</v>
      </c>
      <c r="I1001" s="16">
        <f t="shared" si="44"/>
        <v>-5.8785459572239813E-4</v>
      </c>
      <c r="J1001" s="16">
        <f t="shared" si="44"/>
        <v>-7.1903555732530707E-3</v>
      </c>
      <c r="K1001" s="16">
        <f t="shared" si="43"/>
        <v>1.5174034723480534E-2</v>
      </c>
      <c r="L1001" s="16">
        <f t="shared" si="43"/>
        <v>1.3165818375434192E-2</v>
      </c>
    </row>
    <row r="1002" spans="1:12" x14ac:dyDescent="0.35">
      <c r="A1002" s="18">
        <v>43706</v>
      </c>
      <c r="B1002" s="15">
        <v>267.0947265625</v>
      </c>
      <c r="C1002" s="15">
        <v>71.502777099609375</v>
      </c>
      <c r="D1002" s="15">
        <v>144.1199951171875</v>
      </c>
      <c r="E1002" s="15">
        <v>181.01631164550781</v>
      </c>
      <c r="F1002" s="15">
        <v>135.91545104980469</v>
      </c>
      <c r="H1002" s="16">
        <f t="shared" si="44"/>
        <v>-4.4467482072759937E-4</v>
      </c>
      <c r="I1002" s="16">
        <f t="shared" si="44"/>
        <v>-1.1759105664202226E-4</v>
      </c>
      <c r="J1002" s="16">
        <f t="shared" si="44"/>
        <v>-2.5705723222454796E-3</v>
      </c>
      <c r="K1002" s="16">
        <f t="shared" si="43"/>
        <v>-2.3975271257895827E-3</v>
      </c>
      <c r="L1002" s="16">
        <f t="shared" si="43"/>
        <v>-3.3550939409801676E-4</v>
      </c>
    </row>
    <row r="1003" spans="1:12" x14ac:dyDescent="0.35">
      <c r="A1003" s="18">
        <v>43707</v>
      </c>
      <c r="B1003" s="15">
        <v>266.97598266601563</v>
      </c>
      <c r="C1003" s="15">
        <v>71.494369506835938</v>
      </c>
      <c r="D1003" s="15">
        <v>143.75</v>
      </c>
      <c r="E1003" s="15">
        <v>180.58283996582031</v>
      </c>
      <c r="F1003" s="15">
        <v>135.86985778808591</v>
      </c>
      <c r="H1003" s="16">
        <f t="shared" si="44"/>
        <v>-5.8642607955048517E-3</v>
      </c>
      <c r="I1003" s="16">
        <f t="shared" si="44"/>
        <v>9.1869884879855598E-4</v>
      </c>
      <c r="J1003" s="16">
        <f t="shared" si="44"/>
        <v>1.3817145553141903E-2</v>
      </c>
      <c r="K1003" s="16">
        <f t="shared" si="43"/>
        <v>-9.7557673695237278E-3</v>
      </c>
      <c r="L1003" s="16">
        <f t="shared" si="43"/>
        <v>-6.5295383491113029E-3</v>
      </c>
    </row>
    <row r="1004" spans="1:12" x14ac:dyDescent="0.35">
      <c r="A1004" s="18">
        <v>43711</v>
      </c>
      <c r="B1004" s="15">
        <v>265.41494750976563</v>
      </c>
      <c r="C1004" s="15">
        <v>71.560081481933594</v>
      </c>
      <c r="D1004" s="15">
        <v>145.75</v>
      </c>
      <c r="E1004" s="15">
        <v>178.8296813964844</v>
      </c>
      <c r="F1004" s="15">
        <v>134.98558044433591</v>
      </c>
      <c r="H1004" s="16">
        <f t="shared" si="44"/>
        <v>1.1286381487455407E-2</v>
      </c>
      <c r="I1004" s="16">
        <f t="shared" si="44"/>
        <v>1.8805225905100741E-3</v>
      </c>
      <c r="J1004" s="16">
        <f t="shared" si="44"/>
        <v>6.2241824051141956E-3</v>
      </c>
      <c r="K1004" s="16">
        <f t="shared" si="43"/>
        <v>1.4332643904283503E-2</v>
      </c>
      <c r="L1004" s="16">
        <f t="shared" si="43"/>
        <v>1.0613673209481785E-2</v>
      </c>
    </row>
    <row r="1005" spans="1:12" x14ac:dyDescent="0.35">
      <c r="A1005" s="18">
        <v>43712</v>
      </c>
      <c r="B1005" s="15">
        <v>268.427490234375</v>
      </c>
      <c r="C1005" s="15">
        <v>71.694778442382813</v>
      </c>
      <c r="D1005" s="15">
        <v>146.6600036621094</v>
      </c>
      <c r="E1005" s="15">
        <v>181.41123962402341</v>
      </c>
      <c r="F1005" s="15">
        <v>136.4259033203125</v>
      </c>
      <c r="H1005" s="16">
        <f t="shared" si="44"/>
        <v>1.2773477635378134E-2</v>
      </c>
      <c r="I1005" s="16">
        <f t="shared" si="44"/>
        <v>-5.1806926124239646E-3</v>
      </c>
      <c r="J1005" s="16">
        <f t="shared" si="44"/>
        <v>-2.4293839589282825E-2</v>
      </c>
      <c r="K1005" s="16">
        <f t="shared" si="43"/>
        <v>1.815314708880645E-2</v>
      </c>
      <c r="L1005" s="16">
        <f t="shared" si="43"/>
        <v>1.3276487418110917E-2</v>
      </c>
    </row>
    <row r="1006" spans="1:12" x14ac:dyDescent="0.35">
      <c r="A1006" s="18">
        <v>43713</v>
      </c>
      <c r="B1006" s="15">
        <v>271.87823486328119</v>
      </c>
      <c r="C1006" s="15">
        <v>71.324310302734375</v>
      </c>
      <c r="D1006" s="15">
        <v>143.13999938964841</v>
      </c>
      <c r="E1006" s="15">
        <v>184.7344970703125</v>
      </c>
      <c r="F1006" s="15">
        <v>138.2492370605469</v>
      </c>
      <c r="H1006" s="16">
        <f t="shared" si="44"/>
        <v>7.7185072566120542E-4</v>
      </c>
      <c r="I1006" s="16">
        <f t="shared" si="44"/>
        <v>1.1795851695791844E-3</v>
      </c>
      <c r="J1006" s="16">
        <f t="shared" si="44"/>
        <v>-8.5596623871837911E-3</v>
      </c>
      <c r="K1006" s="16">
        <f t="shared" si="43"/>
        <v>-9.9134260986448453E-4</v>
      </c>
      <c r="L1006" s="16">
        <f t="shared" si="43"/>
        <v>1.9743529519643713E-4</v>
      </c>
    </row>
    <row r="1007" spans="1:12" x14ac:dyDescent="0.35">
      <c r="A1007" s="18">
        <v>43714</v>
      </c>
      <c r="B1007" s="15">
        <v>272.08816528320313</v>
      </c>
      <c r="C1007" s="15">
        <v>71.408493041992188</v>
      </c>
      <c r="D1007" s="15">
        <v>141.91999816894531</v>
      </c>
      <c r="E1007" s="15">
        <v>184.55145263671881</v>
      </c>
      <c r="F1007" s="15">
        <v>138.27653503417969</v>
      </c>
      <c r="H1007" s="16">
        <f t="shared" si="44"/>
        <v>5.0336232850336387E-4</v>
      </c>
      <c r="I1007" s="16">
        <f t="shared" si="44"/>
        <v>-4.6088513587189727E-3</v>
      </c>
      <c r="J1007" s="16">
        <f t="shared" si="44"/>
        <v>-3.7414803722947095E-3</v>
      </c>
      <c r="K1007" s="16">
        <f t="shared" si="43"/>
        <v>-2.0898624978578574E-3</v>
      </c>
      <c r="L1007" s="16">
        <f t="shared" si="43"/>
        <v>5.9339552213517476E-4</v>
      </c>
    </row>
    <row r="1008" spans="1:12" x14ac:dyDescent="0.35">
      <c r="A1008" s="18">
        <v>43717</v>
      </c>
      <c r="B1008" s="15">
        <v>272.22515869140619</v>
      </c>
      <c r="C1008" s="15">
        <v>71.08013916015625</v>
      </c>
      <c r="D1008" s="15">
        <v>141.38999938964841</v>
      </c>
      <c r="E1008" s="15">
        <v>184.1661682128906</v>
      </c>
      <c r="F1008" s="15">
        <v>138.3586120605469</v>
      </c>
      <c r="H1008" s="16">
        <f t="shared" si="44"/>
        <v>-2.3477370960689429E-4</v>
      </c>
      <c r="I1008" s="16">
        <f t="shared" si="44"/>
        <v>-5.1067120503078753E-3</v>
      </c>
      <c r="J1008" s="16">
        <f t="shared" si="44"/>
        <v>-8.5947664634489288E-3</v>
      </c>
      <c r="K1008" s="16">
        <f t="shared" si="43"/>
        <v>-2.8807317405334576E-3</v>
      </c>
      <c r="L1008" s="16">
        <f t="shared" si="43"/>
        <v>9.8765984472487587E-4</v>
      </c>
    </row>
    <row r="1009" spans="1:12" x14ac:dyDescent="0.35">
      <c r="A1009" s="18">
        <v>43718</v>
      </c>
      <c r="B1009" s="15">
        <v>272.1612548828125</v>
      </c>
      <c r="C1009" s="15">
        <v>70.71807861328125</v>
      </c>
      <c r="D1009" s="15">
        <v>140.17999267578119</v>
      </c>
      <c r="E1009" s="15">
        <v>183.63639831542969</v>
      </c>
      <c r="F1009" s="15">
        <v>138.4953308105469</v>
      </c>
      <c r="H1009" s="16">
        <f t="shared" si="44"/>
        <v>7.0858162468383544E-3</v>
      </c>
      <c r="I1009" s="16">
        <f t="shared" si="44"/>
        <v>-5.9505291996291129E-4</v>
      </c>
      <c r="J1009" s="16">
        <f t="shared" si="44"/>
        <v>6.0453662250161142E-3</v>
      </c>
      <c r="K1009" s="16">
        <f t="shared" si="43"/>
        <v>9.3456343972071441E-3</v>
      </c>
      <c r="L1009" s="16">
        <f t="shared" si="43"/>
        <v>8.1294369287162604E-3</v>
      </c>
    </row>
    <row r="1010" spans="1:12" x14ac:dyDescent="0.35">
      <c r="A1010" s="18">
        <v>43719</v>
      </c>
      <c r="B1010" s="15">
        <v>274.09658813476563</v>
      </c>
      <c r="C1010" s="15">
        <v>70.676010131835938</v>
      </c>
      <c r="D1010" s="15">
        <v>141.0299987792969</v>
      </c>
      <c r="E1010" s="15">
        <v>185.36064147949219</v>
      </c>
      <c r="F1010" s="15">
        <v>139.62580871582031</v>
      </c>
      <c r="H1010" s="16">
        <f t="shared" si="44"/>
        <v>3.4576533465380207E-3</v>
      </c>
      <c r="I1010" s="16">
        <f t="shared" si="44"/>
        <v>-1.9080881136584742E-3</v>
      </c>
      <c r="J1010" s="16">
        <f t="shared" si="44"/>
        <v>2.0542492696135994E-3</v>
      </c>
      <c r="K1010" s="16">
        <f t="shared" si="43"/>
        <v>4.1487619749965964E-3</v>
      </c>
      <c r="L1010" s="16">
        <f t="shared" si="43"/>
        <v>2.9984997242977081E-3</v>
      </c>
    </row>
    <row r="1011" spans="1:12" x14ac:dyDescent="0.35">
      <c r="A1011" s="18">
        <v>43720</v>
      </c>
      <c r="B1011" s="15">
        <v>275.04595947265619</v>
      </c>
      <c r="C1011" s="15">
        <v>70.541282653808594</v>
      </c>
      <c r="D1011" s="15">
        <v>141.32000732421881</v>
      </c>
      <c r="E1011" s="15">
        <v>186.1312561035156</v>
      </c>
      <c r="F1011" s="15">
        <v>140.04510498046881</v>
      </c>
      <c r="H1011" s="16">
        <f t="shared" si="44"/>
        <v>-6.6383896579655572E-4</v>
      </c>
      <c r="I1011" s="16">
        <f t="shared" si="44"/>
        <v>-5.7459893298480386E-3</v>
      </c>
      <c r="J1011" s="16">
        <f t="shared" si="44"/>
        <v>-8.3136402572183982E-3</v>
      </c>
      <c r="K1011" s="16">
        <f t="shared" si="43"/>
        <v>-3.5774634626593231E-3</v>
      </c>
      <c r="L1011" s="16">
        <f t="shared" si="43"/>
        <v>-9.7683387710582816E-4</v>
      </c>
    </row>
    <row r="1012" spans="1:12" x14ac:dyDescent="0.35">
      <c r="A1012" s="18">
        <v>43721</v>
      </c>
      <c r="B1012" s="15">
        <v>274.86343383789063</v>
      </c>
      <c r="C1012" s="15">
        <v>70.137115478515625</v>
      </c>
      <c r="D1012" s="15">
        <v>140.1499938964844</v>
      </c>
      <c r="E1012" s="15">
        <v>185.46656799316409</v>
      </c>
      <c r="F1012" s="15">
        <v>139.90837097167969</v>
      </c>
      <c r="H1012" s="16">
        <f t="shared" si="44"/>
        <v>-3.0936946591568408E-3</v>
      </c>
      <c r="I1012" s="16">
        <f t="shared" si="44"/>
        <v>2.6378718615819156E-3</v>
      </c>
      <c r="J1012" s="16">
        <f t="shared" si="44"/>
        <v>8.3136402572184694E-3</v>
      </c>
      <c r="K1012" s="16">
        <f t="shared" si="43"/>
        <v>-4.4766589201235673E-3</v>
      </c>
      <c r="L1012" s="16">
        <f t="shared" si="43"/>
        <v>-2.0312828363900338E-3</v>
      </c>
    </row>
    <row r="1013" spans="1:12" x14ac:dyDescent="0.35">
      <c r="A1013" s="18">
        <v>43724</v>
      </c>
      <c r="B1013" s="15">
        <v>274.014404296875</v>
      </c>
      <c r="C1013" s="15">
        <v>70.322372436523438</v>
      </c>
      <c r="D1013" s="15">
        <v>141.32000732421881</v>
      </c>
      <c r="E1013" s="15">
        <v>184.6381530761719</v>
      </c>
      <c r="F1013" s="15">
        <v>139.62446594238281</v>
      </c>
      <c r="H1013" s="16">
        <f t="shared" si="44"/>
        <v>2.5286238175794284E-3</v>
      </c>
      <c r="I1013" s="16">
        <f t="shared" si="44"/>
        <v>2.2721623945272042E-3</v>
      </c>
      <c r="J1013" s="16">
        <f t="shared" si="44"/>
        <v>1.9793500454067213E-3</v>
      </c>
      <c r="K1013" s="16">
        <f t="shared" si="43"/>
        <v>4.7883406578378184E-3</v>
      </c>
      <c r="L1013" s="16">
        <f t="shared" si="43"/>
        <v>2.4240496513570852E-3</v>
      </c>
    </row>
    <row r="1014" spans="1:12" x14ac:dyDescent="0.35">
      <c r="A1014" s="18">
        <v>43725</v>
      </c>
      <c r="B1014" s="15">
        <v>274.70816040039063</v>
      </c>
      <c r="C1014" s="15">
        <v>70.482337951660156</v>
      </c>
      <c r="D1014" s="15">
        <v>141.6000061035156</v>
      </c>
      <c r="E1014" s="15">
        <v>185.5243835449219</v>
      </c>
      <c r="F1014" s="15">
        <v>139.96333312988281</v>
      </c>
      <c r="H1014" s="16">
        <f t="shared" si="44"/>
        <v>5.9815668246142729E-4</v>
      </c>
      <c r="I1014" s="16">
        <f t="shared" si="44"/>
        <v>7.1665295959754674E-4</v>
      </c>
      <c r="J1014" s="16">
        <f t="shared" si="44"/>
        <v>-6.3051418491640414E-3</v>
      </c>
      <c r="K1014" s="16">
        <f t="shared" si="43"/>
        <v>-4.1518583699727709E-4</v>
      </c>
      <c r="L1014" s="16">
        <f t="shared" si="43"/>
        <v>-1.3094147648806825E-4</v>
      </c>
    </row>
    <row r="1015" spans="1:12" x14ac:dyDescent="0.35">
      <c r="A1015" s="18">
        <v>43726</v>
      </c>
      <c r="B1015" s="15">
        <v>274.87252807617188</v>
      </c>
      <c r="C1015" s="15">
        <v>70.532867431640625</v>
      </c>
      <c r="D1015" s="15">
        <v>140.71000671386719</v>
      </c>
      <c r="E1015" s="15">
        <v>185.44737243652341</v>
      </c>
      <c r="F1015" s="15">
        <v>139.94500732421881</v>
      </c>
      <c r="H1015" s="16">
        <f t="shared" si="44"/>
        <v>-6.6949999533727473E-5</v>
      </c>
      <c r="I1015" s="16">
        <f t="shared" si="44"/>
        <v>1.4316589695200679E-3</v>
      </c>
      <c r="J1015" s="16">
        <f t="shared" si="44"/>
        <v>4.0426457009610844E-3</v>
      </c>
      <c r="K1015" s="16">
        <f t="shared" si="43"/>
        <v>1.6604493735844471E-3</v>
      </c>
      <c r="L1015" s="16">
        <f t="shared" si="43"/>
        <v>-6.5463737424670265E-4</v>
      </c>
    </row>
    <row r="1016" spans="1:12" x14ac:dyDescent="0.35">
      <c r="A1016" s="18">
        <v>43727</v>
      </c>
      <c r="B1016" s="15">
        <v>274.8541259765625</v>
      </c>
      <c r="C1016" s="15">
        <v>70.633918762207031</v>
      </c>
      <c r="D1016" s="15">
        <v>141.2799987792969</v>
      </c>
      <c r="E1016" s="15">
        <v>185.75555419921881</v>
      </c>
      <c r="F1016" s="15">
        <v>139.8534240722656</v>
      </c>
      <c r="H1016" s="16">
        <f t="shared" si="44"/>
        <v>-4.7352683121811385E-3</v>
      </c>
      <c r="I1016" s="16">
        <f t="shared" si="44"/>
        <v>3.5690757135120638E-3</v>
      </c>
      <c r="J1016" s="16">
        <f t="shared" si="44"/>
        <v>1.1751169204553186E-2</v>
      </c>
      <c r="K1016" s="16">
        <f t="shared" si="43"/>
        <v>-1.0635079925934415E-2</v>
      </c>
      <c r="L1016" s="16">
        <f t="shared" si="43"/>
        <v>-4.3971158815173435E-3</v>
      </c>
    </row>
    <row r="1017" spans="1:12" x14ac:dyDescent="0.35">
      <c r="A1017" s="18">
        <v>43728</v>
      </c>
      <c r="B1017" s="15">
        <v>273.55569458007813</v>
      </c>
      <c r="C1017" s="15">
        <v>70.886466979980469</v>
      </c>
      <c r="D1017" s="15">
        <v>142.94999694824219</v>
      </c>
      <c r="E1017" s="15">
        <v>183.7904968261719</v>
      </c>
      <c r="F1017" s="15">
        <v>139.23982238769531</v>
      </c>
      <c r="H1017" s="16">
        <f t="shared" si="44"/>
        <v>-2.3497069110949836E-4</v>
      </c>
      <c r="I1017" s="16">
        <f t="shared" si="44"/>
        <v>7.127838263914591E-4</v>
      </c>
      <c r="J1017" s="16">
        <f t="shared" si="44"/>
        <v>5.5807822575675223E-3</v>
      </c>
      <c r="K1017" s="16">
        <f t="shared" si="43"/>
        <v>4.410025163291754E-4</v>
      </c>
      <c r="L1017" s="16">
        <f t="shared" si="43"/>
        <v>5.2609541792548206E-4</v>
      </c>
    </row>
    <row r="1018" spans="1:12" x14ac:dyDescent="0.35">
      <c r="A1018" s="18">
        <v>43731</v>
      </c>
      <c r="B1018" s="15">
        <v>273.49142456054688</v>
      </c>
      <c r="C1018" s="15">
        <v>70.93701171875</v>
      </c>
      <c r="D1018" s="15">
        <v>143.75</v>
      </c>
      <c r="E1018" s="15">
        <v>183.87156677246091</v>
      </c>
      <c r="F1018" s="15">
        <v>139.31309509277341</v>
      </c>
      <c r="H1018" s="16">
        <f t="shared" si="44"/>
        <v>-7.8778388654759182E-3</v>
      </c>
      <c r="I1018" s="16">
        <f t="shared" si="44"/>
        <v>3.4363878061636857E-3</v>
      </c>
      <c r="J1018" s="16">
        <f t="shared" si="44"/>
        <v>5.272991620432709E-3</v>
      </c>
      <c r="K1018" s="16">
        <f t="shared" si="43"/>
        <v>-1.3369577573461197E-2</v>
      </c>
      <c r="L1018" s="16">
        <f t="shared" si="43"/>
        <v>-9.3122042343882945E-3</v>
      </c>
    </row>
    <row r="1019" spans="1:12" x14ac:dyDescent="0.35">
      <c r="A1019" s="18">
        <v>43732</v>
      </c>
      <c r="B1019" s="15">
        <v>271.34536743164063</v>
      </c>
      <c r="C1019" s="15">
        <v>71.181198120117188</v>
      </c>
      <c r="D1019" s="15">
        <v>144.50999450683591</v>
      </c>
      <c r="E1019" s="15">
        <v>181.42964172363281</v>
      </c>
      <c r="F1019" s="15">
        <v>138.02180480957031</v>
      </c>
      <c r="H1019" s="16">
        <f t="shared" si="44"/>
        <v>5.8974747562160123E-3</v>
      </c>
      <c r="I1019" s="16">
        <f t="shared" si="44"/>
        <v>-4.7431336819874388E-3</v>
      </c>
      <c r="J1019" s="16">
        <f t="shared" si="44"/>
        <v>-1.8719501081169241E-2</v>
      </c>
      <c r="K1019" s="16">
        <f t="shared" si="43"/>
        <v>1.1162368074313747E-2</v>
      </c>
      <c r="L1019" s="16">
        <f t="shared" si="43"/>
        <v>6.2836435320656183E-3</v>
      </c>
    </row>
    <row r="1020" spans="1:12" x14ac:dyDescent="0.35">
      <c r="A1020" s="18">
        <v>43733</v>
      </c>
      <c r="B1020" s="15">
        <v>272.95034790039063</v>
      </c>
      <c r="C1020" s="15">
        <v>70.844375610351563</v>
      </c>
      <c r="D1020" s="15">
        <v>141.83000183105469</v>
      </c>
      <c r="E1020" s="15">
        <v>183.46617126464841</v>
      </c>
      <c r="F1020" s="15">
        <v>138.8918151855469</v>
      </c>
      <c r="H1020" s="16">
        <f t="shared" si="44"/>
        <v>-2.0854605080410523E-3</v>
      </c>
      <c r="I1020" s="16">
        <f t="shared" si="44"/>
        <v>1.6624635464193972E-3</v>
      </c>
      <c r="J1020" s="16">
        <f t="shared" si="44"/>
        <v>-2.8212781803849568E-4</v>
      </c>
      <c r="K1020" s="16">
        <f t="shared" si="43"/>
        <v>-3.6895433004628365E-3</v>
      </c>
      <c r="L1020" s="16">
        <f t="shared" si="43"/>
        <v>-3.0375403618276625E-3</v>
      </c>
    </row>
    <row r="1021" spans="1:12" x14ac:dyDescent="0.35">
      <c r="A1021" s="18">
        <v>43734</v>
      </c>
      <c r="B1021" s="15">
        <v>272.3817138671875</v>
      </c>
      <c r="C1021" s="15">
        <v>70.962249755859375</v>
      </c>
      <c r="D1021" s="15">
        <v>141.78999328613281</v>
      </c>
      <c r="E1021" s="15">
        <v>182.79051208496091</v>
      </c>
      <c r="F1021" s="15">
        <v>138.47056579589841</v>
      </c>
      <c r="H1021" s="16">
        <f t="shared" si="44"/>
        <v>-5.401545156946558E-3</v>
      </c>
      <c r="I1021" s="16">
        <f t="shared" si="44"/>
        <v>1.0671462225463717E-3</v>
      </c>
      <c r="J1021" s="16">
        <f t="shared" si="44"/>
        <v>-5.1617279262243885E-3</v>
      </c>
      <c r="K1021" s="16">
        <f t="shared" si="43"/>
        <v>-1.2486476843003309E-2</v>
      </c>
      <c r="L1021" s="16">
        <f t="shared" si="43"/>
        <v>-5.9704210293188989E-3</v>
      </c>
    </row>
    <row r="1022" spans="1:12" x14ac:dyDescent="0.35">
      <c r="A1022" s="18">
        <v>43735</v>
      </c>
      <c r="B1022" s="15">
        <v>270.91439819335938</v>
      </c>
      <c r="C1022" s="15">
        <v>71.038017272949219</v>
      </c>
      <c r="D1022" s="15">
        <v>141.05999755859381</v>
      </c>
      <c r="E1022" s="15">
        <v>180.52229309082031</v>
      </c>
      <c r="F1022" s="15">
        <v>137.64630126953119</v>
      </c>
      <c r="H1022" s="16">
        <f t="shared" si="44"/>
        <v>4.6268264132698703E-3</v>
      </c>
      <c r="I1022" s="16">
        <f t="shared" si="44"/>
        <v>7.1137105862489631E-4</v>
      </c>
      <c r="J1022" s="16">
        <f t="shared" si="44"/>
        <v>-1.5647105922204013E-2</v>
      </c>
      <c r="K1022" s="16">
        <f t="shared" si="43"/>
        <v>9.4723454914098643E-3</v>
      </c>
      <c r="L1022" s="16">
        <f t="shared" si="43"/>
        <v>4.6464314033479049E-3</v>
      </c>
    </row>
    <row r="1023" spans="1:12" x14ac:dyDescent="0.35">
      <c r="A1023" s="18">
        <v>43738</v>
      </c>
      <c r="B1023" s="15">
        <v>272.1707763671875</v>
      </c>
      <c r="C1023" s="15">
        <v>71.088569641113281</v>
      </c>
      <c r="D1023" s="15">
        <v>138.8699951171875</v>
      </c>
      <c r="E1023" s="15">
        <v>182.2403869628906</v>
      </c>
      <c r="F1023" s="15">
        <v>138.287353515625</v>
      </c>
      <c r="H1023" s="16">
        <f t="shared" si="44"/>
        <v>-1.1965805207380593E-2</v>
      </c>
      <c r="I1023" s="16">
        <f t="shared" si="44"/>
        <v>9.7294053236485298E-4</v>
      </c>
      <c r="J1023" s="16">
        <f t="shared" si="44"/>
        <v>5.4578933734982836E-3</v>
      </c>
      <c r="K1023" s="16">
        <f t="shared" si="43"/>
        <v>-8.1898976669092394E-3</v>
      </c>
      <c r="L1023" s="16">
        <f t="shared" si="43"/>
        <v>-1.3132037822825075E-2</v>
      </c>
    </row>
    <row r="1024" spans="1:12" x14ac:dyDescent="0.35">
      <c r="A1024" s="18">
        <v>43739</v>
      </c>
      <c r="B1024" s="15">
        <v>268.93344116210938</v>
      </c>
      <c r="C1024" s="15">
        <v>71.157768249511719</v>
      </c>
      <c r="D1024" s="15">
        <v>139.6300048828125</v>
      </c>
      <c r="E1024" s="15">
        <v>180.75395202636719</v>
      </c>
      <c r="F1024" s="15">
        <v>136.48323059082031</v>
      </c>
      <c r="H1024" s="16">
        <f t="shared" si="44"/>
        <v>-1.7822629479062279E-2</v>
      </c>
      <c r="I1024" s="16">
        <f t="shared" si="44"/>
        <v>2.2505449509671034E-3</v>
      </c>
      <c r="J1024" s="16">
        <f t="shared" si="44"/>
        <v>1.1606023170116605E-2</v>
      </c>
      <c r="K1024" s="16">
        <f t="shared" si="43"/>
        <v>-1.7344027252672145E-2</v>
      </c>
      <c r="L1024" s="16">
        <f t="shared" si="43"/>
        <v>-1.6371525842000769E-2</v>
      </c>
    </row>
    <row r="1025" spans="1:12" x14ac:dyDescent="0.35">
      <c r="A1025" s="18">
        <v>43740</v>
      </c>
      <c r="B1025" s="15">
        <v>264.18280029296881</v>
      </c>
      <c r="C1025" s="15">
        <v>71.318092346191406</v>
      </c>
      <c r="D1025" s="15">
        <v>141.25999450683591</v>
      </c>
      <c r="E1025" s="15">
        <v>177.64598083496091</v>
      </c>
      <c r="F1025" s="15">
        <v>134.26698303222659</v>
      </c>
      <c r="H1025" s="16">
        <f t="shared" si="44"/>
        <v>8.1593116802687604E-3</v>
      </c>
      <c r="I1025" s="16">
        <f t="shared" si="44"/>
        <v>3.3068547262515178E-3</v>
      </c>
      <c r="J1025" s="16">
        <f t="shared" si="44"/>
        <v>4.5204160593300177E-3</v>
      </c>
      <c r="K1025" s="16">
        <f t="shared" si="43"/>
        <v>1.0915447779531946E-2</v>
      </c>
      <c r="L1025" s="16">
        <f t="shared" si="43"/>
        <v>8.0841116288317902E-3</v>
      </c>
    </row>
    <row r="1026" spans="1:12" x14ac:dyDescent="0.35">
      <c r="A1026" s="18">
        <v>43741</v>
      </c>
      <c r="B1026" s="15">
        <v>266.34716796875</v>
      </c>
      <c r="C1026" s="15">
        <v>71.5543212890625</v>
      </c>
      <c r="D1026" s="15">
        <v>141.8999938964844</v>
      </c>
      <c r="E1026" s="15">
        <v>179.59568786621091</v>
      </c>
      <c r="F1026" s="15">
        <v>135.3568115234375</v>
      </c>
      <c r="H1026" s="16">
        <f t="shared" si="44"/>
        <v>1.3441401561327809E-2</v>
      </c>
      <c r="I1026" s="16">
        <f t="shared" si="44"/>
        <v>1.6503469063351205E-3</v>
      </c>
      <c r="J1026" s="16">
        <f t="shared" si="44"/>
        <v>0</v>
      </c>
      <c r="K1026" s="16">
        <f t="shared" si="43"/>
        <v>1.4618477140049596E-2</v>
      </c>
      <c r="L1026" s="16">
        <f t="shared" si="43"/>
        <v>1.2973237259162699E-2</v>
      </c>
    </row>
    <row r="1027" spans="1:12" x14ac:dyDescent="0.35">
      <c r="A1027" s="18">
        <v>43742</v>
      </c>
      <c r="B1027" s="15">
        <v>269.951416015625</v>
      </c>
      <c r="C1027" s="15">
        <v>71.672508239746094</v>
      </c>
      <c r="D1027" s="15">
        <v>141.8999938964844</v>
      </c>
      <c r="E1027" s="15">
        <v>182.2403869628906</v>
      </c>
      <c r="F1027" s="15">
        <v>137.124267578125</v>
      </c>
      <c r="H1027" s="16">
        <f t="shared" si="44"/>
        <v>-4.3239403540598284E-3</v>
      </c>
      <c r="I1027" s="16">
        <f t="shared" si="44"/>
        <v>-2.5934526163913429E-3</v>
      </c>
      <c r="J1027" s="16">
        <f t="shared" si="44"/>
        <v>-8.5636354109896694E-3</v>
      </c>
      <c r="K1027" s="16">
        <f t="shared" si="44"/>
        <v>-3.0235797422341537E-3</v>
      </c>
      <c r="L1027" s="16">
        <f t="shared" si="44"/>
        <v>-3.9479934562897763E-3</v>
      </c>
    </row>
    <row r="1028" spans="1:12" x14ac:dyDescent="0.35">
      <c r="A1028" s="18">
        <v>43745</v>
      </c>
      <c r="B1028" s="15">
        <v>268.78668212890619</v>
      </c>
      <c r="C1028" s="15">
        <v>71.486869812011719</v>
      </c>
      <c r="D1028" s="15">
        <v>140.69000244140619</v>
      </c>
      <c r="E1028" s="15">
        <v>181.69020080566409</v>
      </c>
      <c r="F1028" s="15">
        <v>136.58396911621091</v>
      </c>
      <c r="H1028" s="16">
        <f t="shared" ref="H1028:K1091" si="45">LN(B1029/B1028)</f>
        <v>-1.5646657069767599E-2</v>
      </c>
      <c r="I1028" s="16">
        <f t="shared" si="45"/>
        <v>4.7129067668275608E-4</v>
      </c>
      <c r="J1028" s="16">
        <f t="shared" si="45"/>
        <v>8.7045999170378315E-3</v>
      </c>
      <c r="K1028" s="16">
        <f t="shared" si="45"/>
        <v>-1.5094050479814713E-2</v>
      </c>
      <c r="L1028" s="16">
        <f t="shared" ref="L1028:L1091" si="46">LN(F1029/F1028)</f>
        <v>-1.6290990849615966E-2</v>
      </c>
    </row>
    <row r="1029" spans="1:12" x14ac:dyDescent="0.35">
      <c r="A1029" s="18">
        <v>43746</v>
      </c>
      <c r="B1029" s="15">
        <v>264.61380004882813</v>
      </c>
      <c r="C1029" s="15">
        <v>71.52056884765625</v>
      </c>
      <c r="D1029" s="15">
        <v>141.91999816894531</v>
      </c>
      <c r="E1029" s="15">
        <v>178.9683532714844</v>
      </c>
      <c r="F1029" s="15">
        <v>134.37690734863281</v>
      </c>
      <c r="H1029" s="16">
        <f t="shared" si="45"/>
        <v>9.4518208576266204E-3</v>
      </c>
      <c r="I1029" s="16">
        <f t="shared" si="45"/>
        <v>-1.1797648189865073E-3</v>
      </c>
      <c r="J1029" s="16">
        <f t="shared" si="45"/>
        <v>9.1562412463495034E-4</v>
      </c>
      <c r="K1029" s="16">
        <f t="shared" si="45"/>
        <v>9.7143024480035745E-3</v>
      </c>
      <c r="L1029" s="16">
        <f t="shared" si="46"/>
        <v>9.1582719602321706E-3</v>
      </c>
    </row>
    <row r="1030" spans="1:12" x14ac:dyDescent="0.35">
      <c r="A1030" s="18">
        <v>43747</v>
      </c>
      <c r="B1030" s="15">
        <v>267.12673950195313</v>
      </c>
      <c r="C1030" s="15">
        <v>71.436241149902344</v>
      </c>
      <c r="D1030" s="15">
        <v>142.05000305175781</v>
      </c>
      <c r="E1030" s="15">
        <v>180.71537780761719</v>
      </c>
      <c r="F1030" s="15">
        <v>135.61322021484381</v>
      </c>
      <c r="H1030" s="16">
        <f t="shared" si="45"/>
        <v>6.7406928036666605E-3</v>
      </c>
      <c r="I1030" s="16">
        <f t="shared" si="45"/>
        <v>-3.0762965527313252E-3</v>
      </c>
      <c r="J1030" s="16">
        <f t="shared" si="45"/>
        <v>-8.7676831929653712E-3</v>
      </c>
      <c r="K1030" s="16">
        <f t="shared" si="45"/>
        <v>7.714420242285326E-3</v>
      </c>
      <c r="L1030" s="16">
        <f t="shared" si="46"/>
        <v>6.394889299679977E-3</v>
      </c>
    </row>
    <row r="1031" spans="1:12" x14ac:dyDescent="0.35">
      <c r="A1031" s="18">
        <v>43748</v>
      </c>
      <c r="B1031" s="15">
        <v>268.93344116210938</v>
      </c>
      <c r="C1031" s="15">
        <v>71.216819763183594</v>
      </c>
      <c r="D1031" s="15">
        <v>140.80999755859381</v>
      </c>
      <c r="E1031" s="15">
        <v>182.11488342285159</v>
      </c>
      <c r="F1031" s="15">
        <v>136.48323059082031</v>
      </c>
      <c r="H1031" s="16">
        <f t="shared" si="45"/>
        <v>1.0313489131878188E-2</v>
      </c>
      <c r="I1031" s="16">
        <f t="shared" si="45"/>
        <v>-3.6795757568679394E-3</v>
      </c>
      <c r="J1031" s="16">
        <f t="shared" si="45"/>
        <v>-5.5547699406730102E-3</v>
      </c>
      <c r="K1031" s="16">
        <f t="shared" si="45"/>
        <v>1.2796778539481404E-2</v>
      </c>
      <c r="L1031" s="16">
        <f t="shared" si="46"/>
        <v>1.0679126788223834E-2</v>
      </c>
    </row>
    <row r="1032" spans="1:12" x14ac:dyDescent="0.35">
      <c r="A1032" s="18">
        <v>43749</v>
      </c>
      <c r="B1032" s="15">
        <v>271.721435546875</v>
      </c>
      <c r="C1032" s="15">
        <v>70.955253601074219</v>
      </c>
      <c r="D1032" s="15">
        <v>140.0299987792969</v>
      </c>
      <c r="E1032" s="15">
        <v>184.46034240722659</v>
      </c>
      <c r="F1032" s="15">
        <v>137.94856262207031</v>
      </c>
      <c r="H1032" s="16">
        <f t="shared" si="45"/>
        <v>-1.1144188474145216E-3</v>
      </c>
      <c r="I1032" s="16">
        <f t="shared" si="45"/>
        <v>1.6630882239050946E-3</v>
      </c>
      <c r="J1032" s="16">
        <f t="shared" si="45"/>
        <v>3.9911503934199656E-3</v>
      </c>
      <c r="K1032" s="16">
        <f t="shared" si="45"/>
        <v>-1.0448238974573331E-4</v>
      </c>
      <c r="L1032" s="16">
        <f t="shared" si="46"/>
        <v>-9.3012767492127435E-4</v>
      </c>
    </row>
    <row r="1033" spans="1:12" x14ac:dyDescent="0.35">
      <c r="A1033" s="18">
        <v>43752</v>
      </c>
      <c r="B1033" s="15">
        <v>271.41879272460938</v>
      </c>
      <c r="C1033" s="15">
        <v>71.073356628417969</v>
      </c>
      <c r="D1033" s="15">
        <v>140.5899963378906</v>
      </c>
      <c r="E1033" s="15">
        <v>184.4410705566406</v>
      </c>
      <c r="F1033" s="15">
        <v>137.8203125</v>
      </c>
      <c r="H1033" s="16">
        <f t="shared" si="45"/>
        <v>9.8517474846041096E-3</v>
      </c>
      <c r="I1033" s="16">
        <f t="shared" si="45"/>
        <v>-2.6152365271705242E-3</v>
      </c>
      <c r="J1033" s="16">
        <f t="shared" si="45"/>
        <v>-6.9950016712762688E-3</v>
      </c>
      <c r="K1033" s="16">
        <f t="shared" si="45"/>
        <v>1.2636236463370844E-2</v>
      </c>
      <c r="L1033" s="16">
        <f t="shared" si="46"/>
        <v>9.786555566002015E-3</v>
      </c>
    </row>
    <row r="1034" spans="1:12" x14ac:dyDescent="0.35">
      <c r="A1034" s="18">
        <v>43753</v>
      </c>
      <c r="B1034" s="15">
        <v>274.10595703125</v>
      </c>
      <c r="C1034" s="15">
        <v>70.887725830078125</v>
      </c>
      <c r="D1034" s="15">
        <v>139.61000061035159</v>
      </c>
      <c r="E1034" s="15">
        <v>186.7864990234375</v>
      </c>
      <c r="F1034" s="15">
        <v>139.17572021484381</v>
      </c>
      <c r="H1034" s="16">
        <f t="shared" si="45"/>
        <v>-1.6075209620613393E-3</v>
      </c>
      <c r="I1034" s="16">
        <f t="shared" si="45"/>
        <v>1.0709552941375947E-3</v>
      </c>
      <c r="J1034" s="16">
        <f t="shared" si="45"/>
        <v>5.7139148357037766E-3</v>
      </c>
      <c r="K1034" s="16">
        <f t="shared" si="45"/>
        <v>-2.4833853332498004E-3</v>
      </c>
      <c r="L1034" s="16">
        <f t="shared" si="46"/>
        <v>-1.8440370003217435E-3</v>
      </c>
    </row>
    <row r="1035" spans="1:12" x14ac:dyDescent="0.35">
      <c r="A1035" s="18">
        <v>43754</v>
      </c>
      <c r="B1035" s="15">
        <v>273.66567993164063</v>
      </c>
      <c r="C1035" s="15">
        <v>70.96368408203125</v>
      </c>
      <c r="D1035" s="15">
        <v>140.4100036621094</v>
      </c>
      <c r="E1035" s="15">
        <v>186.3232116699219</v>
      </c>
      <c r="F1035" s="15">
        <v>138.9193115234375</v>
      </c>
      <c r="H1035" s="16">
        <f t="shared" si="45"/>
        <v>2.9446502589953287E-3</v>
      </c>
      <c r="I1035" s="16">
        <f t="shared" si="45"/>
        <v>0</v>
      </c>
      <c r="J1035" s="16">
        <f t="shared" si="45"/>
        <v>1.4233647353723328E-3</v>
      </c>
      <c r="K1035" s="16">
        <f t="shared" si="45"/>
        <v>2.6384229661273141E-3</v>
      </c>
      <c r="L1035" s="16">
        <f t="shared" si="46"/>
        <v>3.2909637172458673E-3</v>
      </c>
    </row>
    <row r="1036" spans="1:12" x14ac:dyDescent="0.35">
      <c r="A1036" s="18">
        <v>43755</v>
      </c>
      <c r="B1036" s="15">
        <v>274.47271728515619</v>
      </c>
      <c r="C1036" s="15">
        <v>70.96368408203125</v>
      </c>
      <c r="D1036" s="15">
        <v>140.61000061035159</v>
      </c>
      <c r="E1036" s="15">
        <v>186.8154602050781</v>
      </c>
      <c r="F1036" s="15">
        <v>139.37724304199219</v>
      </c>
      <c r="H1036" s="16">
        <f t="shared" si="45"/>
        <v>-4.3867861686727374E-3</v>
      </c>
      <c r="I1036" s="16">
        <f t="shared" si="45"/>
        <v>4.7540924327588841E-4</v>
      </c>
      <c r="J1036" s="16">
        <f t="shared" si="45"/>
        <v>-1.06730641345224E-3</v>
      </c>
      <c r="K1036" s="16">
        <f t="shared" si="45"/>
        <v>-9.6564281646197691E-3</v>
      </c>
      <c r="L1036" s="16">
        <f t="shared" si="46"/>
        <v>-4.0163853138123198E-3</v>
      </c>
    </row>
    <row r="1037" spans="1:12" x14ac:dyDescent="0.35">
      <c r="A1037" s="18">
        <v>43756</v>
      </c>
      <c r="B1037" s="15">
        <v>273.27130126953119</v>
      </c>
      <c r="C1037" s="15">
        <v>70.997428894042969</v>
      </c>
      <c r="D1037" s="15">
        <v>140.46000671386719</v>
      </c>
      <c r="E1037" s="15">
        <v>185.0201721191406</v>
      </c>
      <c r="F1037" s="15">
        <v>138.8185729980469</v>
      </c>
      <c r="H1037" s="16">
        <f t="shared" si="45"/>
        <v>6.7564673663082627E-3</v>
      </c>
      <c r="I1037" s="16">
        <f t="shared" si="45"/>
        <v>-2.379525016797794E-3</v>
      </c>
      <c r="J1037" s="16">
        <f t="shared" si="45"/>
        <v>-4.7815500752136416E-3</v>
      </c>
      <c r="K1037" s="16">
        <f t="shared" si="45"/>
        <v>8.829500882682171E-3</v>
      </c>
      <c r="L1037" s="16">
        <f t="shared" si="46"/>
        <v>6.5100365787195734E-3</v>
      </c>
    </row>
    <row r="1038" spans="1:12" x14ac:dyDescent="0.35">
      <c r="A1038" s="18">
        <v>43759</v>
      </c>
      <c r="B1038" s="15">
        <v>275.1239013671875</v>
      </c>
      <c r="C1038" s="15">
        <v>70.828689575195313</v>
      </c>
      <c r="D1038" s="15">
        <v>139.78999328613281</v>
      </c>
      <c r="E1038" s="15">
        <v>186.6610412597656</v>
      </c>
      <c r="F1038" s="15">
        <v>139.72523498535159</v>
      </c>
      <c r="H1038" s="16">
        <f t="shared" si="45"/>
        <v>-3.2720306375963151E-3</v>
      </c>
      <c r="I1038" s="16">
        <f t="shared" si="45"/>
        <v>1.7853087826497336E-3</v>
      </c>
      <c r="J1038" s="16">
        <f t="shared" si="45"/>
        <v>2.9287043785159624E-3</v>
      </c>
      <c r="K1038" s="16">
        <f t="shared" si="45"/>
        <v>-7.99516057291263E-3</v>
      </c>
      <c r="L1038" s="16">
        <f t="shared" si="46"/>
        <v>-3.019614021283183E-3</v>
      </c>
    </row>
    <row r="1039" spans="1:12" x14ac:dyDescent="0.35">
      <c r="A1039" s="18">
        <v>43760</v>
      </c>
      <c r="B1039" s="15">
        <v>274.22515869140619</v>
      </c>
      <c r="C1039" s="15">
        <v>70.955253601074219</v>
      </c>
      <c r="D1039" s="15">
        <v>140.19999694824219</v>
      </c>
      <c r="E1039" s="15">
        <v>185.17460632324219</v>
      </c>
      <c r="F1039" s="15">
        <v>139.303955078125</v>
      </c>
      <c r="H1039" s="16">
        <f t="shared" si="45"/>
        <v>2.9051408652177352E-3</v>
      </c>
      <c r="I1039" s="16">
        <f t="shared" si="45"/>
        <v>4.7535824222673655E-4</v>
      </c>
      <c r="J1039" s="16">
        <f t="shared" si="45"/>
        <v>2.3510275929147033E-3</v>
      </c>
      <c r="K1039" s="16">
        <f t="shared" si="45"/>
        <v>1.9266830988309621E-3</v>
      </c>
      <c r="L1039" s="16">
        <f t="shared" si="46"/>
        <v>2.0359516623024944E-3</v>
      </c>
    </row>
    <row r="1040" spans="1:12" x14ac:dyDescent="0.35">
      <c r="A1040" s="18">
        <v>43761</v>
      </c>
      <c r="B1040" s="15">
        <v>275.02297973632813</v>
      </c>
      <c r="C1040" s="15">
        <v>70.988990783691406</v>
      </c>
      <c r="D1040" s="15">
        <v>140.5299987792969</v>
      </c>
      <c r="E1040" s="15">
        <v>185.53172302246091</v>
      </c>
      <c r="F1040" s="15">
        <v>139.5878601074219</v>
      </c>
      <c r="H1040" s="16">
        <f t="shared" si="45"/>
        <v>1.6328291918805296E-3</v>
      </c>
      <c r="I1040" s="16">
        <f t="shared" si="45"/>
        <v>1.1885799192139262E-4</v>
      </c>
      <c r="J1040" s="16">
        <f t="shared" si="45"/>
        <v>7.0907196944689629E-3</v>
      </c>
      <c r="K1040" s="16">
        <f t="shared" si="45"/>
        <v>9.6814910133274402E-3</v>
      </c>
      <c r="L1040" s="16">
        <f t="shared" si="46"/>
        <v>2.7517763406789916E-3</v>
      </c>
    </row>
    <row r="1041" spans="1:12" x14ac:dyDescent="0.35">
      <c r="A1041" s="18">
        <v>43762</v>
      </c>
      <c r="B1041" s="15">
        <v>275.472412109375</v>
      </c>
      <c r="C1041" s="15">
        <v>70.997428894042969</v>
      </c>
      <c r="D1041" s="15">
        <v>141.5299987792969</v>
      </c>
      <c r="E1041" s="15">
        <v>187.336669921875</v>
      </c>
      <c r="F1041" s="15">
        <v>139.9725036621094</v>
      </c>
      <c r="H1041" s="16">
        <f t="shared" si="45"/>
        <v>4.0866102169018264E-3</v>
      </c>
      <c r="I1041" s="16">
        <f t="shared" si="45"/>
        <v>-1.6648682840625837E-3</v>
      </c>
      <c r="J1041" s="16">
        <f t="shared" si="45"/>
        <v>2.3289599557340403E-3</v>
      </c>
      <c r="K1041" s="16">
        <f t="shared" si="45"/>
        <v>7.9541605979804725E-3</v>
      </c>
      <c r="L1041" s="16">
        <f t="shared" si="46"/>
        <v>3.9829058502068937E-3</v>
      </c>
    </row>
    <row r="1042" spans="1:12" x14ac:dyDescent="0.35">
      <c r="A1042" s="18">
        <v>43763</v>
      </c>
      <c r="B1042" s="15">
        <v>276.6004638671875</v>
      </c>
      <c r="C1042" s="15">
        <v>70.879325866699219</v>
      </c>
      <c r="D1042" s="15">
        <v>141.86000061035159</v>
      </c>
      <c r="E1042" s="15">
        <v>188.83271789550781</v>
      </c>
      <c r="F1042" s="15">
        <v>140.53111267089841</v>
      </c>
      <c r="H1042" s="16">
        <f t="shared" si="45"/>
        <v>5.6207589172504561E-3</v>
      </c>
      <c r="I1042" s="16">
        <f t="shared" si="45"/>
        <v>-2.145504228357133E-3</v>
      </c>
      <c r="J1042" s="16">
        <f t="shared" si="45"/>
        <v>-8.6372304793814504E-3</v>
      </c>
      <c r="K1042" s="16">
        <f t="shared" si="45"/>
        <v>9.8165994236991596E-3</v>
      </c>
      <c r="L1042" s="16">
        <f t="shared" si="46"/>
        <v>6.0426107600444973E-3</v>
      </c>
    </row>
    <row r="1043" spans="1:12" x14ac:dyDescent="0.35">
      <c r="A1043" s="18">
        <v>43766</v>
      </c>
      <c r="B1043" s="15">
        <v>278.1595458984375</v>
      </c>
      <c r="C1043" s="15">
        <v>70.7274169921875</v>
      </c>
      <c r="D1043" s="15">
        <v>140.63999938964841</v>
      </c>
      <c r="E1043" s="15">
        <v>190.69554138183591</v>
      </c>
      <c r="F1043" s="15">
        <v>141.38285827636719</v>
      </c>
      <c r="H1043" s="16">
        <f t="shared" si="45"/>
        <v>-2.9681634786081327E-4</v>
      </c>
      <c r="I1043" s="16">
        <f t="shared" si="45"/>
        <v>2.3858085491023308E-4</v>
      </c>
      <c r="J1043" s="16">
        <f t="shared" si="45"/>
        <v>-2.7768851942461307E-3</v>
      </c>
      <c r="K1043" s="16">
        <f t="shared" si="45"/>
        <v>-7.7742175900592132E-3</v>
      </c>
      <c r="L1043" s="16">
        <f t="shared" si="46"/>
        <v>-1.9460827213489478E-4</v>
      </c>
    </row>
    <row r="1044" spans="1:12" x14ac:dyDescent="0.35">
      <c r="A1044" s="18">
        <v>43767</v>
      </c>
      <c r="B1044" s="15">
        <v>278.07699584960938</v>
      </c>
      <c r="C1044" s="15">
        <v>70.744293212890625</v>
      </c>
      <c r="D1044" s="15">
        <v>140.25</v>
      </c>
      <c r="E1044" s="15">
        <v>189.2187805175781</v>
      </c>
      <c r="F1044" s="15">
        <v>141.3553466796875</v>
      </c>
      <c r="H1044" s="16">
        <f t="shared" si="45"/>
        <v>3.0625703760025018E-3</v>
      </c>
      <c r="I1044" s="16">
        <f t="shared" si="45"/>
        <v>3.2154977870731431E-3</v>
      </c>
      <c r="J1044" s="16">
        <f t="shared" si="45"/>
        <v>5.4752101849321827E-3</v>
      </c>
      <c r="K1044" s="16">
        <f t="shared" si="45"/>
        <v>4.834335171365868E-3</v>
      </c>
      <c r="L1044" s="16">
        <f t="shared" si="46"/>
        <v>2.394726000389901E-3</v>
      </c>
    </row>
    <row r="1045" spans="1:12" x14ac:dyDescent="0.35">
      <c r="A1045" s="18">
        <v>43768</v>
      </c>
      <c r="B1045" s="15">
        <v>278.929931640625</v>
      </c>
      <c r="C1045" s="15">
        <v>70.972137451171875</v>
      </c>
      <c r="D1045" s="15">
        <v>141.02000427246091</v>
      </c>
      <c r="E1045" s="15">
        <v>190.1357421875</v>
      </c>
      <c r="F1045" s="15">
        <v>141.69425964355469</v>
      </c>
      <c r="H1045" s="16">
        <f t="shared" si="45"/>
        <v>-2.6669079544911572E-3</v>
      </c>
      <c r="I1045" s="16">
        <f t="shared" si="45"/>
        <v>4.7445655053368315E-3</v>
      </c>
      <c r="J1045" s="16">
        <f t="shared" si="45"/>
        <v>9.9488449354684094E-3</v>
      </c>
      <c r="K1045" s="16">
        <f t="shared" si="45"/>
        <v>4.5693119471495439E-4</v>
      </c>
      <c r="L1045" s="16">
        <f t="shared" si="46"/>
        <v>-3.496817298645101E-3</v>
      </c>
    </row>
    <row r="1046" spans="1:12" x14ac:dyDescent="0.35">
      <c r="A1046" s="18">
        <v>43769</v>
      </c>
      <c r="B1046" s="15">
        <v>278.18704223632813</v>
      </c>
      <c r="C1046" s="15">
        <v>71.309669494628906</v>
      </c>
      <c r="D1046" s="15">
        <v>142.42999267578119</v>
      </c>
      <c r="E1046" s="15">
        <v>190.22264099121091</v>
      </c>
      <c r="F1046" s="15">
        <v>141.19964599609381</v>
      </c>
      <c r="H1046" s="16">
        <f t="shared" si="45"/>
        <v>9.221110592373136E-3</v>
      </c>
      <c r="I1046" s="16">
        <f t="shared" si="45"/>
        <v>-8.9033590102906572E-4</v>
      </c>
      <c r="J1046" s="16">
        <f t="shared" si="45"/>
        <v>9.1234707382855014E-4</v>
      </c>
      <c r="K1046" s="16">
        <f t="shared" si="45"/>
        <v>9.0413940759796353E-3</v>
      </c>
      <c r="L1046" s="16">
        <f t="shared" si="46"/>
        <v>1.064506735865722E-2</v>
      </c>
    </row>
    <row r="1047" spans="1:12" x14ac:dyDescent="0.35">
      <c r="A1047" s="18">
        <v>43770</v>
      </c>
      <c r="B1047" s="15">
        <v>280.76409912109381</v>
      </c>
      <c r="C1047" s="15">
        <v>71.246208190917969</v>
      </c>
      <c r="D1047" s="15">
        <v>142.55999755859381</v>
      </c>
      <c r="E1047" s="15">
        <v>191.9503173828125</v>
      </c>
      <c r="F1047" s="15">
        <v>142.71075439453119</v>
      </c>
      <c r="H1047" s="16">
        <f t="shared" si="45"/>
        <v>4.0097422510331701E-3</v>
      </c>
      <c r="I1047" s="16">
        <f t="shared" si="45"/>
        <v>-2.852953024742214E-3</v>
      </c>
      <c r="J1047" s="16">
        <f t="shared" si="45"/>
        <v>-2.880151437174953E-3</v>
      </c>
      <c r="K1047" s="16">
        <f t="shared" si="45"/>
        <v>6.1660957832098224E-3</v>
      </c>
      <c r="L1047" s="16">
        <f t="shared" si="46"/>
        <v>3.6512035619108065E-3</v>
      </c>
    </row>
    <row r="1048" spans="1:12" x14ac:dyDescent="0.35">
      <c r="A1048" s="18">
        <v>43773</v>
      </c>
      <c r="B1048" s="15">
        <v>281.89215087890619</v>
      </c>
      <c r="C1048" s="15">
        <v>71.043235778808594</v>
      </c>
      <c r="D1048" s="15">
        <v>142.1499938964844</v>
      </c>
      <c r="E1048" s="15">
        <v>193.13755798339841</v>
      </c>
      <c r="F1048" s="15">
        <v>143.23277282714841</v>
      </c>
      <c r="H1048" s="16">
        <f t="shared" si="45"/>
        <v>-1.1065938125749528E-3</v>
      </c>
      <c r="I1048" s="16">
        <f t="shared" si="45"/>
        <v>-3.4570816590446109E-3</v>
      </c>
      <c r="J1048" s="16">
        <f t="shared" si="45"/>
        <v>-1.6312331868591344E-2</v>
      </c>
      <c r="K1048" s="16">
        <f t="shared" si="45"/>
        <v>5.4956417738292573E-4</v>
      </c>
      <c r="L1048" s="16">
        <f t="shared" si="46"/>
        <v>-8.9558434334211152E-4</v>
      </c>
    </row>
    <row r="1049" spans="1:12" x14ac:dyDescent="0.35">
      <c r="A1049" s="18">
        <v>43774</v>
      </c>
      <c r="B1049" s="15">
        <v>281.58038330078119</v>
      </c>
      <c r="C1049" s="15">
        <v>70.798057556152344</v>
      </c>
      <c r="D1049" s="15">
        <v>139.8500061035156</v>
      </c>
      <c r="E1049" s="15">
        <v>193.24372863769531</v>
      </c>
      <c r="F1049" s="15">
        <v>143.10455322265619</v>
      </c>
      <c r="H1049" s="16">
        <f t="shared" si="45"/>
        <v>2.2811310412571359E-4</v>
      </c>
      <c r="I1049" s="16">
        <f t="shared" si="45"/>
        <v>2.1473444669641078E-3</v>
      </c>
      <c r="J1049" s="16">
        <f t="shared" si="45"/>
        <v>4.2810685305553911E-3</v>
      </c>
      <c r="K1049" s="16">
        <f t="shared" si="45"/>
        <v>-2.2500859085319556E-3</v>
      </c>
      <c r="L1049" s="16">
        <f t="shared" si="46"/>
        <v>-4.481464654313385E-4</v>
      </c>
    </row>
    <row r="1050" spans="1:12" x14ac:dyDescent="0.35">
      <c r="A1050" s="18">
        <v>43775</v>
      </c>
      <c r="B1050" s="15">
        <v>281.64462280273438</v>
      </c>
      <c r="C1050" s="15">
        <v>70.950248718261719</v>
      </c>
      <c r="D1050" s="15">
        <v>140.44999694824219</v>
      </c>
      <c r="E1050" s="15">
        <v>192.80940246582031</v>
      </c>
      <c r="F1050" s="15">
        <v>143.0404357910156</v>
      </c>
      <c r="H1050" s="16">
        <f t="shared" si="45"/>
        <v>3.5103816859540049E-3</v>
      </c>
      <c r="I1050" s="16">
        <f t="shared" si="45"/>
        <v>-5.1379180320077497E-3</v>
      </c>
      <c r="J1050" s="16">
        <f t="shared" si="45"/>
        <v>-1.5643205521891343E-2</v>
      </c>
      <c r="K1050" s="16">
        <f t="shared" si="45"/>
        <v>3.348230155297568E-3</v>
      </c>
      <c r="L1050" s="16">
        <f t="shared" si="46"/>
        <v>3.3876827507477543E-3</v>
      </c>
    </row>
    <row r="1051" spans="1:12" x14ac:dyDescent="0.35">
      <c r="A1051" s="18">
        <v>43776</v>
      </c>
      <c r="B1051" s="15">
        <v>282.63504028320313</v>
      </c>
      <c r="C1051" s="15">
        <v>70.586647033691406</v>
      </c>
      <c r="D1051" s="15">
        <v>138.27000427246091</v>
      </c>
      <c r="E1051" s="15">
        <v>193.4560546875</v>
      </c>
      <c r="F1051" s="15">
        <v>143.52583312988281</v>
      </c>
      <c r="H1051" s="16">
        <f t="shared" si="45"/>
        <v>2.4633332726315665E-3</v>
      </c>
      <c r="I1051" s="16">
        <f t="shared" si="45"/>
        <v>-9.5971938361053715E-4</v>
      </c>
      <c r="J1051" s="16">
        <f t="shared" si="45"/>
        <v>-6.3847338065501705E-3</v>
      </c>
      <c r="K1051" s="16">
        <f t="shared" si="45"/>
        <v>3.9833525563217559E-3</v>
      </c>
      <c r="L1051" s="16">
        <f t="shared" si="46"/>
        <v>2.8037093467188109E-3</v>
      </c>
    </row>
    <row r="1052" spans="1:12" x14ac:dyDescent="0.35">
      <c r="A1052" s="18">
        <v>43777</v>
      </c>
      <c r="B1052" s="15">
        <v>283.33212280273438</v>
      </c>
      <c r="C1052" s="15">
        <v>70.518936157226563</v>
      </c>
      <c r="D1052" s="15">
        <v>137.38999938964841</v>
      </c>
      <c r="E1052" s="15">
        <v>194.22819519042969</v>
      </c>
      <c r="F1052" s="15">
        <v>143.9288024902344</v>
      </c>
      <c r="H1052" s="16">
        <f t="shared" si="45"/>
        <v>-1.9116241883987933E-3</v>
      </c>
      <c r="I1052" s="16">
        <f t="shared" si="45"/>
        <v>5.9972980969094896E-4</v>
      </c>
      <c r="J1052" s="16">
        <f t="shared" si="45"/>
        <v>-2.4048241483867481E-3</v>
      </c>
      <c r="K1052" s="16">
        <f t="shared" si="45"/>
        <v>-1.3425680454421623E-3</v>
      </c>
      <c r="L1052" s="16">
        <f t="shared" si="46"/>
        <v>-1.9745922207066655E-3</v>
      </c>
    </row>
    <row r="1053" spans="1:12" x14ac:dyDescent="0.35">
      <c r="A1053" s="18">
        <v>43780</v>
      </c>
      <c r="B1053" s="15">
        <v>282.791015625</v>
      </c>
      <c r="C1053" s="15">
        <v>70.561241149902344</v>
      </c>
      <c r="D1053" s="15">
        <v>137.05999755859381</v>
      </c>
      <c r="E1053" s="15">
        <v>193.96760559082031</v>
      </c>
      <c r="F1053" s="15">
        <v>143.64488220214841</v>
      </c>
      <c r="H1053" s="16">
        <f t="shared" si="45"/>
        <v>2.1055902923264014E-3</v>
      </c>
      <c r="I1053" s="16">
        <f t="shared" si="45"/>
        <v>5.9904617041008795E-4</v>
      </c>
      <c r="J1053" s="16">
        <f t="shared" si="45"/>
        <v>2.6958749275860731E-3</v>
      </c>
      <c r="K1053" s="16">
        <f t="shared" si="45"/>
        <v>2.8819665821082116E-3</v>
      </c>
      <c r="L1053" s="16">
        <f t="shared" si="46"/>
        <v>1.7198027633702827E-3</v>
      </c>
    </row>
    <row r="1054" spans="1:12" x14ac:dyDescent="0.35">
      <c r="A1054" s="18">
        <v>43781</v>
      </c>
      <c r="B1054" s="15">
        <v>283.3870849609375</v>
      </c>
      <c r="C1054" s="15">
        <v>70.603523254394531</v>
      </c>
      <c r="D1054" s="15">
        <v>137.42999267578119</v>
      </c>
      <c r="E1054" s="15">
        <v>194.52742004394531</v>
      </c>
      <c r="F1054" s="15">
        <v>143.89213562011719</v>
      </c>
      <c r="H1054" s="16">
        <f t="shared" si="45"/>
        <v>3.23552103135976E-4</v>
      </c>
      <c r="I1054" s="16">
        <f t="shared" si="45"/>
        <v>1.7949883782531889E-3</v>
      </c>
      <c r="J1054" s="16">
        <f t="shared" si="45"/>
        <v>3.9940728810312536E-3</v>
      </c>
      <c r="K1054" s="16">
        <f t="shared" si="45"/>
        <v>2.4815431435466903E-4</v>
      </c>
      <c r="L1054" s="16">
        <f t="shared" si="46"/>
        <v>4.4570646218106277E-4</v>
      </c>
    </row>
    <row r="1055" spans="1:12" x14ac:dyDescent="0.35">
      <c r="A1055" s="18">
        <v>43782</v>
      </c>
      <c r="B1055" s="15">
        <v>283.47879028320313</v>
      </c>
      <c r="C1055" s="15">
        <v>70.730369567871094</v>
      </c>
      <c r="D1055" s="15">
        <v>137.97999572753909</v>
      </c>
      <c r="E1055" s="15">
        <v>194.57569885253909</v>
      </c>
      <c r="F1055" s="15">
        <v>143.95628356933591</v>
      </c>
      <c r="H1055" s="16">
        <f t="shared" si="45"/>
        <v>1.4547441194910306E-3</v>
      </c>
      <c r="I1055" s="16">
        <f t="shared" si="45"/>
        <v>2.8652319403750983E-3</v>
      </c>
      <c r="J1055" s="16">
        <f t="shared" si="45"/>
        <v>4.1947110406634746E-3</v>
      </c>
      <c r="K1055" s="16">
        <f t="shared" si="45"/>
        <v>-7.9409091359031311E-4</v>
      </c>
      <c r="L1055" s="16">
        <f t="shared" si="46"/>
        <v>1.017255933606516E-3</v>
      </c>
    </row>
    <row r="1056" spans="1:12" x14ac:dyDescent="0.35">
      <c r="A1056" s="18">
        <v>43783</v>
      </c>
      <c r="B1056" s="15">
        <v>283.8914794921875</v>
      </c>
      <c r="C1056" s="15">
        <v>70.933319091796875</v>
      </c>
      <c r="D1056" s="15">
        <v>138.55999755859381</v>
      </c>
      <c r="E1056" s="15">
        <v>194.42124938964841</v>
      </c>
      <c r="F1056" s="15">
        <v>144.10279846191409</v>
      </c>
      <c r="H1056" s="16">
        <f t="shared" si="45"/>
        <v>7.2100209802683874E-3</v>
      </c>
      <c r="I1056" s="16">
        <f t="shared" si="45"/>
        <v>-3.5715392594898115E-4</v>
      </c>
      <c r="J1056" s="16">
        <f t="shared" si="45"/>
        <v>-2.529111001052868E-3</v>
      </c>
      <c r="K1056" s="16">
        <f t="shared" si="45"/>
        <v>7.3204952718926913E-3</v>
      </c>
      <c r="L1056" s="16">
        <f t="shared" si="46"/>
        <v>7.5972433354936555E-3</v>
      </c>
    </row>
    <row r="1057" spans="1:12" x14ac:dyDescent="0.35">
      <c r="A1057" s="18">
        <v>43784</v>
      </c>
      <c r="B1057" s="15">
        <v>285.94573974609381</v>
      </c>
      <c r="C1057" s="15">
        <v>70.907989501953125</v>
      </c>
      <c r="D1057" s="15">
        <v>138.21000671386719</v>
      </c>
      <c r="E1057" s="15">
        <v>195.8497314453125</v>
      </c>
      <c r="F1057" s="15">
        <v>145.2017517089844</v>
      </c>
      <c r="H1057" s="16">
        <f t="shared" si="45"/>
        <v>7.3762499841137092E-4</v>
      </c>
      <c r="I1057" s="16">
        <f t="shared" si="45"/>
        <v>1.4298923867107846E-3</v>
      </c>
      <c r="J1057" s="16">
        <f t="shared" si="45"/>
        <v>2.9620250721697858E-3</v>
      </c>
      <c r="K1057" s="16">
        <f t="shared" si="45"/>
        <v>7.8853483068228166E-4</v>
      </c>
      <c r="L1057" s="16">
        <f t="shared" si="46"/>
        <v>5.6772793952006198E-4</v>
      </c>
    </row>
    <row r="1058" spans="1:12" x14ac:dyDescent="0.35">
      <c r="A1058" s="18">
        <v>43787</v>
      </c>
      <c r="B1058" s="15">
        <v>286.15673828125</v>
      </c>
      <c r="C1058" s="15">
        <v>71.009452819824219</v>
      </c>
      <c r="D1058" s="15">
        <v>138.6199951171875</v>
      </c>
      <c r="E1058" s="15">
        <v>196.00422668457031</v>
      </c>
      <c r="F1058" s="15">
        <v>145.2842102050781</v>
      </c>
      <c r="H1058" s="16">
        <f t="shared" si="45"/>
        <v>-2.8852005571841519E-4</v>
      </c>
      <c r="I1058" s="16">
        <f t="shared" si="45"/>
        <v>1.0707303105526359E-3</v>
      </c>
      <c r="J1058" s="16">
        <f t="shared" si="45"/>
        <v>5.0490300618269022E-4</v>
      </c>
      <c r="K1058" s="16">
        <f t="shared" si="45"/>
        <v>1.4761779604621017E-3</v>
      </c>
      <c r="L1058" s="16">
        <f t="shared" si="46"/>
        <v>3.1461189794937839E-4</v>
      </c>
    </row>
    <row r="1059" spans="1:12" x14ac:dyDescent="0.35">
      <c r="A1059" s="18">
        <v>43788</v>
      </c>
      <c r="B1059" s="15">
        <v>286.07418823242188</v>
      </c>
      <c r="C1059" s="15">
        <v>71.085525512695313</v>
      </c>
      <c r="D1059" s="15">
        <v>138.69000244140619</v>
      </c>
      <c r="E1059" s="15">
        <v>196.29377746582031</v>
      </c>
      <c r="F1059" s="15">
        <v>145.3299255371094</v>
      </c>
      <c r="H1059" s="16">
        <f t="shared" si="45"/>
        <v>-3.72591128048414E-3</v>
      </c>
      <c r="I1059" s="16">
        <f t="shared" si="45"/>
        <v>2.732350342372842E-3</v>
      </c>
      <c r="J1059" s="16">
        <f t="shared" si="45"/>
        <v>5.0453824245324163E-4</v>
      </c>
      <c r="K1059" s="16">
        <f t="shared" si="45"/>
        <v>-6.0169888924608709E-3</v>
      </c>
      <c r="L1059" s="16">
        <f t="shared" si="46"/>
        <v>-3.1554269857005266E-3</v>
      </c>
    </row>
    <row r="1060" spans="1:12" x14ac:dyDescent="0.35">
      <c r="A1060" s="18">
        <v>43789</v>
      </c>
      <c r="B1060" s="15">
        <v>285.01028442382813</v>
      </c>
      <c r="C1060" s="15">
        <v>71.280021667480469</v>
      </c>
      <c r="D1060" s="15">
        <v>138.75999450683591</v>
      </c>
      <c r="E1060" s="15">
        <v>195.11622619628909</v>
      </c>
      <c r="F1060" s="15">
        <v>144.8720703125</v>
      </c>
      <c r="H1060" s="16">
        <f t="shared" si="45"/>
        <v>-1.6098882722611367E-3</v>
      </c>
      <c r="I1060" s="16">
        <f t="shared" si="45"/>
        <v>-1.6619075715141123E-3</v>
      </c>
      <c r="J1060" s="16">
        <f t="shared" si="45"/>
        <v>-5.4920973568247933E-3</v>
      </c>
      <c r="K1060" s="16">
        <f t="shared" si="45"/>
        <v>-2.2287032688570485E-3</v>
      </c>
      <c r="L1060" s="16">
        <f t="shared" si="46"/>
        <v>-2.5317623932062825E-3</v>
      </c>
    </row>
    <row r="1061" spans="1:12" x14ac:dyDescent="0.35">
      <c r="A1061" s="18">
        <v>43790</v>
      </c>
      <c r="B1061" s="15">
        <v>284.55181884765619</v>
      </c>
      <c r="C1061" s="15">
        <v>71.161659240722656</v>
      </c>
      <c r="D1061" s="15">
        <v>138</v>
      </c>
      <c r="E1061" s="15">
        <v>194.6818542480469</v>
      </c>
      <c r="F1061" s="15">
        <v>144.50575256347659</v>
      </c>
      <c r="H1061" s="16">
        <f t="shared" si="45"/>
        <v>2.2212087450850394E-3</v>
      </c>
      <c r="I1061" s="16">
        <f t="shared" si="45"/>
        <v>5.9388614147913772E-4</v>
      </c>
      <c r="J1061" s="16">
        <f t="shared" si="45"/>
        <v>-1.8857951599788702E-3</v>
      </c>
      <c r="K1061" s="16">
        <f t="shared" si="45"/>
        <v>6.4437363927097129E-4</v>
      </c>
      <c r="L1061" s="16">
        <f t="shared" si="46"/>
        <v>2.2154185208839989E-3</v>
      </c>
    </row>
    <row r="1062" spans="1:12" x14ac:dyDescent="0.35">
      <c r="A1062" s="18">
        <v>43791</v>
      </c>
      <c r="B1062" s="15">
        <v>285.1845703125</v>
      </c>
      <c r="C1062" s="15">
        <v>71.203933715820313</v>
      </c>
      <c r="D1062" s="15">
        <v>137.74000549316409</v>
      </c>
      <c r="E1062" s="15">
        <v>194.8073425292969</v>
      </c>
      <c r="F1062" s="15">
        <v>144.82624816894531</v>
      </c>
      <c r="H1062" s="16">
        <f t="shared" si="45"/>
        <v>7.7204211881087359E-3</v>
      </c>
      <c r="I1062" s="16">
        <f t="shared" si="45"/>
        <v>9.4942059012070022E-4</v>
      </c>
      <c r="J1062" s="16">
        <f t="shared" si="45"/>
        <v>-4.8031796332551448E-3</v>
      </c>
      <c r="K1062" s="16">
        <f t="shared" si="45"/>
        <v>1.1772079297262586E-2</v>
      </c>
      <c r="L1062" s="16">
        <f t="shared" si="46"/>
        <v>9.440477925084732E-3</v>
      </c>
    </row>
    <row r="1063" spans="1:12" x14ac:dyDescent="0.35">
      <c r="A1063" s="18">
        <v>43794</v>
      </c>
      <c r="B1063" s="15">
        <v>287.39483642578119</v>
      </c>
      <c r="C1063" s="15">
        <v>71.271568298339844</v>
      </c>
      <c r="D1063" s="15">
        <v>137.08000183105469</v>
      </c>
      <c r="E1063" s="15">
        <v>197.11418151855469</v>
      </c>
      <c r="F1063" s="15">
        <v>146.199951171875</v>
      </c>
      <c r="H1063" s="16">
        <f t="shared" si="45"/>
        <v>2.2629359833871475E-3</v>
      </c>
      <c r="I1063" s="16">
        <f t="shared" si="45"/>
        <v>1.6599880574857994E-3</v>
      </c>
      <c r="J1063" s="16">
        <f t="shared" si="45"/>
        <v>4.8031796332552367E-3</v>
      </c>
      <c r="K1063" s="16">
        <f t="shared" si="45"/>
        <v>1.9079833145559067E-3</v>
      </c>
      <c r="L1063" s="16">
        <f t="shared" si="46"/>
        <v>2.1275997075967186E-3</v>
      </c>
    </row>
    <row r="1064" spans="1:12" x14ac:dyDescent="0.35">
      <c r="A1064" s="18">
        <v>43795</v>
      </c>
      <c r="B1064" s="15">
        <v>288.04592895507813</v>
      </c>
      <c r="C1064" s="15">
        <v>71.389976501464844</v>
      </c>
      <c r="D1064" s="15">
        <v>137.74000549316409</v>
      </c>
      <c r="E1064" s="15">
        <v>197.4906311035156</v>
      </c>
      <c r="F1064" s="15">
        <v>146.51133728027341</v>
      </c>
      <c r="H1064" s="16">
        <f t="shared" si="45"/>
        <v>4.4478103425273181E-3</v>
      </c>
      <c r="I1064" s="16">
        <f t="shared" si="45"/>
        <v>-1.5413872175714667E-3</v>
      </c>
      <c r="J1064" s="16">
        <f t="shared" si="45"/>
        <v>-5.3140142253710549E-3</v>
      </c>
      <c r="K1064" s="16">
        <f t="shared" si="45"/>
        <v>6.9645480586964402E-3</v>
      </c>
      <c r="L1064" s="16">
        <f t="shared" si="46"/>
        <v>4.7397501356472981E-3</v>
      </c>
    </row>
    <row r="1065" spans="1:12" x14ac:dyDescent="0.35">
      <c r="A1065" s="18">
        <v>43796</v>
      </c>
      <c r="B1065" s="15">
        <v>289.3299560546875</v>
      </c>
      <c r="C1065" s="15">
        <v>71.280021667480469</v>
      </c>
      <c r="D1065" s="15">
        <v>137.00999450683591</v>
      </c>
      <c r="E1065" s="15">
        <v>198.87086486816409</v>
      </c>
      <c r="F1065" s="15">
        <v>147.20741271972659</v>
      </c>
      <c r="H1065" s="16">
        <f t="shared" si="45"/>
        <v>-3.7156673874333044E-3</v>
      </c>
      <c r="I1065" s="16">
        <f t="shared" si="45"/>
        <v>0</v>
      </c>
      <c r="J1065" s="16">
        <f t="shared" si="45"/>
        <v>6.1848061129801245E-3</v>
      </c>
      <c r="K1065" s="16">
        <f t="shared" si="45"/>
        <v>-4.5726332303071783E-3</v>
      </c>
      <c r="L1065" s="16">
        <f t="shared" si="46"/>
        <v>-4.4894108902997871E-3</v>
      </c>
    </row>
    <row r="1066" spans="1:12" x14ac:dyDescent="0.35">
      <c r="A1066" s="18">
        <v>43798</v>
      </c>
      <c r="B1066" s="15">
        <v>288.25689697265619</v>
      </c>
      <c r="C1066" s="15">
        <v>71.280021667480469</v>
      </c>
      <c r="D1066" s="15">
        <v>137.86000061035159</v>
      </c>
      <c r="E1066" s="15">
        <v>197.96357727050781</v>
      </c>
      <c r="F1066" s="15">
        <v>146.54801940917969</v>
      </c>
      <c r="H1066" s="16">
        <f t="shared" si="45"/>
        <v>-8.5310330828324132E-3</v>
      </c>
      <c r="I1066" s="16">
        <f t="shared" si="45"/>
        <v>-2.6189121624907077E-3</v>
      </c>
      <c r="J1066" s="16">
        <f t="shared" si="45"/>
        <v>-5.0794360438310971E-4</v>
      </c>
      <c r="K1066" s="16">
        <f t="shared" si="45"/>
        <v>-1.0291768696887429E-2</v>
      </c>
      <c r="L1066" s="16">
        <f t="shared" si="46"/>
        <v>-9.1026794874424621E-3</v>
      </c>
    </row>
    <row r="1067" spans="1:12" x14ac:dyDescent="0.35">
      <c r="A1067" s="18">
        <v>43801</v>
      </c>
      <c r="B1067" s="15">
        <v>285.8082275390625</v>
      </c>
      <c r="C1067" s="15">
        <v>71.093589782714844</v>
      </c>
      <c r="D1067" s="15">
        <v>137.78999328613281</v>
      </c>
      <c r="E1067" s="15">
        <v>195.93663024902341</v>
      </c>
      <c r="F1067" s="15">
        <v>145.2200927734375</v>
      </c>
      <c r="H1067" s="16">
        <f t="shared" si="45"/>
        <v>-6.7290021590586903E-3</v>
      </c>
      <c r="I1067" s="16">
        <f t="shared" si="45"/>
        <v>5.3505418829315156E-3</v>
      </c>
      <c r="J1067" s="16">
        <f t="shared" si="45"/>
        <v>9.5342531785738462E-3</v>
      </c>
      <c r="K1067" s="16">
        <f t="shared" si="45"/>
        <v>-7.8632273962925079E-3</v>
      </c>
      <c r="L1067" s="16">
        <f t="shared" si="46"/>
        <v>-5.9457851892618591E-3</v>
      </c>
    </row>
    <row r="1068" spans="1:12" x14ac:dyDescent="0.35">
      <c r="A1068" s="18">
        <v>43802</v>
      </c>
      <c r="B1068" s="15">
        <v>283.8914794921875</v>
      </c>
      <c r="C1068" s="15">
        <v>71.474998474121094</v>
      </c>
      <c r="D1068" s="15">
        <v>139.11000061035159</v>
      </c>
      <c r="E1068" s="15">
        <v>194.4019775390625</v>
      </c>
      <c r="F1068" s="15">
        <v>144.35920715332031</v>
      </c>
      <c r="H1068" s="16">
        <f t="shared" si="45"/>
        <v>6.1512816779878202E-3</v>
      </c>
      <c r="I1068" s="16">
        <f t="shared" si="45"/>
        <v>-2.0182877183621863E-3</v>
      </c>
      <c r="J1068" s="16">
        <f t="shared" si="45"/>
        <v>-1.3667767637937508E-3</v>
      </c>
      <c r="K1068" s="16">
        <f t="shared" si="45"/>
        <v>5.0513756269798043E-3</v>
      </c>
      <c r="L1068" s="16">
        <f t="shared" si="46"/>
        <v>6.4499060120335626E-3</v>
      </c>
    </row>
    <row r="1069" spans="1:12" x14ac:dyDescent="0.35">
      <c r="A1069" s="18">
        <v>43803</v>
      </c>
      <c r="B1069" s="15">
        <v>285.64315795898438</v>
      </c>
      <c r="C1069" s="15">
        <v>71.330886840820313</v>
      </c>
      <c r="D1069" s="15">
        <v>138.91999816894531</v>
      </c>
      <c r="E1069" s="15">
        <v>195.38645935058591</v>
      </c>
      <c r="F1069" s="15">
        <v>145.29331970214841</v>
      </c>
      <c r="H1069" s="16">
        <f t="shared" si="45"/>
        <v>1.7963643006920374E-3</v>
      </c>
      <c r="I1069" s="16">
        <f t="shared" si="45"/>
        <v>-1.0698291621460561E-3</v>
      </c>
      <c r="J1069" s="16">
        <f t="shared" si="45"/>
        <v>5.7571843545985494E-4</v>
      </c>
      <c r="K1069" s="16">
        <f t="shared" si="45"/>
        <v>1.9741767265409708E-3</v>
      </c>
      <c r="L1069" s="16">
        <f t="shared" si="46"/>
        <v>1.4488640508135652E-3</v>
      </c>
    </row>
    <row r="1070" spans="1:12" x14ac:dyDescent="0.35">
      <c r="A1070" s="18">
        <v>43804</v>
      </c>
      <c r="B1070" s="15">
        <v>286.15673828125</v>
      </c>
      <c r="C1070" s="15">
        <v>71.254615783691406</v>
      </c>
      <c r="D1070" s="15">
        <v>139</v>
      </c>
      <c r="E1070" s="15">
        <v>195.77256774902341</v>
      </c>
      <c r="F1070" s="15">
        <v>145.50398254394531</v>
      </c>
      <c r="H1070" s="16">
        <f t="shared" si="45"/>
        <v>9.0925853898589232E-3</v>
      </c>
      <c r="I1070" s="16">
        <f t="shared" si="45"/>
        <v>-1.3092800563184459E-3</v>
      </c>
      <c r="J1070" s="16">
        <f t="shared" si="45"/>
        <v>-9.9777048367574572E-3</v>
      </c>
      <c r="K1070" s="16">
        <f t="shared" si="45"/>
        <v>1.064164740788787E-2</v>
      </c>
      <c r="L1070" s="16">
        <f t="shared" si="46"/>
        <v>8.8354565389881252E-3</v>
      </c>
    </row>
    <row r="1071" spans="1:12" x14ac:dyDescent="0.35">
      <c r="A1071" s="18">
        <v>43805</v>
      </c>
      <c r="B1071" s="15">
        <v>288.7705078125</v>
      </c>
      <c r="C1071" s="15">
        <v>71.161384582519531</v>
      </c>
      <c r="D1071" s="15">
        <v>137.6199951171875</v>
      </c>
      <c r="E1071" s="15">
        <v>197.8670349121094</v>
      </c>
      <c r="F1071" s="15">
        <v>146.79527282714841</v>
      </c>
      <c r="H1071" s="16">
        <f t="shared" si="45"/>
        <v>-3.1489648152812073E-3</v>
      </c>
      <c r="I1071" s="16">
        <f t="shared" si="45"/>
        <v>2.3819794683523071E-4</v>
      </c>
      <c r="J1071" s="16">
        <f t="shared" si="45"/>
        <v>-2.9064888704837818E-4</v>
      </c>
      <c r="K1071" s="16">
        <f t="shared" si="45"/>
        <v>-4.546923894987019E-3</v>
      </c>
      <c r="L1071" s="16">
        <f t="shared" si="46"/>
        <v>-3.186861304131477E-3</v>
      </c>
    </row>
    <row r="1072" spans="1:12" x14ac:dyDescent="0.35">
      <c r="A1072" s="18">
        <v>43808</v>
      </c>
      <c r="B1072" s="15">
        <v>287.86260986328119</v>
      </c>
      <c r="C1072" s="15">
        <v>71.178337097167969</v>
      </c>
      <c r="D1072" s="15">
        <v>137.58000183105469</v>
      </c>
      <c r="E1072" s="15">
        <v>196.9693908691406</v>
      </c>
      <c r="F1072" s="15">
        <v>146.32820129394531</v>
      </c>
      <c r="H1072" s="16">
        <f t="shared" si="45"/>
        <v>-1.115893729127864E-3</v>
      </c>
      <c r="I1072" s="16">
        <f t="shared" si="45"/>
        <v>-7.1465685923075147E-4</v>
      </c>
      <c r="J1072" s="16">
        <f t="shared" si="45"/>
        <v>2.8306996606541675E-3</v>
      </c>
      <c r="K1072" s="16">
        <f t="shared" si="45"/>
        <v>-8.3320353659029056E-4</v>
      </c>
      <c r="L1072" s="16">
        <f t="shared" si="46"/>
        <v>-8.7683957394400064E-4</v>
      </c>
    </row>
    <row r="1073" spans="1:12" x14ac:dyDescent="0.35">
      <c r="A1073" s="18">
        <v>43809</v>
      </c>
      <c r="B1073" s="15">
        <v>287.54156494140619</v>
      </c>
      <c r="C1073" s="15">
        <v>71.127487182617188</v>
      </c>
      <c r="D1073" s="15">
        <v>137.9700012207031</v>
      </c>
      <c r="E1073" s="15">
        <v>196.80534362792969</v>
      </c>
      <c r="F1073" s="15">
        <v>146.199951171875</v>
      </c>
      <c r="H1073" s="16">
        <f t="shared" si="45"/>
        <v>2.8349228382157708E-3</v>
      </c>
      <c r="I1073" s="16">
        <f t="shared" si="45"/>
        <v>3.330989466728081E-3</v>
      </c>
      <c r="J1073" s="16">
        <f t="shared" si="45"/>
        <v>6.8619356276917974E-3</v>
      </c>
      <c r="K1073" s="16">
        <f t="shared" si="45"/>
        <v>5.2825704548513071E-3</v>
      </c>
      <c r="L1073" s="16">
        <f t="shared" si="46"/>
        <v>2.377938952944227E-3</v>
      </c>
    </row>
    <row r="1074" spans="1:12" x14ac:dyDescent="0.35">
      <c r="A1074" s="18">
        <v>43810</v>
      </c>
      <c r="B1074" s="15">
        <v>288.35787963867188</v>
      </c>
      <c r="C1074" s="15">
        <v>71.36480712890625</v>
      </c>
      <c r="D1074" s="15">
        <v>138.91999816894531</v>
      </c>
      <c r="E1074" s="15">
        <v>197.84773254394531</v>
      </c>
      <c r="F1074" s="15">
        <v>146.54801940917969</v>
      </c>
      <c r="H1074" s="16">
        <f t="shared" si="45"/>
        <v>8.5818414217996401E-3</v>
      </c>
      <c r="I1074" s="16">
        <f t="shared" si="45"/>
        <v>-4.7617297986432472E-3</v>
      </c>
      <c r="J1074" s="16">
        <f t="shared" si="45"/>
        <v>-3.533484904777093E-3</v>
      </c>
      <c r="K1074" s="16">
        <f t="shared" si="45"/>
        <v>7.436486115836429E-3</v>
      </c>
      <c r="L1074" s="16">
        <f t="shared" si="46"/>
        <v>8.1528061709730936E-3</v>
      </c>
    </row>
    <row r="1075" spans="1:12" x14ac:dyDescent="0.35">
      <c r="A1075" s="18">
        <v>43811</v>
      </c>
      <c r="B1075" s="15">
        <v>290.84317016601563</v>
      </c>
      <c r="C1075" s="15">
        <v>71.025794982910156</v>
      </c>
      <c r="D1075" s="15">
        <v>138.42999267578119</v>
      </c>
      <c r="E1075" s="15">
        <v>199.32450866699219</v>
      </c>
      <c r="F1075" s="15">
        <v>147.7476806640625</v>
      </c>
      <c r="H1075" s="16">
        <f t="shared" si="45"/>
        <v>5.9927378791719567E-4</v>
      </c>
      <c r="I1075" s="16">
        <f t="shared" si="45"/>
        <v>4.5237265867216873E-3</v>
      </c>
      <c r="J1075" s="16">
        <f t="shared" si="45"/>
        <v>4.4688728367163295E-3</v>
      </c>
      <c r="K1075" s="16">
        <f t="shared" si="45"/>
        <v>3.2873433600370031E-3</v>
      </c>
      <c r="L1075" s="16">
        <f t="shared" si="46"/>
        <v>0</v>
      </c>
    </row>
    <row r="1076" spans="1:12" x14ac:dyDescent="0.35">
      <c r="A1076" s="18">
        <v>43812</v>
      </c>
      <c r="B1076" s="15">
        <v>291.01751708984381</v>
      </c>
      <c r="C1076" s="15">
        <v>71.347824096679688</v>
      </c>
      <c r="D1076" s="15">
        <v>139.05000305175781</v>
      </c>
      <c r="E1076" s="15">
        <v>199.9808349609375</v>
      </c>
      <c r="F1076" s="15">
        <v>147.7476806640625</v>
      </c>
      <c r="H1076" s="16">
        <f t="shared" si="45"/>
        <v>6.846223088511981E-3</v>
      </c>
      <c r="I1076" s="16">
        <f t="shared" si="45"/>
        <v>-2.7353259200985172E-3</v>
      </c>
      <c r="J1076" s="16">
        <f t="shared" si="45"/>
        <v>-7.1989397397490557E-5</v>
      </c>
      <c r="K1076" s="16">
        <f t="shared" si="45"/>
        <v>9.9891274010585479E-3</v>
      </c>
      <c r="L1076" s="16">
        <f t="shared" si="46"/>
        <v>7.2879011220688336E-3</v>
      </c>
    </row>
    <row r="1077" spans="1:12" x14ac:dyDescent="0.35">
      <c r="A1077" s="18">
        <v>43815</v>
      </c>
      <c r="B1077" s="15">
        <v>293.0167236328125</v>
      </c>
      <c r="C1077" s="15">
        <v>71.152931213378906</v>
      </c>
      <c r="D1077" s="15">
        <v>139.03999328613281</v>
      </c>
      <c r="E1077" s="15">
        <v>201.98847961425781</v>
      </c>
      <c r="F1077" s="15">
        <v>148.82838439941409</v>
      </c>
      <c r="H1077" s="16">
        <f t="shared" si="45"/>
        <v>2.1931503192539249E-4</v>
      </c>
      <c r="I1077" s="16">
        <f t="shared" si="45"/>
        <v>1.1879857768757415E-4</v>
      </c>
      <c r="J1077" s="16">
        <f t="shared" si="45"/>
        <v>-2.1577975709634458E-4</v>
      </c>
      <c r="K1077" s="16">
        <f t="shared" si="45"/>
        <v>5.7313055491024485E-4</v>
      </c>
      <c r="L1077" s="16">
        <f t="shared" si="46"/>
        <v>3.6882076999910501E-4</v>
      </c>
    </row>
    <row r="1078" spans="1:12" x14ac:dyDescent="0.35">
      <c r="A1078" s="18">
        <v>43816</v>
      </c>
      <c r="B1078" s="15">
        <v>293.08099365234381</v>
      </c>
      <c r="C1078" s="15">
        <v>71.161384582519531</v>
      </c>
      <c r="D1078" s="15">
        <v>139.00999450683591</v>
      </c>
      <c r="E1078" s="15">
        <v>202.1042785644531</v>
      </c>
      <c r="F1078" s="15">
        <v>148.88328552246091</v>
      </c>
      <c r="H1078" s="16">
        <f t="shared" si="45"/>
        <v>6.2369992036302483E-5</v>
      </c>
      <c r="I1078" s="16">
        <f t="shared" si="45"/>
        <v>-1.3106744585752029E-3</v>
      </c>
      <c r="J1078" s="16">
        <f t="shared" si="45"/>
        <v>7.2004932369056944E-5</v>
      </c>
      <c r="K1078" s="16">
        <f t="shared" si="45"/>
        <v>7.6376405336704668E-4</v>
      </c>
      <c r="L1078" s="16">
        <f t="shared" si="46"/>
        <v>4.3066541237416107E-4</v>
      </c>
    </row>
    <row r="1079" spans="1:12" x14ac:dyDescent="0.35">
      <c r="A1079" s="18">
        <v>43817</v>
      </c>
      <c r="B1079" s="15">
        <v>293.09927368164063</v>
      </c>
      <c r="C1079" s="15">
        <v>71.06817626953125</v>
      </c>
      <c r="D1079" s="15">
        <v>139.02000427246091</v>
      </c>
      <c r="E1079" s="15">
        <v>202.2586975097656</v>
      </c>
      <c r="F1079" s="15">
        <v>148.9474182128906</v>
      </c>
      <c r="H1079" s="16">
        <f t="shared" si="45"/>
        <v>4.0907327923504775E-3</v>
      </c>
      <c r="I1079" s="16">
        <f t="shared" si="45"/>
        <v>7.1514579615946424E-4</v>
      </c>
      <c r="J1079" s="16">
        <f t="shared" si="45"/>
        <v>2.5862126377014373E-3</v>
      </c>
      <c r="K1079" s="16">
        <f t="shared" si="45"/>
        <v>6.2321869800270697E-3</v>
      </c>
      <c r="L1079" s="16">
        <f t="shared" si="46"/>
        <v>4.355950878441572E-3</v>
      </c>
    </row>
    <row r="1080" spans="1:12" x14ac:dyDescent="0.35">
      <c r="A1080" s="18">
        <v>43818</v>
      </c>
      <c r="B1080" s="15">
        <v>294.30072021484381</v>
      </c>
      <c r="C1080" s="15">
        <v>71.1190185546875</v>
      </c>
      <c r="D1080" s="15">
        <v>139.3800048828125</v>
      </c>
      <c r="E1080" s="15">
        <v>203.52314758300781</v>
      </c>
      <c r="F1080" s="15">
        <v>149.59764099121091</v>
      </c>
      <c r="H1080" s="16">
        <f t="shared" si="45"/>
        <v>4.3742382042801535E-3</v>
      </c>
      <c r="I1080" s="16">
        <f t="shared" si="45"/>
        <v>2.3823257500657591E-4</v>
      </c>
      <c r="J1080" s="16">
        <f t="shared" si="45"/>
        <v>1.0039397404908374E-3</v>
      </c>
      <c r="K1080" s="16">
        <f t="shared" si="45"/>
        <v>4.0228336002122956E-3</v>
      </c>
      <c r="L1080" s="16">
        <f t="shared" si="46"/>
        <v>5.1292992238117265E-3</v>
      </c>
    </row>
    <row r="1081" spans="1:12" x14ac:dyDescent="0.35">
      <c r="A1081" s="18">
        <v>43819</v>
      </c>
      <c r="B1081" s="15">
        <v>295.59088134765619</v>
      </c>
      <c r="C1081" s="15">
        <v>71.135963439941406</v>
      </c>
      <c r="D1081" s="15">
        <v>139.52000427246091</v>
      </c>
      <c r="E1081" s="15">
        <v>204.3435363769531</v>
      </c>
      <c r="F1081" s="15">
        <v>150.366943359375</v>
      </c>
      <c r="H1081" s="16">
        <f t="shared" si="45"/>
        <v>1.5266184699728482E-3</v>
      </c>
      <c r="I1081" s="16">
        <f t="shared" si="45"/>
        <v>-6.3255119459931309E-4</v>
      </c>
      <c r="J1081" s="16">
        <f t="shared" si="45"/>
        <v>3.0772033721658087E-3</v>
      </c>
      <c r="K1081" s="16">
        <f t="shared" si="45"/>
        <v>2.6381221644012731E-3</v>
      </c>
      <c r="L1081" s="16">
        <f t="shared" si="46"/>
        <v>6.0898107421418534E-4</v>
      </c>
    </row>
    <row r="1082" spans="1:12" x14ac:dyDescent="0.35">
      <c r="A1082" s="18">
        <v>43822</v>
      </c>
      <c r="B1082" s="15">
        <v>296.04248046875</v>
      </c>
      <c r="C1082" s="15">
        <v>71.090980529785156</v>
      </c>
      <c r="D1082" s="15">
        <v>139.94999694824219</v>
      </c>
      <c r="E1082" s="15">
        <v>204.8833312988281</v>
      </c>
      <c r="F1082" s="15">
        <v>150.45854187011719</v>
      </c>
      <c r="H1082" s="16">
        <f t="shared" si="45"/>
        <v>3.1337389053816549E-5</v>
      </c>
      <c r="I1082" s="16">
        <f t="shared" si="45"/>
        <v>9.5489537518554548E-4</v>
      </c>
      <c r="J1082" s="16">
        <f t="shared" si="45"/>
        <v>9.3877890113968493E-3</v>
      </c>
      <c r="K1082" s="16">
        <f t="shared" si="45"/>
        <v>5.1910844366999354E-4</v>
      </c>
      <c r="L1082" s="16">
        <f t="shared" si="46"/>
        <v>2.201482506067946E-4</v>
      </c>
    </row>
    <row r="1083" spans="1:12" x14ac:dyDescent="0.35">
      <c r="A1083" s="18">
        <v>43823</v>
      </c>
      <c r="B1083" s="15">
        <v>296.0517578125</v>
      </c>
      <c r="C1083" s="15">
        <v>71.158897399902344</v>
      </c>
      <c r="D1083" s="15">
        <v>141.27000427246091</v>
      </c>
      <c r="E1083" s="15">
        <v>204.9897155761719</v>
      </c>
      <c r="F1083" s="15">
        <v>150.4916687011719</v>
      </c>
      <c r="H1083" s="16">
        <f t="shared" si="45"/>
        <v>5.3091340464975377E-3</v>
      </c>
      <c r="I1083" s="16">
        <f t="shared" si="45"/>
        <v>9.5462710406661166E-4</v>
      </c>
      <c r="J1083" s="16">
        <f t="shared" si="45"/>
        <v>7.8265908031557099E-3</v>
      </c>
      <c r="K1083" s="16">
        <f t="shared" si="45"/>
        <v>8.7854853810742095E-3</v>
      </c>
      <c r="L1083" s="16">
        <f t="shared" si="46"/>
        <v>4.8218578154780433E-3</v>
      </c>
    </row>
    <row r="1084" spans="1:12" x14ac:dyDescent="0.35">
      <c r="A1084" s="18">
        <v>43825</v>
      </c>
      <c r="B1084" s="15">
        <v>297.62771606445313</v>
      </c>
      <c r="C1084" s="15">
        <v>71.226860046386719</v>
      </c>
      <c r="D1084" s="15">
        <v>142.3800048828125</v>
      </c>
      <c r="E1084" s="15">
        <v>206.798583984375</v>
      </c>
      <c r="F1084" s="15">
        <v>151.21907043457031</v>
      </c>
      <c r="H1084" s="16">
        <f t="shared" si="45"/>
        <v>-2.4775784914589599E-4</v>
      </c>
      <c r="I1084" s="16">
        <f t="shared" si="45"/>
        <v>1.4298062724895832E-3</v>
      </c>
      <c r="J1084" s="16">
        <f t="shared" si="45"/>
        <v>-3.5125602256885568E-4</v>
      </c>
      <c r="K1084" s="16">
        <f t="shared" si="45"/>
        <v>-8.4225002500585666E-4</v>
      </c>
      <c r="L1084" s="16">
        <f t="shared" si="46"/>
        <v>-9.1371018244666322E-4</v>
      </c>
    </row>
    <row r="1085" spans="1:12" x14ac:dyDescent="0.35">
      <c r="A1085" s="18">
        <v>43826</v>
      </c>
      <c r="B1085" s="15">
        <v>297.55398559570313</v>
      </c>
      <c r="C1085" s="15">
        <v>71.328773498535156</v>
      </c>
      <c r="D1085" s="15">
        <v>142.33000183105469</v>
      </c>
      <c r="E1085" s="15">
        <v>206.6244812011719</v>
      </c>
      <c r="F1085" s="15">
        <v>151.0809631347656</v>
      </c>
      <c r="H1085" s="16">
        <f t="shared" si="45"/>
        <v>-5.528549401262981E-3</v>
      </c>
      <c r="I1085" s="16">
        <f t="shared" si="45"/>
        <v>-3.5720645677185335E-4</v>
      </c>
      <c r="J1085" s="16">
        <f t="shared" si="45"/>
        <v>2.1055808220621446E-3</v>
      </c>
      <c r="K1085" s="16">
        <f t="shared" si="45"/>
        <v>-6.5757237444227018E-3</v>
      </c>
      <c r="L1085" s="16">
        <f t="shared" si="46"/>
        <v>-5.4390337590536787E-3</v>
      </c>
    </row>
    <row r="1086" spans="1:12" x14ac:dyDescent="0.35">
      <c r="A1086" s="18">
        <v>43829</v>
      </c>
      <c r="B1086" s="15">
        <v>295.91348266601563</v>
      </c>
      <c r="C1086" s="15">
        <v>71.303298950195313</v>
      </c>
      <c r="D1086" s="15">
        <v>142.6300048828125</v>
      </c>
      <c r="E1086" s="15">
        <v>205.2702331542969</v>
      </c>
      <c r="F1086" s="15">
        <v>150.26145935058591</v>
      </c>
      <c r="H1086" s="16">
        <f t="shared" si="45"/>
        <v>2.4263858679741852E-3</v>
      </c>
      <c r="I1086" s="16">
        <f t="shared" si="45"/>
        <v>-1.072599815717857E-3</v>
      </c>
      <c r="J1086" s="16">
        <f t="shared" si="45"/>
        <v>1.8911434545751057E-3</v>
      </c>
      <c r="K1086" s="16">
        <f t="shared" si="45"/>
        <v>1.8831416167795574E-3</v>
      </c>
      <c r="L1086" s="16">
        <f t="shared" si="46"/>
        <v>2.6316099564166946E-3</v>
      </c>
    </row>
    <row r="1087" spans="1:12" x14ac:dyDescent="0.35">
      <c r="A1087" s="18">
        <v>43830</v>
      </c>
      <c r="B1087" s="15">
        <v>296.63235473632813</v>
      </c>
      <c r="C1087" s="15">
        <v>71.226860046386719</v>
      </c>
      <c r="D1087" s="15">
        <v>142.8999938964844</v>
      </c>
      <c r="E1087" s="15">
        <v>205.65715026855469</v>
      </c>
      <c r="F1087" s="15">
        <v>150.65740966796881</v>
      </c>
      <c r="H1087" s="16">
        <f t="shared" si="45"/>
        <v>9.3086530897427341E-3</v>
      </c>
      <c r="I1087" s="16">
        <f t="shared" si="45"/>
        <v>1.310858604082111E-3</v>
      </c>
      <c r="J1087" s="16">
        <f t="shared" si="45"/>
        <v>7.320953634035671E-3</v>
      </c>
      <c r="K1087" s="16">
        <f t="shared" si="45"/>
        <v>1.6559408968010631E-2</v>
      </c>
      <c r="L1087" s="16">
        <f t="shared" si="46"/>
        <v>8.2774045941973965E-3</v>
      </c>
    </row>
    <row r="1088" spans="1:12" x14ac:dyDescent="0.35">
      <c r="A1088" s="18">
        <v>43832</v>
      </c>
      <c r="B1088" s="15">
        <v>299.406494140625</v>
      </c>
      <c r="C1088" s="15">
        <v>71.320289611816406</v>
      </c>
      <c r="D1088" s="15">
        <v>143.94999694824219</v>
      </c>
      <c r="E1088" s="15">
        <v>209.091064453125</v>
      </c>
      <c r="F1088" s="15">
        <v>151.9096374511719</v>
      </c>
      <c r="H1088" s="16">
        <f t="shared" si="45"/>
        <v>-7.6010669627449706E-3</v>
      </c>
      <c r="I1088" s="16">
        <f t="shared" si="45"/>
        <v>3.5666601092715238E-3</v>
      </c>
      <c r="J1088" s="16">
        <f t="shared" si="45"/>
        <v>1.318126588252903E-2</v>
      </c>
      <c r="K1088" s="16">
        <f t="shared" si="45"/>
        <v>-9.2021808092984207E-3</v>
      </c>
      <c r="L1088" s="16">
        <f t="shared" si="46"/>
        <v>-6.384627693730373E-3</v>
      </c>
    </row>
    <row r="1089" spans="1:12" x14ac:dyDescent="0.35">
      <c r="A1089" s="18">
        <v>43833</v>
      </c>
      <c r="B1089" s="15">
        <v>297.13931274414063</v>
      </c>
      <c r="C1089" s="15">
        <v>71.575119018554688</v>
      </c>
      <c r="D1089" s="15">
        <v>145.86000061035159</v>
      </c>
      <c r="E1089" s="15">
        <v>207.17579650878909</v>
      </c>
      <c r="F1089" s="15">
        <v>150.9428405761719</v>
      </c>
      <c r="H1089" s="16">
        <f t="shared" si="45"/>
        <v>3.8073973913049955E-3</v>
      </c>
      <c r="I1089" s="16">
        <f t="shared" si="45"/>
        <v>-1.1879362633363268E-3</v>
      </c>
      <c r="J1089" s="16">
        <f t="shared" si="45"/>
        <v>1.0434868967011547E-2</v>
      </c>
      <c r="K1089" s="16">
        <f t="shared" si="45"/>
        <v>6.4223575894501684E-3</v>
      </c>
      <c r="L1089" s="16">
        <f t="shared" si="46"/>
        <v>3.410509066289721E-3</v>
      </c>
    </row>
    <row r="1090" spans="1:12" x14ac:dyDescent="0.35">
      <c r="A1090" s="18">
        <v>43836</v>
      </c>
      <c r="B1090" s="15">
        <v>298.27279663085938</v>
      </c>
      <c r="C1090" s="15">
        <v>71.490142822265625</v>
      </c>
      <c r="D1090" s="15">
        <v>147.38999938964841</v>
      </c>
      <c r="E1090" s="15">
        <v>208.51063537597659</v>
      </c>
      <c r="F1090" s="15">
        <v>151.45851135253909</v>
      </c>
      <c r="H1090" s="16">
        <f t="shared" si="45"/>
        <v>-2.8156600591078217E-3</v>
      </c>
      <c r="I1090" s="16">
        <f t="shared" si="45"/>
        <v>-8.3233175764767361E-4</v>
      </c>
      <c r="J1090" s="16">
        <f t="shared" si="45"/>
        <v>3.927428056507489E-3</v>
      </c>
      <c r="K1090" s="16">
        <f t="shared" si="45"/>
        <v>-1.3897830186124924E-4</v>
      </c>
      <c r="L1090" s="16">
        <f t="shared" si="46"/>
        <v>-2.3738647101604043E-3</v>
      </c>
    </row>
    <row r="1091" spans="1:12" x14ac:dyDescent="0.35">
      <c r="A1091" s="18">
        <v>43837</v>
      </c>
      <c r="B1091" s="15">
        <v>297.43414306640619</v>
      </c>
      <c r="C1091" s="15">
        <v>71.4306640625</v>
      </c>
      <c r="D1091" s="15">
        <v>147.9700012207031</v>
      </c>
      <c r="E1091" s="15">
        <v>208.4816589355469</v>
      </c>
      <c r="F1091" s="15">
        <v>151.0993957519531</v>
      </c>
      <c r="H1091" s="16">
        <f t="shared" si="45"/>
        <v>5.3156522921327543E-3</v>
      </c>
      <c r="I1091" s="16">
        <f t="shared" si="45"/>
        <v>-1.5463920882874342E-3</v>
      </c>
      <c r="J1091" s="16">
        <f t="shared" si="45"/>
        <v>-7.5298025846348279E-3</v>
      </c>
      <c r="K1091" s="16">
        <f t="shared" ref="K1091:L1154" si="47">LN(E1092/E1091)</f>
        <v>7.4882214970971002E-3</v>
      </c>
      <c r="L1091" s="16">
        <f t="shared" si="46"/>
        <v>4.9238083300177319E-3</v>
      </c>
    </row>
    <row r="1092" spans="1:12" x14ac:dyDescent="0.35">
      <c r="A1092" s="18">
        <v>43838</v>
      </c>
      <c r="B1092" s="15">
        <v>299.0194091796875</v>
      </c>
      <c r="C1092" s="15">
        <v>71.320289611816406</v>
      </c>
      <c r="D1092" s="15">
        <v>146.86000061035159</v>
      </c>
      <c r="E1092" s="15">
        <v>210.0486755371094</v>
      </c>
      <c r="F1092" s="15">
        <v>151.84521484375</v>
      </c>
      <c r="H1092" s="16">
        <f t="shared" ref="H1092:L1155" si="48">LN(B1093/B1092)</f>
        <v>6.7575999642724739E-3</v>
      </c>
      <c r="I1092" s="16">
        <f t="shared" si="48"/>
        <v>1.1903363298054715E-3</v>
      </c>
      <c r="J1092" s="16">
        <f t="shared" si="48"/>
        <v>-5.6676844863565315E-3</v>
      </c>
      <c r="K1092" s="16">
        <f t="shared" si="47"/>
        <v>8.437795466620988E-3</v>
      </c>
      <c r="L1092" s="16">
        <f t="shared" si="47"/>
        <v>6.2260757911075442E-3</v>
      </c>
    </row>
    <row r="1093" spans="1:12" x14ac:dyDescent="0.35">
      <c r="A1093" s="18">
        <v>43839</v>
      </c>
      <c r="B1093" s="15">
        <v>301.04690551757813</v>
      </c>
      <c r="C1093" s="15">
        <v>71.405235290527344</v>
      </c>
      <c r="D1093" s="15">
        <v>146.0299987792969</v>
      </c>
      <c r="E1093" s="15">
        <v>211.8285217285156</v>
      </c>
      <c r="F1093" s="15">
        <v>152.79356384277341</v>
      </c>
      <c r="H1093" s="16">
        <f t="shared" si="48"/>
        <v>-2.8816796165816424E-3</v>
      </c>
      <c r="I1093" s="16">
        <f t="shared" si="48"/>
        <v>1.6638167130229443E-3</v>
      </c>
      <c r="J1093" s="16">
        <f t="shared" si="48"/>
        <v>6.0081076167883976E-3</v>
      </c>
      <c r="K1093" s="16">
        <f t="shared" si="47"/>
        <v>-2.5606154733404858E-3</v>
      </c>
      <c r="L1093" s="16">
        <f t="shared" si="47"/>
        <v>-2.8965924084450112E-3</v>
      </c>
    </row>
    <row r="1094" spans="1:12" x14ac:dyDescent="0.35">
      <c r="A1094" s="18">
        <v>43840</v>
      </c>
      <c r="B1094" s="15">
        <v>300.18063354492188</v>
      </c>
      <c r="C1094" s="15">
        <v>71.524139404296875</v>
      </c>
      <c r="D1094" s="15">
        <v>146.9100036621094</v>
      </c>
      <c r="E1094" s="15">
        <v>211.28680419921881</v>
      </c>
      <c r="F1094" s="15">
        <v>152.35162353515619</v>
      </c>
      <c r="H1094" s="16">
        <f t="shared" si="48"/>
        <v>6.8537272690433705E-3</v>
      </c>
      <c r="I1094" s="16">
        <f t="shared" si="48"/>
        <v>-5.9432182215777782E-4</v>
      </c>
      <c r="J1094" s="16">
        <f t="shared" si="48"/>
        <v>-7.4471447038160733E-3</v>
      </c>
      <c r="K1094" s="16">
        <f t="shared" si="47"/>
        <v>1.1470913956933922E-2</v>
      </c>
      <c r="L1094" s="16">
        <f t="shared" si="47"/>
        <v>6.8061600588463084E-3</v>
      </c>
    </row>
    <row r="1095" spans="1:12" x14ac:dyDescent="0.35">
      <c r="A1095" s="18">
        <v>43843</v>
      </c>
      <c r="B1095" s="15">
        <v>302.24505615234381</v>
      </c>
      <c r="C1095" s="15">
        <v>71.481643676757813</v>
      </c>
      <c r="D1095" s="15">
        <v>145.82000732421881</v>
      </c>
      <c r="E1095" s="15">
        <v>213.72441101074219</v>
      </c>
      <c r="F1095" s="15">
        <v>153.39208984375</v>
      </c>
      <c r="H1095" s="16">
        <f t="shared" si="48"/>
        <v>-1.5258051934666501E-3</v>
      </c>
      <c r="I1095" s="16">
        <f t="shared" si="48"/>
        <v>1.4252465116692131E-3</v>
      </c>
      <c r="J1095" s="16">
        <f t="shared" si="48"/>
        <v>-8.9194118264427009E-4</v>
      </c>
      <c r="K1095" s="16">
        <f t="shared" si="47"/>
        <v>-3.9452611224475367E-3</v>
      </c>
      <c r="L1095" s="16">
        <f t="shared" si="47"/>
        <v>-5.4039864146776366E-4</v>
      </c>
    </row>
    <row r="1096" spans="1:12" x14ac:dyDescent="0.35">
      <c r="A1096" s="18">
        <v>43844</v>
      </c>
      <c r="B1096" s="15">
        <v>301.78424072265619</v>
      </c>
      <c r="C1096" s="15">
        <v>71.583595275878906</v>
      </c>
      <c r="D1096" s="15">
        <v>145.69000244140619</v>
      </c>
      <c r="E1096" s="15">
        <v>212.88287353515619</v>
      </c>
      <c r="F1096" s="15">
        <v>153.30921936035159</v>
      </c>
      <c r="H1096" s="16">
        <f t="shared" si="48"/>
        <v>2.2573655752799139E-3</v>
      </c>
      <c r="I1096" s="16">
        <f t="shared" si="48"/>
        <v>1.5413468763400848E-3</v>
      </c>
      <c r="J1096" s="16">
        <f t="shared" si="48"/>
        <v>5.8172894924354984E-3</v>
      </c>
      <c r="K1096" s="16">
        <f t="shared" si="47"/>
        <v>4.0890490234486829E-4</v>
      </c>
      <c r="L1096" s="16">
        <f t="shared" si="47"/>
        <v>2.45953161688763E-3</v>
      </c>
    </row>
    <row r="1097" spans="1:12" x14ac:dyDescent="0.35">
      <c r="A1097" s="18">
        <v>43845</v>
      </c>
      <c r="B1097" s="15">
        <v>302.46624755859381</v>
      </c>
      <c r="C1097" s="15">
        <v>71.694015502929688</v>
      </c>
      <c r="D1097" s="15">
        <v>146.53999328613281</v>
      </c>
      <c r="E1097" s="15">
        <v>212.9699401855469</v>
      </c>
      <c r="F1097" s="15">
        <v>153.68675231933591</v>
      </c>
      <c r="H1097" s="16">
        <f t="shared" si="48"/>
        <v>8.2840485692787444E-3</v>
      </c>
      <c r="I1097" s="16">
        <f t="shared" si="48"/>
        <v>-5.9270022451933578E-4</v>
      </c>
      <c r="J1097" s="16">
        <f t="shared" si="48"/>
        <v>-1.5707412123404461E-3</v>
      </c>
      <c r="K1097" s="16">
        <f t="shared" si="47"/>
        <v>9.5377413244552046E-3</v>
      </c>
      <c r="L1097" s="16">
        <f t="shared" si="47"/>
        <v>8.5310083889632501E-3</v>
      </c>
    </row>
    <row r="1098" spans="1:12" x14ac:dyDescent="0.35">
      <c r="A1098" s="18">
        <v>43846</v>
      </c>
      <c r="B1098" s="15">
        <v>304.9822998046875</v>
      </c>
      <c r="C1098" s="15">
        <v>71.651535034179688</v>
      </c>
      <c r="D1098" s="15">
        <v>146.30999755859381</v>
      </c>
      <c r="E1098" s="15">
        <v>215.01091003417969</v>
      </c>
      <c r="F1098" s="15">
        <v>155.00346374511719</v>
      </c>
      <c r="H1098" s="16">
        <f t="shared" si="48"/>
        <v>3.1075398373450911E-3</v>
      </c>
      <c r="I1098" s="16">
        <f t="shared" si="48"/>
        <v>-1.1862480850521146E-4</v>
      </c>
      <c r="J1098" s="16">
        <f t="shared" si="48"/>
        <v>1.8437252860085142E-3</v>
      </c>
      <c r="K1098" s="16">
        <f t="shared" si="47"/>
        <v>4.9366430938080456E-3</v>
      </c>
      <c r="L1098" s="16">
        <f t="shared" si="47"/>
        <v>2.4916004252900571E-3</v>
      </c>
    </row>
    <row r="1099" spans="1:12" x14ac:dyDescent="0.35">
      <c r="A1099" s="18">
        <v>43847</v>
      </c>
      <c r="B1099" s="15">
        <v>305.9315185546875</v>
      </c>
      <c r="C1099" s="15">
        <v>71.643035888671875</v>
      </c>
      <c r="D1099" s="15">
        <v>146.58000183105469</v>
      </c>
      <c r="E1099" s="15">
        <v>216.07496643066409</v>
      </c>
      <c r="F1099" s="15">
        <v>155.39015197753909</v>
      </c>
      <c r="H1099" s="16">
        <f t="shared" si="48"/>
        <v>-1.9598706216953058E-3</v>
      </c>
      <c r="I1099" s="16">
        <f t="shared" si="48"/>
        <v>2.4864710375000539E-3</v>
      </c>
      <c r="J1099" s="16">
        <f t="shared" si="48"/>
        <v>1.0909837309723289E-3</v>
      </c>
      <c r="K1099" s="16">
        <f t="shared" si="47"/>
        <v>-4.4781858360596867E-4</v>
      </c>
      <c r="L1099" s="16">
        <f t="shared" si="47"/>
        <v>-2.1353053119272519E-3</v>
      </c>
    </row>
    <row r="1100" spans="1:12" x14ac:dyDescent="0.35">
      <c r="A1100" s="18">
        <v>43851</v>
      </c>
      <c r="B1100" s="15">
        <v>305.33251953125</v>
      </c>
      <c r="C1100" s="15">
        <v>71.821395874023438</v>
      </c>
      <c r="D1100" s="15">
        <v>146.74000549316409</v>
      </c>
      <c r="E1100" s="15">
        <v>215.97822570800781</v>
      </c>
      <c r="F1100" s="15">
        <v>155.05870056152341</v>
      </c>
      <c r="H1100" s="16">
        <f t="shared" si="48"/>
        <v>1.2033095424367601E-4</v>
      </c>
      <c r="I1100" s="16">
        <f t="shared" si="48"/>
        <v>8.2759319632736761E-4</v>
      </c>
      <c r="J1100" s="16">
        <f t="shared" si="48"/>
        <v>3.4059751071336249E-4</v>
      </c>
      <c r="K1100" s="16">
        <f t="shared" si="47"/>
        <v>2.6389536271911123E-3</v>
      </c>
      <c r="L1100" s="16">
        <f t="shared" si="47"/>
        <v>5.9380549303139477E-4</v>
      </c>
    </row>
    <row r="1101" spans="1:12" x14ac:dyDescent="0.35">
      <c r="A1101" s="18">
        <v>43852</v>
      </c>
      <c r="B1101" s="15">
        <v>305.3692626953125</v>
      </c>
      <c r="C1101" s="15">
        <v>71.880859375</v>
      </c>
      <c r="D1101" s="15">
        <v>146.78999328613281</v>
      </c>
      <c r="E1101" s="15">
        <v>216.54893493652341</v>
      </c>
      <c r="F1101" s="15">
        <v>155.15080261230469</v>
      </c>
      <c r="H1101" s="16">
        <f t="shared" si="48"/>
        <v>1.1464153705835153E-3</v>
      </c>
      <c r="I1101" s="16">
        <f t="shared" si="48"/>
        <v>1.7709596588943509E-3</v>
      </c>
      <c r="J1101" s="16">
        <f t="shared" si="48"/>
        <v>2.2455988755117292E-3</v>
      </c>
      <c r="K1101" s="16">
        <f t="shared" si="47"/>
        <v>3.2108628256469888E-3</v>
      </c>
      <c r="L1101" s="16">
        <f t="shared" si="47"/>
        <v>1.1270241624734311E-3</v>
      </c>
    </row>
    <row r="1102" spans="1:12" x14ac:dyDescent="0.35">
      <c r="A1102" s="18">
        <v>43853</v>
      </c>
      <c r="B1102" s="15">
        <v>305.71954345703119</v>
      </c>
      <c r="C1102" s="15">
        <v>72.008270263671875</v>
      </c>
      <c r="D1102" s="15">
        <v>147.1199951171875</v>
      </c>
      <c r="E1102" s="15">
        <v>217.245361328125</v>
      </c>
      <c r="F1102" s="15">
        <v>155.32575988769531</v>
      </c>
      <c r="H1102" s="16">
        <f t="shared" si="48"/>
        <v>-8.9330350141126544E-3</v>
      </c>
      <c r="I1102" s="16">
        <f t="shared" si="48"/>
        <v>1.5323694002879217E-3</v>
      </c>
      <c r="J1102" s="16">
        <f t="shared" si="48"/>
        <v>5.8285535187769478E-3</v>
      </c>
      <c r="K1102" s="16">
        <f t="shared" si="47"/>
        <v>-8.4508430349637901E-3</v>
      </c>
      <c r="L1102" s="16">
        <f t="shared" si="47"/>
        <v>-9.5302805896709062E-3</v>
      </c>
    </row>
    <row r="1103" spans="1:12" x14ac:dyDescent="0.35">
      <c r="A1103" s="18">
        <v>43854</v>
      </c>
      <c r="B1103" s="15">
        <v>303.00070190429688</v>
      </c>
      <c r="C1103" s="15">
        <v>72.118698120117188</v>
      </c>
      <c r="D1103" s="15">
        <v>147.97999572753909</v>
      </c>
      <c r="E1103" s="15">
        <v>215.41719055175781</v>
      </c>
      <c r="F1103" s="15">
        <v>153.85249328613281</v>
      </c>
      <c r="H1103" s="16">
        <f t="shared" si="48"/>
        <v>-1.6158898426368744E-2</v>
      </c>
      <c r="I1103" s="16">
        <f t="shared" si="48"/>
        <v>3.2917149016690648E-3</v>
      </c>
      <c r="J1103" s="16">
        <f t="shared" si="48"/>
        <v>6.8021258430709438E-3</v>
      </c>
      <c r="K1103" s="16">
        <f t="shared" si="47"/>
        <v>-2.0871758446568543E-2</v>
      </c>
      <c r="L1103" s="16">
        <f t="shared" si="47"/>
        <v>-1.5135572508063735E-2</v>
      </c>
    </row>
    <row r="1104" spans="1:12" x14ac:dyDescent="0.35">
      <c r="A1104" s="18">
        <v>43857</v>
      </c>
      <c r="B1104" s="15">
        <v>298.14389038085938</v>
      </c>
      <c r="C1104" s="15">
        <v>72.356483459472656</v>
      </c>
      <c r="D1104" s="15">
        <v>148.99000549316409</v>
      </c>
      <c r="E1104" s="15">
        <v>210.9676513671875</v>
      </c>
      <c r="F1104" s="15">
        <v>151.5413818359375</v>
      </c>
      <c r="H1104" s="16">
        <f t="shared" si="48"/>
        <v>1.0424332180612098E-2</v>
      </c>
      <c r="I1104" s="16">
        <f t="shared" si="48"/>
        <v>-1.7624294590678378E-3</v>
      </c>
      <c r="J1104" s="16">
        <f t="shared" si="48"/>
        <v>-8.9668680366179303E-3</v>
      </c>
      <c r="K1104" s="16">
        <f t="shared" si="47"/>
        <v>1.524301632769319E-2</v>
      </c>
      <c r="L1104" s="16">
        <f t="shared" si="47"/>
        <v>9.6143906079265151E-3</v>
      </c>
    </row>
    <row r="1105" spans="1:12" x14ac:dyDescent="0.35">
      <c r="A1105" s="18">
        <v>43858</v>
      </c>
      <c r="B1105" s="15">
        <v>301.26809692382813</v>
      </c>
      <c r="C1105" s="15">
        <v>72.229072570800781</v>
      </c>
      <c r="D1105" s="15">
        <v>147.6600036621094</v>
      </c>
      <c r="E1105" s="15">
        <v>214.20806884765619</v>
      </c>
      <c r="F1105" s="15">
        <v>153.00538635253909</v>
      </c>
      <c r="H1105" s="16">
        <f t="shared" si="48"/>
        <v>-8.2631768619339456E-4</v>
      </c>
      <c r="I1105" s="16">
        <f t="shared" si="48"/>
        <v>2.8181874422779011E-3</v>
      </c>
      <c r="J1105" s="16">
        <f t="shared" si="48"/>
        <v>5.40324848083129E-3</v>
      </c>
      <c r="K1105" s="16">
        <f t="shared" si="47"/>
        <v>1.6243707819549914E-3</v>
      </c>
      <c r="L1105" s="16">
        <f t="shared" si="47"/>
        <v>-6.6240753033564839E-4</v>
      </c>
    </row>
    <row r="1106" spans="1:12" x14ac:dyDescent="0.35">
      <c r="A1106" s="18">
        <v>43859</v>
      </c>
      <c r="B1106" s="15">
        <v>301.01925659179688</v>
      </c>
      <c r="C1106" s="15">
        <v>72.432914733886719</v>
      </c>
      <c r="D1106" s="15">
        <v>148.46000671386719</v>
      </c>
      <c r="E1106" s="15">
        <v>214.5563049316406</v>
      </c>
      <c r="F1106" s="15">
        <v>152.90406799316409</v>
      </c>
      <c r="H1106" s="16">
        <f t="shared" si="48"/>
        <v>3.2400467037604626E-3</v>
      </c>
      <c r="I1106" s="16">
        <f t="shared" si="48"/>
        <v>2.346488035409019E-4</v>
      </c>
      <c r="J1106" s="16">
        <f t="shared" si="48"/>
        <v>6.7318940980099783E-5</v>
      </c>
      <c r="K1106" s="16">
        <f t="shared" si="47"/>
        <v>3.5552558986640267E-3</v>
      </c>
      <c r="L1106" s="16">
        <f t="shared" si="47"/>
        <v>2.4060117317152283E-3</v>
      </c>
    </row>
    <row r="1107" spans="1:12" x14ac:dyDescent="0.35">
      <c r="A1107" s="18">
        <v>43860</v>
      </c>
      <c r="B1107" s="15">
        <v>301.99615478515619</v>
      </c>
      <c r="C1107" s="15">
        <v>72.449913024902344</v>
      </c>
      <c r="D1107" s="15">
        <v>148.4700012207031</v>
      </c>
      <c r="E1107" s="15">
        <v>215.3204650878906</v>
      </c>
      <c r="F1107" s="15">
        <v>153.27239990234381</v>
      </c>
      <c r="H1107" s="16">
        <f t="shared" si="48"/>
        <v>-1.8324352952009647E-2</v>
      </c>
      <c r="I1107" s="16">
        <f t="shared" si="48"/>
        <v>2.5757238076119476E-3</v>
      </c>
      <c r="J1107" s="16">
        <f t="shared" si="48"/>
        <v>5.7757084771895839E-3</v>
      </c>
      <c r="K1107" s="16">
        <f t="shared" si="47"/>
        <v>-1.5985221966742322E-2</v>
      </c>
      <c r="L1107" s="16">
        <f t="shared" si="47"/>
        <v>-1.7819802171747414E-2</v>
      </c>
    </row>
    <row r="1108" spans="1:12" x14ac:dyDescent="0.35">
      <c r="A1108" s="18">
        <v>43861</v>
      </c>
      <c r="B1108" s="15">
        <v>296.51266479492188</v>
      </c>
      <c r="C1108" s="15">
        <v>72.636764526367188</v>
      </c>
      <c r="D1108" s="15">
        <v>149.33000183105469</v>
      </c>
      <c r="E1108" s="15">
        <v>211.9058837890625</v>
      </c>
      <c r="F1108" s="15">
        <v>150.5653076171875</v>
      </c>
      <c r="H1108" s="16">
        <f t="shared" si="48"/>
        <v>7.4007126087417699E-3</v>
      </c>
      <c r="I1108" s="16">
        <f t="shared" si="48"/>
        <v>-9.0234158335794211E-4</v>
      </c>
      <c r="J1108" s="16">
        <f t="shared" si="48"/>
        <v>-6.5168775955974792E-3</v>
      </c>
      <c r="K1108" s="16">
        <f t="shared" si="47"/>
        <v>1.4996372304920165E-2</v>
      </c>
      <c r="L1108" s="16">
        <f t="shared" si="47"/>
        <v>8.7680814706036069E-3</v>
      </c>
    </row>
    <row r="1109" spans="1:12" x14ac:dyDescent="0.35">
      <c r="A1109" s="18">
        <v>43864</v>
      </c>
      <c r="B1109" s="15">
        <v>298.7152099609375</v>
      </c>
      <c r="C1109" s="15">
        <v>72.571250915527344</v>
      </c>
      <c r="D1109" s="15">
        <v>148.36000061035159</v>
      </c>
      <c r="E1109" s="15">
        <v>215.10765075683591</v>
      </c>
      <c r="F1109" s="15">
        <v>151.89128112792969</v>
      </c>
      <c r="H1109" s="16">
        <f t="shared" si="48"/>
        <v>1.5126477546585856E-2</v>
      </c>
      <c r="I1109" s="16">
        <f t="shared" si="48"/>
        <v>-3.0544730311405552E-3</v>
      </c>
      <c r="J1109" s="16">
        <f t="shared" si="48"/>
        <v>-1.3094308186782977E-2</v>
      </c>
      <c r="K1109" s="16">
        <f t="shared" si="47"/>
        <v>2.2630700313010579E-2</v>
      </c>
      <c r="L1109" s="16">
        <f t="shared" si="47"/>
        <v>1.563823726588956E-2</v>
      </c>
    </row>
    <row r="1110" spans="1:12" x14ac:dyDescent="0.35">
      <c r="A1110" s="18">
        <v>43865</v>
      </c>
      <c r="B1110" s="15">
        <v>303.26806640625</v>
      </c>
      <c r="C1110" s="15">
        <v>72.349922180175781</v>
      </c>
      <c r="D1110" s="15">
        <v>146.42999267578119</v>
      </c>
      <c r="E1110" s="15">
        <v>220.03118896484381</v>
      </c>
      <c r="F1110" s="15">
        <v>154.28526306152341</v>
      </c>
      <c r="H1110" s="16">
        <f t="shared" si="48"/>
        <v>1.148181969108489E-2</v>
      </c>
      <c r="I1110" s="16">
        <f t="shared" si="48"/>
        <v>-1.6482963530233016E-3</v>
      </c>
      <c r="J1110" s="16">
        <f t="shared" si="48"/>
        <v>1.2285555646723556E-3</v>
      </c>
      <c r="K1110" s="16">
        <f t="shared" si="47"/>
        <v>3.2918794693402873E-3</v>
      </c>
      <c r="L1110" s="16">
        <f t="shared" si="47"/>
        <v>9.7990917574853099E-3</v>
      </c>
    </row>
    <row r="1111" spans="1:12" x14ac:dyDescent="0.35">
      <c r="A1111" s="18">
        <v>43866</v>
      </c>
      <c r="B1111" s="15">
        <v>306.77020263671881</v>
      </c>
      <c r="C1111" s="15">
        <v>72.230766296386719</v>
      </c>
      <c r="D1111" s="15">
        <v>146.61000061035159</v>
      </c>
      <c r="E1111" s="15">
        <v>220.75669860839841</v>
      </c>
      <c r="F1111" s="15">
        <v>155.80455017089841</v>
      </c>
      <c r="H1111" s="16">
        <f t="shared" si="48"/>
        <v>3.3588743801402868E-3</v>
      </c>
      <c r="I1111" s="16">
        <f t="shared" si="48"/>
        <v>9.4247256035076034E-4</v>
      </c>
      <c r="J1111" s="16">
        <f t="shared" si="48"/>
        <v>5.3739342341258788E-3</v>
      </c>
      <c r="K1111" s="16">
        <f t="shared" si="47"/>
        <v>8.5949192735098861E-3</v>
      </c>
      <c r="L1111" s="16">
        <f t="shared" si="47"/>
        <v>2.7737947648078616E-3</v>
      </c>
    </row>
    <row r="1112" spans="1:12" x14ac:dyDescent="0.35">
      <c r="A1112" s="18">
        <v>43867</v>
      </c>
      <c r="B1112" s="15">
        <v>307.80233764648438</v>
      </c>
      <c r="C1112" s="15">
        <v>72.298873901367188</v>
      </c>
      <c r="D1112" s="15">
        <v>147.3999938964844</v>
      </c>
      <c r="E1112" s="15">
        <v>222.6622619628906</v>
      </c>
      <c r="F1112" s="15">
        <v>156.23731994628909</v>
      </c>
      <c r="H1112" s="16">
        <f t="shared" si="48"/>
        <v>-5.3437829404368352E-3</v>
      </c>
      <c r="I1112" s="16">
        <f t="shared" si="48"/>
        <v>3.055995196706871E-3</v>
      </c>
      <c r="J1112" s="16">
        <f t="shared" si="48"/>
        <v>2.6423634506579476E-3</v>
      </c>
      <c r="K1112" s="16">
        <f t="shared" si="47"/>
        <v>-4.3102148874599082E-3</v>
      </c>
      <c r="L1112" s="16">
        <f t="shared" si="47"/>
        <v>-5.7329793616711514E-3</v>
      </c>
    </row>
    <row r="1113" spans="1:12" x14ac:dyDescent="0.35">
      <c r="A1113" s="18">
        <v>43868</v>
      </c>
      <c r="B1113" s="15">
        <v>306.16189575195313</v>
      </c>
      <c r="C1113" s="15">
        <v>72.520156860351563</v>
      </c>
      <c r="D1113" s="15">
        <v>147.78999328613281</v>
      </c>
      <c r="E1113" s="15">
        <v>221.70460510253909</v>
      </c>
      <c r="F1113" s="15">
        <v>155.34417724609381</v>
      </c>
      <c r="H1113" s="16">
        <f t="shared" si="48"/>
        <v>7.4377480528923009E-3</v>
      </c>
      <c r="I1113" s="16">
        <f t="shared" si="48"/>
        <v>1.5245025534712671E-3</v>
      </c>
      <c r="J1113" s="16">
        <f t="shared" si="48"/>
        <v>2.5679490647931946E-3</v>
      </c>
      <c r="K1113" s="16">
        <f t="shared" si="47"/>
        <v>1.2013197654641841E-2</v>
      </c>
      <c r="L1113" s="16">
        <f t="shared" si="47"/>
        <v>7.3227620731477362E-3</v>
      </c>
    </row>
    <row r="1114" spans="1:12" x14ac:dyDescent="0.35">
      <c r="A1114" s="18">
        <v>43871</v>
      </c>
      <c r="B1114" s="15">
        <v>308.44754028320313</v>
      </c>
      <c r="C1114" s="15">
        <v>72.63079833984375</v>
      </c>
      <c r="D1114" s="15">
        <v>148.16999816894531</v>
      </c>
      <c r="E1114" s="15">
        <v>224.38404846191409</v>
      </c>
      <c r="F1114" s="15">
        <v>156.48590087890619</v>
      </c>
      <c r="H1114" s="16">
        <f t="shared" si="48"/>
        <v>1.731520513690717E-3</v>
      </c>
      <c r="I1114" s="16">
        <f t="shared" si="48"/>
        <v>-1.6419168632542673E-3</v>
      </c>
      <c r="J1114" s="16">
        <f t="shared" si="48"/>
        <v>-3.4478924308699349E-3</v>
      </c>
      <c r="K1114" s="16">
        <f t="shared" si="47"/>
        <v>1.7250873746470357E-4</v>
      </c>
      <c r="L1114" s="16">
        <f t="shared" si="47"/>
        <v>2.7616368873793324E-3</v>
      </c>
    </row>
    <row r="1115" spans="1:12" x14ac:dyDescent="0.35">
      <c r="A1115" s="18">
        <v>43872</v>
      </c>
      <c r="B1115" s="15">
        <v>308.98208618164063</v>
      </c>
      <c r="C1115" s="15">
        <v>72.511642456054688</v>
      </c>
      <c r="D1115" s="15">
        <v>147.6600036621094</v>
      </c>
      <c r="E1115" s="15">
        <v>224.4227600097656</v>
      </c>
      <c r="F1115" s="15">
        <v>156.91865539550781</v>
      </c>
      <c r="H1115" s="16">
        <f t="shared" si="48"/>
        <v>6.4220771366050988E-3</v>
      </c>
      <c r="I1115" s="16">
        <f t="shared" si="48"/>
        <v>-1.1741645797184415E-3</v>
      </c>
      <c r="J1115" s="16">
        <f t="shared" si="48"/>
        <v>-8.130784812248272E-4</v>
      </c>
      <c r="K1115" s="16">
        <f t="shared" si="47"/>
        <v>9.6934995503367479E-3</v>
      </c>
      <c r="L1115" s="16">
        <f t="shared" si="47"/>
        <v>6.2590684823642497E-3</v>
      </c>
    </row>
    <row r="1116" spans="1:12" x14ac:dyDescent="0.35">
      <c r="A1116" s="18">
        <v>43873</v>
      </c>
      <c r="B1116" s="15">
        <v>310.9727783203125</v>
      </c>
      <c r="C1116" s="15">
        <v>72.426551818847656</v>
      </c>
      <c r="D1116" s="15">
        <v>147.53999328613281</v>
      </c>
      <c r="E1116" s="15">
        <v>226.60877990722659</v>
      </c>
      <c r="F1116" s="15">
        <v>157.9039001464844</v>
      </c>
      <c r="H1116" s="16">
        <f t="shared" si="48"/>
        <v>-1.0674043055986851E-3</v>
      </c>
      <c r="I1116" s="16">
        <f t="shared" si="48"/>
        <v>9.3950507536835087E-4</v>
      </c>
      <c r="J1116" s="16">
        <f t="shared" si="48"/>
        <v>5.6773037181113862E-3</v>
      </c>
      <c r="K1116" s="16">
        <f t="shared" si="47"/>
        <v>-1.2811352822246242E-3</v>
      </c>
      <c r="L1116" s="16">
        <f t="shared" si="47"/>
        <v>-4.0816609166599067E-4</v>
      </c>
    </row>
    <row r="1117" spans="1:12" x14ac:dyDescent="0.35">
      <c r="A1117" s="18">
        <v>43874</v>
      </c>
      <c r="B1117" s="15">
        <v>310.64102172851563</v>
      </c>
      <c r="C1117" s="15">
        <v>72.49462890625</v>
      </c>
      <c r="D1117" s="15">
        <v>148.3800048828125</v>
      </c>
      <c r="E1117" s="15">
        <v>226.31864929199219</v>
      </c>
      <c r="F1117" s="15">
        <v>157.83946228027341</v>
      </c>
      <c r="H1117" s="16">
        <f t="shared" si="48"/>
        <v>1.6006304634636171E-3</v>
      </c>
      <c r="I1117" s="16">
        <f t="shared" si="48"/>
        <v>1.0563754412390776E-3</v>
      </c>
      <c r="J1117" s="16">
        <f t="shared" si="48"/>
        <v>4.1697222765956264E-3</v>
      </c>
      <c r="K1117" s="16">
        <f t="shared" si="47"/>
        <v>2.8595097513194178E-3</v>
      </c>
      <c r="L1117" s="16">
        <f t="shared" si="47"/>
        <v>1.6320517811527679E-3</v>
      </c>
    </row>
    <row r="1118" spans="1:12" x14ac:dyDescent="0.35">
      <c r="A1118" s="18">
        <v>43875</v>
      </c>
      <c r="B1118" s="15">
        <v>311.13864135742188</v>
      </c>
      <c r="C1118" s="15">
        <v>72.571250915527344</v>
      </c>
      <c r="D1118" s="15">
        <v>149</v>
      </c>
      <c r="E1118" s="15">
        <v>226.96673583984381</v>
      </c>
      <c r="F1118" s="15">
        <v>158.09727478027341</v>
      </c>
      <c r="H1118" s="16">
        <f t="shared" si="48"/>
        <v>-2.5803731254791244E-3</v>
      </c>
      <c r="I1118" s="16">
        <f t="shared" si="48"/>
        <v>1.5240598568629778E-3</v>
      </c>
      <c r="J1118" s="16">
        <f t="shared" si="48"/>
        <v>1.2737350951843565E-2</v>
      </c>
      <c r="K1118" s="16">
        <f t="shared" si="47"/>
        <v>3.8346897659754956E-4</v>
      </c>
      <c r="L1118" s="16">
        <f t="shared" si="47"/>
        <v>-2.3325951564056855E-3</v>
      </c>
    </row>
    <row r="1119" spans="1:12" x14ac:dyDescent="0.35">
      <c r="A1119" s="18">
        <v>43879</v>
      </c>
      <c r="B1119" s="15">
        <v>310.33682250976563</v>
      </c>
      <c r="C1119" s="15">
        <v>72.681938171386719</v>
      </c>
      <c r="D1119" s="15">
        <v>150.9100036621094</v>
      </c>
      <c r="E1119" s="15">
        <v>227.05378723144531</v>
      </c>
      <c r="F1119" s="15">
        <v>157.72892761230469</v>
      </c>
      <c r="H1119" s="16">
        <f t="shared" si="48"/>
        <v>4.7699451243292668E-3</v>
      </c>
      <c r="I1119" s="16">
        <f t="shared" si="48"/>
        <v>-1.1767785391430808E-4</v>
      </c>
      <c r="J1119" s="16">
        <f t="shared" si="48"/>
        <v>5.8142855101762196E-3</v>
      </c>
      <c r="K1119" s="16">
        <f t="shared" si="47"/>
        <v>9.5397754694802085E-3</v>
      </c>
      <c r="L1119" s="16">
        <f t="shared" si="47"/>
        <v>5.066219316158486E-3</v>
      </c>
    </row>
    <row r="1120" spans="1:12" x14ac:dyDescent="0.35">
      <c r="A1120" s="18">
        <v>43880</v>
      </c>
      <c r="B1120" s="15">
        <v>311.82064819335938</v>
      </c>
      <c r="C1120" s="15">
        <v>72.673385620117188</v>
      </c>
      <c r="D1120" s="15">
        <v>151.78999328613281</v>
      </c>
      <c r="E1120" s="15">
        <v>229.2301940917969</v>
      </c>
      <c r="F1120" s="15">
        <v>158.53004455566409</v>
      </c>
      <c r="H1120" s="16">
        <f t="shared" si="48"/>
        <v>-4.1167094637689959E-3</v>
      </c>
      <c r="I1120" s="16">
        <f t="shared" si="48"/>
        <v>2.4563929941210441E-3</v>
      </c>
      <c r="J1120" s="16">
        <f t="shared" si="48"/>
        <v>4.0763395182915477E-3</v>
      </c>
      <c r="K1120" s="16">
        <f t="shared" si="47"/>
        <v>-9.3267633441861293E-3</v>
      </c>
      <c r="L1120" s="16">
        <f t="shared" si="47"/>
        <v>-3.0247563581245287E-3</v>
      </c>
    </row>
    <row r="1121" spans="1:12" x14ac:dyDescent="0.35">
      <c r="A1121" s="18">
        <v>43881</v>
      </c>
      <c r="B1121" s="15">
        <v>310.53961181640619</v>
      </c>
      <c r="C1121" s="15">
        <v>72.852119445800781</v>
      </c>
      <c r="D1121" s="15">
        <v>152.4100036621094</v>
      </c>
      <c r="E1121" s="15">
        <v>227.10215759277341</v>
      </c>
      <c r="F1121" s="15">
        <v>158.05125427246091</v>
      </c>
      <c r="H1121" s="16">
        <f t="shared" si="48"/>
        <v>-1.0351788738689478E-2</v>
      </c>
      <c r="I1121" s="16">
        <f t="shared" si="48"/>
        <v>2.4506873140498781E-3</v>
      </c>
      <c r="J1121" s="16">
        <f t="shared" si="48"/>
        <v>1.4913455926308375E-2</v>
      </c>
      <c r="K1121" s="16">
        <f t="shared" si="47"/>
        <v>-1.9396465693114116E-2</v>
      </c>
      <c r="L1121" s="16">
        <f t="shared" si="47"/>
        <v>-1.0306503877764529E-2</v>
      </c>
    </row>
    <row r="1122" spans="1:12" x14ac:dyDescent="0.35">
      <c r="A1122" s="18">
        <v>43882</v>
      </c>
      <c r="B1122" s="15">
        <v>307.341552734375</v>
      </c>
      <c r="C1122" s="15">
        <v>73.030876159667969</v>
      </c>
      <c r="D1122" s="15">
        <v>154.69999694824219</v>
      </c>
      <c r="E1122" s="15">
        <v>222.7396240234375</v>
      </c>
      <c r="F1122" s="15">
        <v>156.4306640625</v>
      </c>
      <c r="H1122" s="16">
        <f t="shared" si="48"/>
        <v>-3.3727567169764758E-2</v>
      </c>
      <c r="I1122" s="16">
        <f t="shared" si="48"/>
        <v>3.1419505100504421E-3</v>
      </c>
      <c r="J1122" s="16">
        <f t="shared" si="48"/>
        <v>8.9450026567177311E-3</v>
      </c>
      <c r="K1122" s="16">
        <f t="shared" si="47"/>
        <v>-3.9326665936080765E-2</v>
      </c>
      <c r="L1122" s="16">
        <f t="shared" si="47"/>
        <v>-3.345705409135858E-2</v>
      </c>
    </row>
    <row r="1123" spans="1:12" x14ac:dyDescent="0.35">
      <c r="A1123" s="18">
        <v>43885</v>
      </c>
      <c r="B1123" s="15">
        <v>297.14852905273438</v>
      </c>
      <c r="C1123" s="15">
        <v>73.260696411132813</v>
      </c>
      <c r="D1123" s="15">
        <v>156.0899963378906</v>
      </c>
      <c r="E1123" s="15">
        <v>214.1500244140625</v>
      </c>
      <c r="F1123" s="15">
        <v>151.2835388183594</v>
      </c>
      <c r="H1123" s="16">
        <f t="shared" si="48"/>
        <v>-3.077086594042407E-2</v>
      </c>
      <c r="I1123" s="16">
        <f t="shared" si="48"/>
        <v>8.1321366266719837E-4</v>
      </c>
      <c r="J1123" s="16">
        <f t="shared" si="48"/>
        <v>-1.8035934723932577E-2</v>
      </c>
      <c r="K1123" s="16">
        <f t="shared" si="47"/>
        <v>-2.7568170359851863E-2</v>
      </c>
      <c r="L1123" s="16">
        <f t="shared" si="47"/>
        <v>-3.1030277545792205E-2</v>
      </c>
    </row>
    <row r="1124" spans="1:12" x14ac:dyDescent="0.35">
      <c r="A1124" s="18">
        <v>43886</v>
      </c>
      <c r="B1124" s="15">
        <v>288.14425659179688</v>
      </c>
      <c r="C1124" s="15">
        <v>73.320297241210938</v>
      </c>
      <c r="D1124" s="15">
        <v>153.30000305175781</v>
      </c>
      <c r="E1124" s="15">
        <v>208.3269348144531</v>
      </c>
      <c r="F1124" s="15">
        <v>146.6612548828125</v>
      </c>
      <c r="H1124" s="16">
        <f t="shared" si="48"/>
        <v>-3.6850623151354466E-3</v>
      </c>
      <c r="I1124" s="16">
        <f t="shared" si="48"/>
        <v>-5.8079941279490948E-4</v>
      </c>
      <c r="J1124" s="16">
        <f t="shared" si="48"/>
        <v>4.3609803851510451E-3</v>
      </c>
      <c r="K1124" s="16">
        <f t="shared" si="47"/>
        <v>5.1406820802909351E-3</v>
      </c>
      <c r="L1124" s="16">
        <f t="shared" si="47"/>
        <v>-5.5404190920236409E-3</v>
      </c>
    </row>
    <row r="1125" spans="1:12" x14ac:dyDescent="0.35">
      <c r="A1125" s="18">
        <v>43887</v>
      </c>
      <c r="B1125" s="15">
        <v>287.08438110351563</v>
      </c>
      <c r="C1125" s="15">
        <v>73.277725219726563</v>
      </c>
      <c r="D1125" s="15">
        <v>153.9700012207031</v>
      </c>
      <c r="E1125" s="15">
        <v>209.400634765625</v>
      </c>
      <c r="F1125" s="15">
        <v>145.85093688964841</v>
      </c>
      <c r="H1125" s="16">
        <f t="shared" si="48"/>
        <v>-4.5951538703750447E-2</v>
      </c>
      <c r="I1125" s="16">
        <f t="shared" si="48"/>
        <v>1.1606377213575897E-3</v>
      </c>
      <c r="J1125" s="16">
        <f t="shared" si="48"/>
        <v>1.9481624361386142E-4</v>
      </c>
      <c r="K1125" s="16">
        <f t="shared" si="47"/>
        <v>-5.1371382190651335E-2</v>
      </c>
      <c r="L1125" s="16">
        <f t="shared" si="47"/>
        <v>-4.4801560531419302E-2</v>
      </c>
    </row>
    <row r="1126" spans="1:12" x14ac:dyDescent="0.35">
      <c r="A1126" s="18">
        <v>43888</v>
      </c>
      <c r="B1126" s="15">
        <v>274.19091796875</v>
      </c>
      <c r="C1126" s="15">
        <v>73.362823486328125</v>
      </c>
      <c r="D1126" s="15">
        <v>154</v>
      </c>
      <c r="E1126" s="15">
        <v>198.9150695800781</v>
      </c>
      <c r="F1126" s="15">
        <v>139.46080017089841</v>
      </c>
      <c r="H1126" s="16">
        <f t="shared" si="48"/>
        <v>-4.2102207072263215E-3</v>
      </c>
      <c r="I1126" s="16">
        <f t="shared" si="48"/>
        <v>6.5913989798936151E-3</v>
      </c>
      <c r="J1126" s="16">
        <f t="shared" si="48"/>
        <v>-3.717601874476565E-2</v>
      </c>
      <c r="K1126" s="16">
        <f t="shared" si="47"/>
        <v>7.7776770797390699E-4</v>
      </c>
      <c r="L1126" s="16">
        <f t="shared" si="47"/>
        <v>-6.7573528928826882E-3</v>
      </c>
    </row>
    <row r="1127" spans="1:12" x14ac:dyDescent="0.35">
      <c r="A1127" s="18">
        <v>43889</v>
      </c>
      <c r="B1127" s="15">
        <v>273.0389404296875</v>
      </c>
      <c r="C1127" s="15">
        <v>73.847984313964844</v>
      </c>
      <c r="D1127" s="15">
        <v>148.3800048828125</v>
      </c>
      <c r="E1127" s="15">
        <v>199.06983947753909</v>
      </c>
      <c r="F1127" s="15">
        <v>138.52159118652341</v>
      </c>
      <c r="H1127" s="16">
        <f t="shared" si="48"/>
        <v>4.239503343738938E-2</v>
      </c>
      <c r="I1127" s="16">
        <f t="shared" si="48"/>
        <v>-6.5821170015370651E-4</v>
      </c>
      <c r="J1127" s="16">
        <f t="shared" si="48"/>
        <v>5.511083646655957E-3</v>
      </c>
      <c r="K1127" s="16">
        <f t="shared" si="47"/>
        <v>5.0316164182817327E-2</v>
      </c>
      <c r="L1127" s="16">
        <f t="shared" si="47"/>
        <v>4.0577126138673085E-2</v>
      </c>
    </row>
    <row r="1128" spans="1:12" x14ac:dyDescent="0.35">
      <c r="A1128" s="18">
        <v>43892</v>
      </c>
      <c r="B1128" s="15">
        <v>284.86331176757813</v>
      </c>
      <c r="C1128" s="15">
        <v>73.799392700195313</v>
      </c>
      <c r="D1128" s="15">
        <v>149.19999694824219</v>
      </c>
      <c r="E1128" s="15">
        <v>209.34254455566409</v>
      </c>
      <c r="F1128" s="15">
        <v>144.25799560546881</v>
      </c>
      <c r="H1128" s="16">
        <f t="shared" si="48"/>
        <v>-2.9050270110309653E-2</v>
      </c>
      <c r="I1128" s="16">
        <f t="shared" si="48"/>
        <v>5.9915049203710302E-3</v>
      </c>
      <c r="J1128" s="16">
        <f t="shared" si="48"/>
        <v>3.095039019408587E-2</v>
      </c>
      <c r="K1128" s="16">
        <f t="shared" si="47"/>
        <v>-3.2592759841096275E-2</v>
      </c>
      <c r="L1128" s="16">
        <f t="shared" si="47"/>
        <v>-2.6124806331438707E-2</v>
      </c>
    </row>
    <row r="1129" spans="1:12" x14ac:dyDescent="0.35">
      <c r="A1129" s="18">
        <v>43893</v>
      </c>
      <c r="B1129" s="15">
        <v>276.70700073242188</v>
      </c>
      <c r="C1129" s="15">
        <v>74.242889404296875</v>
      </c>
      <c r="D1129" s="15">
        <v>153.88999938964841</v>
      </c>
      <c r="E1129" s="15">
        <v>202.6294860839844</v>
      </c>
      <c r="F1129" s="15">
        <v>140.5380859375</v>
      </c>
      <c r="H1129" s="16">
        <f t="shared" si="48"/>
        <v>4.1173413139398284E-2</v>
      </c>
      <c r="I1129" s="16">
        <f t="shared" si="48"/>
        <v>-2.2970085598528E-4</v>
      </c>
      <c r="J1129" s="16">
        <f t="shared" si="48"/>
        <v>1.7529903517556646E-3</v>
      </c>
      <c r="K1129" s="16">
        <f t="shared" si="47"/>
        <v>4.0875735958245674E-2</v>
      </c>
      <c r="L1129" s="16">
        <f t="shared" si="47"/>
        <v>3.9187810499150877E-2</v>
      </c>
    </row>
    <row r="1130" spans="1:12" x14ac:dyDescent="0.35">
      <c r="A1130" s="18">
        <v>43894</v>
      </c>
      <c r="B1130" s="15">
        <v>288.3377685546875</v>
      </c>
      <c r="C1130" s="15">
        <v>74.225837707519531</v>
      </c>
      <c r="D1130" s="15">
        <v>154.1600036621094</v>
      </c>
      <c r="E1130" s="15">
        <v>211.08372497558591</v>
      </c>
      <c r="F1130" s="15">
        <v>146.15480041503909</v>
      </c>
      <c r="H1130" s="16">
        <f t="shared" si="48"/>
        <v>-3.3806767607272185E-2</v>
      </c>
      <c r="I1130" s="16">
        <f t="shared" si="48"/>
        <v>3.7842039903572254E-3</v>
      </c>
      <c r="J1130" s="16">
        <f t="shared" si="48"/>
        <v>2.1370951204574475E-2</v>
      </c>
      <c r="K1130" s="16">
        <f t="shared" si="47"/>
        <v>-3.085362741424259E-2</v>
      </c>
      <c r="L1130" s="16">
        <f t="shared" si="47"/>
        <v>-3.3895067999862714E-2</v>
      </c>
    </row>
    <row r="1131" spans="1:12" x14ac:dyDescent="0.35">
      <c r="A1131" s="18">
        <v>43895</v>
      </c>
      <c r="B1131" s="15">
        <v>278.7529296875</v>
      </c>
      <c r="C1131" s="15">
        <v>74.507255554199219</v>
      </c>
      <c r="D1131" s="15">
        <v>157.49000549316409</v>
      </c>
      <c r="E1131" s="15">
        <v>204.67047119140619</v>
      </c>
      <c r="F1131" s="15">
        <v>141.28388977050781</v>
      </c>
      <c r="H1131" s="16">
        <f t="shared" si="48"/>
        <v>-1.6669154667264575E-2</v>
      </c>
      <c r="I1131" s="16">
        <f t="shared" si="48"/>
        <v>6.8450701270698746E-3</v>
      </c>
      <c r="J1131" s="16">
        <f t="shared" si="48"/>
        <v>3.8088850743871595E-4</v>
      </c>
      <c r="K1131" s="16">
        <f t="shared" si="47"/>
        <v>-1.701580750212147E-2</v>
      </c>
      <c r="L1131" s="16">
        <f t="shared" si="47"/>
        <v>-1.8748879932028849E-2</v>
      </c>
    </row>
    <row r="1132" spans="1:12" x14ac:dyDescent="0.35">
      <c r="A1132" s="18">
        <v>43896</v>
      </c>
      <c r="B1132" s="15">
        <v>274.14486694335938</v>
      </c>
      <c r="C1132" s="15">
        <v>75.019012451171875</v>
      </c>
      <c r="D1132" s="15">
        <v>157.55000305175781</v>
      </c>
      <c r="E1132" s="15">
        <v>201.21730041503909</v>
      </c>
      <c r="F1132" s="15">
        <v>138.65965270996091</v>
      </c>
      <c r="H1132" s="16">
        <f t="shared" si="48"/>
        <v>-8.1312570661178835E-2</v>
      </c>
      <c r="I1132" s="16">
        <f t="shared" si="48"/>
        <v>-2.1621275637681006E-3</v>
      </c>
      <c r="J1132" s="16">
        <f t="shared" si="48"/>
        <v>1.6488747161251228E-3</v>
      </c>
      <c r="K1132" s="16">
        <f t="shared" si="47"/>
        <v>-7.1995234330096233E-2</v>
      </c>
      <c r="L1132" s="16">
        <f t="shared" si="47"/>
        <v>-8.3690330170017146E-2</v>
      </c>
    </row>
    <row r="1133" spans="1:12" x14ac:dyDescent="0.35">
      <c r="A1133" s="18">
        <v>43899</v>
      </c>
      <c r="B1133" s="15">
        <v>252.73565673828119</v>
      </c>
      <c r="C1133" s="15">
        <v>74.856986999511719</v>
      </c>
      <c r="D1133" s="15">
        <v>157.80999755859381</v>
      </c>
      <c r="E1133" s="15">
        <v>187.23980712890619</v>
      </c>
      <c r="F1133" s="15">
        <v>127.5275039672852</v>
      </c>
      <c r="H1133" s="16">
        <f t="shared" si="48"/>
        <v>5.0450509787514607E-2</v>
      </c>
      <c r="I1133" s="16">
        <f t="shared" si="48"/>
        <v>-1.3535820018580924E-2</v>
      </c>
      <c r="J1133" s="16">
        <f t="shared" si="48"/>
        <v>-2.132715182628965E-2</v>
      </c>
      <c r="K1133" s="16">
        <f t="shared" si="47"/>
        <v>5.3019990375477895E-2</v>
      </c>
      <c r="L1133" s="16">
        <f t="shared" si="47"/>
        <v>4.8411924371878086E-2</v>
      </c>
    </row>
    <row r="1134" spans="1:12" x14ac:dyDescent="0.35">
      <c r="A1134" s="18">
        <v>43900</v>
      </c>
      <c r="B1134" s="15">
        <v>265.81341552734381</v>
      </c>
      <c r="C1134" s="15">
        <v>73.850563049316406</v>
      </c>
      <c r="D1134" s="15">
        <v>154.47999572753909</v>
      </c>
      <c r="E1134" s="15">
        <v>197.4351501464844</v>
      </c>
      <c r="F1134" s="15">
        <v>133.8532409667969</v>
      </c>
      <c r="H1134" s="16">
        <f t="shared" si="48"/>
        <v>-4.997674257761836E-2</v>
      </c>
      <c r="I1134" s="16">
        <f t="shared" si="48"/>
        <v>-1.9121522888666382E-2</v>
      </c>
      <c r="J1134" s="16">
        <f t="shared" si="48"/>
        <v>-3.5667044227180519E-3</v>
      </c>
      <c r="K1134" s="16">
        <f t="shared" si="47"/>
        <v>-4.4532240642945989E-2</v>
      </c>
      <c r="L1134" s="16">
        <f t="shared" si="47"/>
        <v>-5.195621720779036E-2</v>
      </c>
    </row>
    <row r="1135" spans="1:12" x14ac:dyDescent="0.35">
      <c r="A1135" s="18">
        <v>43901</v>
      </c>
      <c r="B1135" s="15">
        <v>252.85542297363281</v>
      </c>
      <c r="C1135" s="15">
        <v>72.45184326171875</v>
      </c>
      <c r="D1135" s="15">
        <v>153.92999267578119</v>
      </c>
      <c r="E1135" s="15">
        <v>188.8358154296875</v>
      </c>
      <c r="F1135" s="15">
        <v>127.07630920410161</v>
      </c>
      <c r="H1135" s="16">
        <f t="shared" si="48"/>
        <v>-0.10056879549468838</v>
      </c>
      <c r="I1135" s="16">
        <f t="shared" si="48"/>
        <v>-5.5919418832842821E-2</v>
      </c>
      <c r="J1135" s="16">
        <f t="shared" si="48"/>
        <v>-4.0705604242438145E-2</v>
      </c>
      <c r="K1135" s="16">
        <f t="shared" si="47"/>
        <v>-9.617082738930266E-2</v>
      </c>
      <c r="L1135" s="16">
        <f t="shared" si="47"/>
        <v>-0.10229776770296495</v>
      </c>
    </row>
    <row r="1136" spans="1:12" x14ac:dyDescent="0.35">
      <c r="A1136" s="18">
        <v>43902</v>
      </c>
      <c r="B1136" s="15">
        <v>228.66294860839841</v>
      </c>
      <c r="C1136" s="15">
        <v>68.511573791503906</v>
      </c>
      <c r="D1136" s="15">
        <v>147.78999328613281</v>
      </c>
      <c r="E1136" s="15">
        <v>171.521240234375</v>
      </c>
      <c r="F1136" s="15">
        <v>114.71949768066411</v>
      </c>
      <c r="H1136" s="16">
        <f t="shared" si="48"/>
        <v>8.2028261534923916E-2</v>
      </c>
      <c r="I1136" s="16">
        <f t="shared" si="48"/>
        <v>4.1334627706195691E-2</v>
      </c>
      <c r="J1136" s="16">
        <f t="shared" si="48"/>
        <v>-3.0991552565300531E-2</v>
      </c>
      <c r="K1136" s="16">
        <f t="shared" si="47"/>
        <v>8.1308444509605518E-2</v>
      </c>
      <c r="L1136" s="16">
        <f t="shared" si="47"/>
        <v>8.7111727661779104E-2</v>
      </c>
    </row>
    <row r="1137" spans="1:12" x14ac:dyDescent="0.35">
      <c r="A1137" s="18">
        <v>43903</v>
      </c>
      <c r="B1137" s="15">
        <v>248.2105407714844</v>
      </c>
      <c r="C1137" s="15">
        <v>71.402816772460938</v>
      </c>
      <c r="D1137" s="15">
        <v>143.2799987792969</v>
      </c>
      <c r="E1137" s="15">
        <v>186.0500183105469</v>
      </c>
      <c r="F1137" s="15">
        <v>125.1611022949219</v>
      </c>
      <c r="H1137" s="16">
        <f t="shared" si="48"/>
        <v>-0.11588654287996697</v>
      </c>
      <c r="I1137" s="16">
        <f t="shared" si="48"/>
        <v>1.0456301792099196E-2</v>
      </c>
      <c r="J1137" s="16">
        <f t="shared" si="48"/>
        <v>-1.1512126298225315E-2</v>
      </c>
      <c r="K1137" s="16">
        <f t="shared" si="47"/>
        <v>-0.12759221474633353</v>
      </c>
      <c r="L1137" s="16">
        <f t="shared" si="47"/>
        <v>-0.12082244259955875</v>
      </c>
    </row>
    <row r="1138" spans="1:12" x14ac:dyDescent="0.35">
      <c r="A1138" s="18">
        <v>43906</v>
      </c>
      <c r="B1138" s="15">
        <v>221.0504150390625</v>
      </c>
      <c r="C1138" s="15">
        <v>72.153343200683594</v>
      </c>
      <c r="D1138" s="15">
        <v>141.63999938964841</v>
      </c>
      <c r="E1138" s="15">
        <v>163.76350402832031</v>
      </c>
      <c r="F1138" s="15">
        <v>110.9166793823242</v>
      </c>
      <c r="H1138" s="16">
        <f t="shared" si="48"/>
        <v>5.2584784908395292E-2</v>
      </c>
      <c r="I1138" s="16">
        <f t="shared" si="48"/>
        <v>-2.0902158174371074E-2</v>
      </c>
      <c r="J1138" s="16">
        <f t="shared" si="48"/>
        <v>1.3464426338705827E-2</v>
      </c>
      <c r="K1138" s="16">
        <f t="shared" si="47"/>
        <v>7.3103085967639078E-2</v>
      </c>
      <c r="L1138" s="16">
        <f t="shared" si="47"/>
        <v>4.892480649203107E-2</v>
      </c>
    </row>
    <row r="1139" spans="1:12" x14ac:dyDescent="0.35">
      <c r="A1139" s="18">
        <v>43907</v>
      </c>
      <c r="B1139" s="15">
        <v>232.9853515625</v>
      </c>
      <c r="C1139" s="15">
        <v>70.660835266113281</v>
      </c>
      <c r="D1139" s="15">
        <v>143.55999755859381</v>
      </c>
      <c r="E1139" s="15">
        <v>176.1835632324219</v>
      </c>
      <c r="F1139" s="15">
        <v>116.4781951904297</v>
      </c>
      <c r="H1139" s="16">
        <f t="shared" si="48"/>
        <v>-5.1959788704998816E-2</v>
      </c>
      <c r="I1139" s="16">
        <f t="shared" si="48"/>
        <v>-2.4436433154825344E-2</v>
      </c>
      <c r="J1139" s="16">
        <f t="shared" si="48"/>
        <v>-2.0123106842711264E-2</v>
      </c>
      <c r="K1139" s="16">
        <f t="shared" si="47"/>
        <v>-3.0888052167432411E-2</v>
      </c>
      <c r="L1139" s="16">
        <f t="shared" si="47"/>
        <v>-5.9355844824016242E-2</v>
      </c>
    </row>
    <row r="1140" spans="1:12" x14ac:dyDescent="0.35">
      <c r="A1140" s="18">
        <v>43908</v>
      </c>
      <c r="B1140" s="15">
        <v>221.18861389160159</v>
      </c>
      <c r="C1140" s="15">
        <v>68.955062866210938</v>
      </c>
      <c r="D1140" s="15">
        <v>140.69999694824219</v>
      </c>
      <c r="E1140" s="15">
        <v>170.82478332519531</v>
      </c>
      <c r="F1140" s="15">
        <v>109.7657165527344</v>
      </c>
      <c r="H1140" s="16">
        <f t="shared" si="48"/>
        <v>2.122772150796765E-3</v>
      </c>
      <c r="I1140" s="16">
        <f t="shared" si="48"/>
        <v>-6.185749653801765E-4</v>
      </c>
      <c r="J1140" s="16">
        <f t="shared" si="48"/>
        <v>-1.9086492837834465E-2</v>
      </c>
      <c r="K1140" s="16">
        <f t="shared" si="47"/>
        <v>5.9842880875821472E-3</v>
      </c>
      <c r="L1140" s="16">
        <f t="shared" si="47"/>
        <v>7.35492785954332E-3</v>
      </c>
    </row>
    <row r="1141" spans="1:12" x14ac:dyDescent="0.35">
      <c r="A1141" s="18">
        <v>43909</v>
      </c>
      <c r="B1141" s="15">
        <v>221.65864562988281</v>
      </c>
      <c r="C1141" s="15">
        <v>68.912422180175781</v>
      </c>
      <c r="D1141" s="15">
        <v>138.03999328613281</v>
      </c>
      <c r="E1141" s="15">
        <v>171.85011291503909</v>
      </c>
      <c r="F1141" s="15">
        <v>110.5760116577148</v>
      </c>
      <c r="H1141" s="16">
        <f t="shared" si="48"/>
        <v>-4.4050388951621285E-2</v>
      </c>
      <c r="I1141" s="16">
        <f t="shared" si="48"/>
        <v>1.6813102252623346E-2</v>
      </c>
      <c r="J1141" s="16">
        <f t="shared" si="48"/>
        <v>1.4884383146683815E-2</v>
      </c>
      <c r="K1141" s="16">
        <f t="shared" si="47"/>
        <v>-3.9963976859722597E-2</v>
      </c>
      <c r="L1141" s="16">
        <f t="shared" si="47"/>
        <v>-4.1658373054367703E-2</v>
      </c>
    </row>
    <row r="1142" spans="1:12" x14ac:dyDescent="0.35">
      <c r="A1142" s="18">
        <v>43910</v>
      </c>
      <c r="B1142" s="15">
        <v>212.10643005371091</v>
      </c>
      <c r="C1142" s="15">
        <v>70.080848693847656</v>
      </c>
      <c r="D1142" s="15">
        <v>140.11000061035159</v>
      </c>
      <c r="E1142" s="15">
        <v>165.11772155761719</v>
      </c>
      <c r="F1142" s="15">
        <v>106.06422424316411</v>
      </c>
      <c r="H1142" s="16">
        <f t="shared" si="48"/>
        <v>-2.590063635824089E-2</v>
      </c>
      <c r="I1142" s="16">
        <f t="shared" si="48"/>
        <v>2.1907308448826879E-2</v>
      </c>
      <c r="J1142" s="16">
        <f t="shared" si="48"/>
        <v>4.3231496146295526E-2</v>
      </c>
      <c r="K1142" s="16">
        <f t="shared" si="47"/>
        <v>7.2165878224925183E-4</v>
      </c>
      <c r="L1142" s="16">
        <f t="shared" si="47"/>
        <v>-2.888806432098398E-2</v>
      </c>
    </row>
    <row r="1143" spans="1:12" x14ac:dyDescent="0.35">
      <c r="A1143" s="18">
        <v>43913</v>
      </c>
      <c r="B1143" s="15">
        <v>206.68327331542969</v>
      </c>
      <c r="C1143" s="15">
        <v>71.633071899414063</v>
      </c>
      <c r="D1143" s="15">
        <v>146.30000305175781</v>
      </c>
      <c r="E1143" s="15">
        <v>165.23692321777341</v>
      </c>
      <c r="F1143" s="15">
        <v>103.0440673828125</v>
      </c>
      <c r="H1143" s="16">
        <f t="shared" si="48"/>
        <v>8.6730936883328627E-2</v>
      </c>
      <c r="I1143" s="16">
        <f t="shared" si="48"/>
        <v>1.0714147024191167E-3</v>
      </c>
      <c r="J1143" s="16">
        <f t="shared" si="48"/>
        <v>4.7389520259250681E-2</v>
      </c>
      <c r="K1143" s="16">
        <f t="shared" si="47"/>
        <v>7.4585611062163118E-2</v>
      </c>
      <c r="L1143" s="16">
        <f t="shared" si="47"/>
        <v>9.0660828987637887E-2</v>
      </c>
    </row>
    <row r="1144" spans="1:12" x14ac:dyDescent="0.35">
      <c r="A1144" s="18">
        <v>43914</v>
      </c>
      <c r="B1144" s="15">
        <v>225.40943908691409</v>
      </c>
      <c r="C1144" s="15">
        <v>71.709861755371094</v>
      </c>
      <c r="D1144" s="15">
        <v>153.3999938964844</v>
      </c>
      <c r="E1144" s="15">
        <v>178.032470703125</v>
      </c>
      <c r="F1144" s="15">
        <v>112.8227005004883</v>
      </c>
      <c r="H1144" s="16">
        <f t="shared" si="48"/>
        <v>1.4859100625394922E-2</v>
      </c>
      <c r="I1144" s="16">
        <f t="shared" si="48"/>
        <v>1.3349891935852797E-2</v>
      </c>
      <c r="J1144" s="16">
        <f t="shared" si="48"/>
        <v>-1.3784208180364377E-2</v>
      </c>
      <c r="K1144" s="16">
        <f t="shared" si="47"/>
        <v>-7.4324577830014475E-3</v>
      </c>
      <c r="L1144" s="16">
        <f t="shared" si="47"/>
        <v>1.3698444601130349E-2</v>
      </c>
    </row>
    <row r="1145" spans="1:12" x14ac:dyDescent="0.35">
      <c r="A1145" s="18">
        <v>43915</v>
      </c>
      <c r="B1145" s="15">
        <v>228.78382873535159</v>
      </c>
      <c r="C1145" s="15">
        <v>72.673599243164063</v>
      </c>
      <c r="D1145" s="15">
        <v>151.30000305175781</v>
      </c>
      <c r="E1145" s="15">
        <v>176.71415710449219</v>
      </c>
      <c r="F1145" s="15">
        <v>114.3788299560547</v>
      </c>
      <c r="H1145" s="16">
        <f t="shared" si="48"/>
        <v>5.6748698958735876E-2</v>
      </c>
      <c r="I1145" s="16">
        <f t="shared" si="48"/>
        <v>4.5667565185729961E-3</v>
      </c>
      <c r="J1145" s="16">
        <f t="shared" si="48"/>
        <v>1.2740714714697302E-2</v>
      </c>
      <c r="K1145" s="16">
        <f t="shared" si="47"/>
        <v>5.1320558173586522E-2</v>
      </c>
      <c r="L1145" s="16">
        <f t="shared" si="47"/>
        <v>5.893749270521146E-2</v>
      </c>
    </row>
    <row r="1146" spans="1:12" x14ac:dyDescent="0.35">
      <c r="A1146" s="18">
        <v>43916</v>
      </c>
      <c r="B1146" s="15">
        <v>242.14247131347659</v>
      </c>
      <c r="C1146" s="15">
        <v>73.006240844726563</v>
      </c>
      <c r="D1146" s="15">
        <v>153.24000549316409</v>
      </c>
      <c r="E1146" s="15">
        <v>186.01997375488281</v>
      </c>
      <c r="F1146" s="15">
        <v>121.32264709472661</v>
      </c>
      <c r="H1146" s="16">
        <f t="shared" si="48"/>
        <v>-3.0238386355736731E-2</v>
      </c>
      <c r="I1146" s="16">
        <f t="shared" si="48"/>
        <v>5.3585509690495326E-3</v>
      </c>
      <c r="J1146" s="16">
        <f t="shared" si="48"/>
        <v>-6.4814490892441262E-3</v>
      </c>
      <c r="K1146" s="16">
        <f t="shared" si="47"/>
        <v>-3.4997915139666512E-2</v>
      </c>
      <c r="L1146" s="16">
        <f t="shared" si="47"/>
        <v>-3.240093275091549E-2</v>
      </c>
    </row>
    <row r="1147" spans="1:12" x14ac:dyDescent="0.35">
      <c r="A1147" s="18">
        <v>43917</v>
      </c>
      <c r="B1147" s="15">
        <v>234.93006896972659</v>
      </c>
      <c r="C1147" s="15">
        <v>73.39849853515625</v>
      </c>
      <c r="D1147" s="15">
        <v>152.25</v>
      </c>
      <c r="E1147" s="15">
        <v>179.62226867675781</v>
      </c>
      <c r="F1147" s="15">
        <v>117.4546813964844</v>
      </c>
      <c r="H1147" s="16">
        <f t="shared" si="48"/>
        <v>3.1959691606484743E-2</v>
      </c>
      <c r="I1147" s="16">
        <f t="shared" si="48"/>
        <v>1.0457616701853116E-3</v>
      </c>
      <c r="J1147" s="16">
        <f t="shared" si="48"/>
        <v>4.3909902642670518E-3</v>
      </c>
      <c r="K1147" s="16">
        <f t="shared" si="47"/>
        <v>3.5727449338177258E-2</v>
      </c>
      <c r="L1147" s="16">
        <f t="shared" si="47"/>
        <v>2.9880528979653723E-2</v>
      </c>
    </row>
    <row r="1148" spans="1:12" x14ac:dyDescent="0.35">
      <c r="A1148" s="18">
        <v>43920</v>
      </c>
      <c r="B1148" s="15">
        <v>242.55963134765619</v>
      </c>
      <c r="C1148" s="15">
        <v>73.475296020507813</v>
      </c>
      <c r="D1148" s="15">
        <v>152.91999816894531</v>
      </c>
      <c r="E1148" s="15">
        <v>186.1557312011719</v>
      </c>
      <c r="F1148" s="15">
        <v>121.0172500610352</v>
      </c>
      <c r="H1148" s="16">
        <f t="shared" si="48"/>
        <v>-1.5017536567859025E-2</v>
      </c>
      <c r="I1148" s="16">
        <f t="shared" si="48"/>
        <v>-9.3295592948863994E-3</v>
      </c>
      <c r="J1148" s="16">
        <f t="shared" si="48"/>
        <v>-3.2364821693651916E-2</v>
      </c>
      <c r="K1148" s="16">
        <f t="shared" si="47"/>
        <v>-8.5766612683987591E-3</v>
      </c>
      <c r="L1148" s="16">
        <f t="shared" si="47"/>
        <v>-1.4401681628049822E-2</v>
      </c>
    </row>
    <row r="1149" spans="1:12" x14ac:dyDescent="0.35">
      <c r="A1149" s="18">
        <v>43921</v>
      </c>
      <c r="B1149" s="15">
        <v>238.94419860839841</v>
      </c>
      <c r="C1149" s="15">
        <v>72.792991638183594</v>
      </c>
      <c r="D1149" s="15">
        <v>148.05000305175781</v>
      </c>
      <c r="E1149" s="15">
        <v>184.56596374511719</v>
      </c>
      <c r="F1149" s="15">
        <v>119.28688812255859</v>
      </c>
      <c r="H1149" s="16">
        <f t="shared" si="48"/>
        <v>-4.6049079682979589E-2</v>
      </c>
      <c r="I1149" s="16">
        <f t="shared" si="48"/>
        <v>5.1539072225404662E-3</v>
      </c>
      <c r="J1149" s="16">
        <f t="shared" si="48"/>
        <v>9.4117931494001623E-3</v>
      </c>
      <c r="K1149" s="16">
        <f t="shared" si="47"/>
        <v>-4.3418429390817456E-2</v>
      </c>
      <c r="L1149" s="16">
        <f t="shared" si="47"/>
        <v>-4.7255548410589543E-2</v>
      </c>
    </row>
    <row r="1150" spans="1:12" x14ac:dyDescent="0.35">
      <c r="A1150" s="18">
        <v>43922</v>
      </c>
      <c r="B1150" s="15">
        <v>228.19053649902341</v>
      </c>
      <c r="C1150" s="15">
        <v>73.16912841796875</v>
      </c>
      <c r="D1150" s="15">
        <v>149.44999694824219</v>
      </c>
      <c r="E1150" s="15">
        <v>176.723876953125</v>
      </c>
      <c r="F1150" s="15">
        <v>113.7810363769531</v>
      </c>
      <c r="H1150" s="16">
        <f t="shared" si="48"/>
        <v>2.2813151852985977E-2</v>
      </c>
      <c r="I1150" s="16">
        <f t="shared" si="48"/>
        <v>4.6617987446762417E-3</v>
      </c>
      <c r="J1150" s="16">
        <f t="shared" si="48"/>
        <v>1.6260501110562108E-2</v>
      </c>
      <c r="K1150" s="16">
        <f t="shared" si="47"/>
        <v>2.009170436333612E-2</v>
      </c>
      <c r="L1150" s="16">
        <f t="shared" si="47"/>
        <v>2.0605947611380637E-2</v>
      </c>
    </row>
    <row r="1151" spans="1:12" x14ac:dyDescent="0.35">
      <c r="A1151" s="18">
        <v>43923</v>
      </c>
      <c r="B1151" s="15">
        <v>233.45611572265619</v>
      </c>
      <c r="C1151" s="15">
        <v>73.511024475097656</v>
      </c>
      <c r="D1151" s="15">
        <v>151.8999938964844</v>
      </c>
      <c r="E1151" s="15">
        <v>180.31047058105469</v>
      </c>
      <c r="F1151" s="15">
        <v>116.14992523193359</v>
      </c>
      <c r="H1151" s="16">
        <f t="shared" si="48"/>
        <v>-1.4559541649545786E-2</v>
      </c>
      <c r="I1151" s="16">
        <f t="shared" si="48"/>
        <v>-4.6527581666759766E-4</v>
      </c>
      <c r="J1151" s="16">
        <f t="shared" si="48"/>
        <v>4.9253097765777163E-3</v>
      </c>
      <c r="K1151" s="16">
        <f t="shared" si="47"/>
        <v>-1.4294492850123127E-2</v>
      </c>
      <c r="L1151" s="16">
        <f t="shared" si="47"/>
        <v>-1.719600566919471E-2</v>
      </c>
    </row>
    <row r="1152" spans="1:12" x14ac:dyDescent="0.35">
      <c r="A1152" s="18">
        <v>43924</v>
      </c>
      <c r="B1152" s="15">
        <v>230.08172607421881</v>
      </c>
      <c r="C1152" s="15">
        <v>73.476829528808594</v>
      </c>
      <c r="D1152" s="15">
        <v>152.6499938964844</v>
      </c>
      <c r="E1152" s="15">
        <v>177.75135803222659</v>
      </c>
      <c r="F1152" s="15">
        <v>114.1696853637695</v>
      </c>
      <c r="H1152" s="16">
        <f t="shared" si="48"/>
        <v>6.5006868108795371E-2</v>
      </c>
      <c r="I1152" s="16">
        <f t="shared" si="48"/>
        <v>3.1357459856710904E-3</v>
      </c>
      <c r="J1152" s="16">
        <f t="shared" si="48"/>
        <v>2.7333533815435219E-2</v>
      </c>
      <c r="K1152" s="16">
        <f t="shared" si="47"/>
        <v>6.9054842811633488E-2</v>
      </c>
      <c r="L1152" s="16">
        <f t="shared" si="47"/>
        <v>6.7608720174232445E-2</v>
      </c>
    </row>
    <row r="1153" spans="1:12" x14ac:dyDescent="0.35">
      <c r="A1153" s="18">
        <v>43927</v>
      </c>
      <c r="B1153" s="15">
        <v>245.53547668457031</v>
      </c>
      <c r="C1153" s="15">
        <v>73.707595825195313</v>
      </c>
      <c r="D1153" s="15">
        <v>156.8800048828125</v>
      </c>
      <c r="E1153" s="15">
        <v>190.4596862792969</v>
      </c>
      <c r="F1153" s="15">
        <v>122.1554641723633</v>
      </c>
      <c r="H1153" s="16">
        <f t="shared" si="48"/>
        <v>1.0187201958856008E-3</v>
      </c>
      <c r="I1153" s="16">
        <f t="shared" si="48"/>
        <v>9.2773411569968024E-4</v>
      </c>
      <c r="J1153" s="16">
        <f t="shared" si="48"/>
        <v>-5.3688714007191982E-3</v>
      </c>
      <c r="K1153" s="16">
        <f t="shared" si="47"/>
        <v>-4.0739060314950282E-4</v>
      </c>
      <c r="L1153" s="16">
        <f t="shared" si="47"/>
        <v>1.1357495858044045E-3</v>
      </c>
    </row>
    <row r="1154" spans="1:12" x14ac:dyDescent="0.35">
      <c r="A1154" s="18">
        <v>43928</v>
      </c>
      <c r="B1154" s="15">
        <v>245.7857360839844</v>
      </c>
      <c r="C1154" s="15">
        <v>73.776008605957031</v>
      </c>
      <c r="D1154" s="15">
        <v>156.03999328613281</v>
      </c>
      <c r="E1154" s="15">
        <v>190.3821105957031</v>
      </c>
      <c r="F1154" s="15">
        <v>122.2942810058594</v>
      </c>
      <c r="H1154" s="16">
        <f t="shared" si="48"/>
        <v>3.3017368309982059E-2</v>
      </c>
      <c r="I1154" s="16">
        <f t="shared" si="48"/>
        <v>2.5454730458113178E-3</v>
      </c>
      <c r="J1154" s="16">
        <f t="shared" si="48"/>
        <v>-8.9478819474374128E-3</v>
      </c>
      <c r="K1154" s="16">
        <f t="shared" si="47"/>
        <v>2.1009886092428848E-2</v>
      </c>
      <c r="L1154" s="16">
        <f t="shared" si="47"/>
        <v>3.4506635146242359E-2</v>
      </c>
    </row>
    <row r="1155" spans="1:12" x14ac:dyDescent="0.35">
      <c r="A1155" s="18">
        <v>43929</v>
      </c>
      <c r="B1155" s="15">
        <v>254.03639221191409</v>
      </c>
      <c r="C1155" s="15">
        <v>73.964042663574219</v>
      </c>
      <c r="D1155" s="15">
        <v>154.6499938964844</v>
      </c>
      <c r="E1155" s="15">
        <v>194.42433166503909</v>
      </c>
      <c r="F1155" s="15">
        <v>126.5878982543945</v>
      </c>
      <c r="H1155" s="16">
        <f t="shared" si="48"/>
        <v>1.5102994170419153E-2</v>
      </c>
      <c r="I1155" s="16">
        <f t="shared" si="48"/>
        <v>1.0919252169120829E-2</v>
      </c>
      <c r="J1155" s="16">
        <f t="shared" si="48"/>
        <v>2.5788169295062436E-2</v>
      </c>
      <c r="K1155" s="16">
        <f t="shared" si="48"/>
        <v>1.4449843352287125E-3</v>
      </c>
      <c r="L1155" s="16">
        <f t="shared" si="48"/>
        <v>1.8540331535634981E-2</v>
      </c>
    </row>
    <row r="1156" spans="1:12" x14ac:dyDescent="0.35">
      <c r="A1156" s="18">
        <v>43930</v>
      </c>
      <c r="B1156" s="15">
        <v>257.9022216796875</v>
      </c>
      <c r="C1156" s="15">
        <v>74.776100158691406</v>
      </c>
      <c r="D1156" s="15">
        <v>158.69000244140619</v>
      </c>
      <c r="E1156" s="15">
        <v>194.7054748535156</v>
      </c>
      <c r="F1156" s="15">
        <v>128.95677185058591</v>
      </c>
      <c r="H1156" s="16">
        <f t="shared" ref="H1156:L1171" si="49">LN(B1157/B1156)</f>
        <v>-9.1719240663585191E-3</v>
      </c>
      <c r="I1156" s="16">
        <f t="shared" si="49"/>
        <v>-3.2066284797306606E-3</v>
      </c>
      <c r="J1156" s="16">
        <f t="shared" si="49"/>
        <v>1.6995105513929458E-2</v>
      </c>
      <c r="K1156" s="16">
        <f t="shared" si="49"/>
        <v>1.0745325361272427E-2</v>
      </c>
      <c r="L1156" s="16">
        <f t="shared" si="49"/>
        <v>-1.198297550227506E-2</v>
      </c>
    </row>
    <row r="1157" spans="1:12" x14ac:dyDescent="0.35">
      <c r="A1157" s="18">
        <v>43934</v>
      </c>
      <c r="B1157" s="15">
        <v>255.5475769042969</v>
      </c>
      <c r="C1157" s="15">
        <v>74.536705017089844</v>
      </c>
      <c r="D1157" s="15">
        <v>161.4100036621094</v>
      </c>
      <c r="E1157" s="15">
        <v>196.8089294433594</v>
      </c>
      <c r="F1157" s="15">
        <v>127.4207077026367</v>
      </c>
      <c r="H1157" s="16">
        <f t="shared" si="49"/>
        <v>2.9065986134373351E-2</v>
      </c>
      <c r="I1157" s="16">
        <f t="shared" si="49"/>
        <v>0</v>
      </c>
      <c r="J1157" s="16">
        <f t="shared" si="49"/>
        <v>7.8373015433461628E-3</v>
      </c>
      <c r="K1157" s="16">
        <f t="shared" si="49"/>
        <v>4.2572048372321689E-2</v>
      </c>
      <c r="L1157" s="16">
        <f t="shared" si="49"/>
        <v>2.9904067450950911E-2</v>
      </c>
    </row>
    <row r="1158" spans="1:12" x14ac:dyDescent="0.35">
      <c r="A1158" s="18">
        <v>43935</v>
      </c>
      <c r="B1158" s="15">
        <v>263.08432006835938</v>
      </c>
      <c r="C1158" s="15">
        <v>74.536705017089844</v>
      </c>
      <c r="D1158" s="15">
        <v>162.67999267578119</v>
      </c>
      <c r="E1158" s="15">
        <v>205.36839294433591</v>
      </c>
      <c r="F1158" s="15">
        <v>131.28865051269531</v>
      </c>
      <c r="H1158" s="16">
        <f t="shared" si="49"/>
        <v>-2.1477268875589234E-2</v>
      </c>
      <c r="I1158" s="16">
        <f t="shared" si="49"/>
        <v>4.9198737515133741E-3</v>
      </c>
      <c r="J1158" s="16">
        <f t="shared" si="49"/>
        <v>-5.1150179335854098E-3</v>
      </c>
      <c r="K1158" s="16">
        <f t="shared" si="49"/>
        <v>-1.153598763681458E-2</v>
      </c>
      <c r="L1158" s="16">
        <f t="shared" si="49"/>
        <v>-2.3750164041055705E-2</v>
      </c>
    </row>
    <row r="1159" spans="1:12" x14ac:dyDescent="0.35">
      <c r="A1159" s="18">
        <v>43936</v>
      </c>
      <c r="B1159" s="15">
        <v>257.49423217773438</v>
      </c>
      <c r="C1159" s="15">
        <v>74.904319763183594</v>
      </c>
      <c r="D1159" s="15">
        <v>161.8500061035156</v>
      </c>
      <c r="E1159" s="15">
        <v>203.01287841796881</v>
      </c>
      <c r="F1159" s="15">
        <v>128.20726013183591</v>
      </c>
      <c r="H1159" s="16">
        <f t="shared" si="49"/>
        <v>4.812892167317848E-3</v>
      </c>
      <c r="I1159" s="16">
        <f t="shared" si="49"/>
        <v>5.7053190587181321E-4</v>
      </c>
      <c r="J1159" s="16">
        <f t="shared" si="49"/>
        <v>-8.6536897539397104E-4</v>
      </c>
      <c r="K1159" s="16">
        <f t="shared" si="49"/>
        <v>1.8075509985873161E-2</v>
      </c>
      <c r="L1159" s="16">
        <f t="shared" si="49"/>
        <v>4.6805435381533401E-3</v>
      </c>
    </row>
    <row r="1160" spans="1:12" x14ac:dyDescent="0.35">
      <c r="A1160" s="18">
        <v>43937</v>
      </c>
      <c r="B1160" s="15">
        <v>258.73651123046881</v>
      </c>
      <c r="C1160" s="15">
        <v>74.947067260742188</v>
      </c>
      <c r="D1160" s="15">
        <v>161.71000671386719</v>
      </c>
      <c r="E1160" s="15">
        <v>206.71580505371091</v>
      </c>
      <c r="F1160" s="15">
        <v>128.8087463378906</v>
      </c>
      <c r="H1160" s="16">
        <f t="shared" si="49"/>
        <v>2.6657032601991891E-2</v>
      </c>
      <c r="I1160" s="16">
        <f t="shared" si="49"/>
        <v>-1.3694976235707321E-3</v>
      </c>
      <c r="J1160" s="16">
        <f t="shared" si="49"/>
        <v>-1.9608466717139974E-2</v>
      </c>
      <c r="K1160" s="16">
        <f t="shared" si="49"/>
        <v>9.5208477328275112E-3</v>
      </c>
      <c r="L1160" s="16">
        <f t="shared" si="49"/>
        <v>2.7911381210085632E-2</v>
      </c>
    </row>
    <row r="1161" spans="1:12" x14ac:dyDescent="0.35">
      <c r="A1161" s="18">
        <v>43938</v>
      </c>
      <c r="B1161" s="15">
        <v>265.72640991210938</v>
      </c>
      <c r="C1161" s="15">
        <v>74.844497680664063</v>
      </c>
      <c r="D1161" s="15">
        <v>158.57000732421881</v>
      </c>
      <c r="E1161" s="15">
        <v>208.69331359863281</v>
      </c>
      <c r="F1161" s="15">
        <v>132.4546203613281</v>
      </c>
      <c r="H1161" s="16">
        <f t="shared" si="49"/>
        <v>-1.7775322863661718E-2</v>
      </c>
      <c r="I1161" s="16">
        <f t="shared" si="49"/>
        <v>-1.6004616270538447E-3</v>
      </c>
      <c r="J1161" s="16">
        <f t="shared" si="49"/>
        <v>7.1008537209917523E-3</v>
      </c>
      <c r="K1161" s="16">
        <f t="shared" si="49"/>
        <v>-1.1915105940946837E-2</v>
      </c>
      <c r="L1161" s="16">
        <f t="shared" si="49"/>
        <v>-1.6340635382163037E-2</v>
      </c>
    </row>
    <row r="1162" spans="1:12" x14ac:dyDescent="0.35">
      <c r="A1162" s="18">
        <v>43941</v>
      </c>
      <c r="B1162" s="15">
        <v>261.04476928710938</v>
      </c>
      <c r="C1162" s="15">
        <v>74.724807739257813</v>
      </c>
      <c r="D1162" s="15">
        <v>159.69999694824219</v>
      </c>
      <c r="E1162" s="15">
        <v>206.2214660644531</v>
      </c>
      <c r="F1162" s="15">
        <v>130.30781555175781</v>
      </c>
      <c r="H1162" s="16">
        <f t="shared" si="49"/>
        <v>-3.083362234607831E-2</v>
      </c>
      <c r="I1162" s="16">
        <f t="shared" si="49"/>
        <v>1.2578959413220828E-3</v>
      </c>
      <c r="J1162" s="16">
        <f t="shared" si="49"/>
        <v>-6.8486733480536306E-3</v>
      </c>
      <c r="K1162" s="16">
        <f t="shared" si="49"/>
        <v>-3.7597729483351959E-2</v>
      </c>
      <c r="L1162" s="16">
        <f t="shared" si="49"/>
        <v>-3.1524450505357869E-2</v>
      </c>
    </row>
    <row r="1163" spans="1:12" x14ac:dyDescent="0.35">
      <c r="A1163" s="18">
        <v>43942</v>
      </c>
      <c r="B1163" s="15">
        <v>253.11863708496091</v>
      </c>
      <c r="C1163" s="15">
        <v>74.818862915039063</v>
      </c>
      <c r="D1163" s="15">
        <v>158.61000061035159</v>
      </c>
      <c r="E1163" s="15">
        <v>198.61195373535159</v>
      </c>
      <c r="F1163" s="15">
        <v>126.2640075683594</v>
      </c>
      <c r="H1163" s="16">
        <f t="shared" si="49"/>
        <v>2.1951912607747998E-2</v>
      </c>
      <c r="I1163" s="16">
        <f t="shared" si="49"/>
        <v>-8.0038891379397915E-4</v>
      </c>
      <c r="J1163" s="16">
        <f t="shared" si="49"/>
        <v>1.9479888950845802E-2</v>
      </c>
      <c r="K1163" s="16">
        <f t="shared" si="49"/>
        <v>2.9242792110334547E-2</v>
      </c>
      <c r="L1163" s="16">
        <f t="shared" si="49"/>
        <v>2.2321300615866794E-2</v>
      </c>
    </row>
    <row r="1164" spans="1:12" x14ac:dyDescent="0.35">
      <c r="A1164" s="18">
        <v>43943</v>
      </c>
      <c r="B1164" s="15">
        <v>258.73651123046881</v>
      </c>
      <c r="C1164" s="15">
        <v>74.759002685546875</v>
      </c>
      <c r="D1164" s="15">
        <v>161.72999572753909</v>
      </c>
      <c r="E1164" s="15">
        <v>204.50567626953119</v>
      </c>
      <c r="F1164" s="15">
        <v>129.11407470703119</v>
      </c>
      <c r="H1164" s="16">
        <f t="shared" si="49"/>
        <v>-7.1715247093314316E-5</v>
      </c>
      <c r="I1164" s="16">
        <f t="shared" si="49"/>
        <v>1.5990169266393104E-3</v>
      </c>
      <c r="J1164" s="16">
        <f t="shared" si="49"/>
        <v>9.9056437955239648E-3</v>
      </c>
      <c r="K1164" s="16">
        <f t="shared" si="49"/>
        <v>-2.1353903650347984E-3</v>
      </c>
      <c r="L1164" s="16">
        <f t="shared" si="49"/>
        <v>1.4346105370172623E-4</v>
      </c>
    </row>
    <row r="1165" spans="1:12" x14ac:dyDescent="0.35">
      <c r="A1165" s="18">
        <v>43944</v>
      </c>
      <c r="B1165" s="15">
        <v>258.71795654296881</v>
      </c>
      <c r="C1165" s="15">
        <v>74.878639221191406</v>
      </c>
      <c r="D1165" s="15">
        <v>163.3399963378906</v>
      </c>
      <c r="E1165" s="15">
        <v>204.06944274902341</v>
      </c>
      <c r="F1165" s="15">
        <v>129.1325988769531</v>
      </c>
      <c r="H1165" s="16">
        <f t="shared" si="49"/>
        <v>1.3842252058752629E-2</v>
      </c>
      <c r="I1165" s="16">
        <f t="shared" si="49"/>
        <v>-3.42205613269514E-4</v>
      </c>
      <c r="J1165" s="16">
        <f t="shared" si="49"/>
        <v>-4.294729942651925E-3</v>
      </c>
      <c r="K1165" s="16">
        <f t="shared" si="49"/>
        <v>1.5647363384924468E-2</v>
      </c>
      <c r="L1165" s="16">
        <f t="shared" si="49"/>
        <v>1.4795065521648219E-2</v>
      </c>
    </row>
    <row r="1166" spans="1:12" x14ac:dyDescent="0.35">
      <c r="A1166" s="18">
        <v>43945</v>
      </c>
      <c r="B1166" s="15">
        <v>262.3240966796875</v>
      </c>
      <c r="C1166" s="15">
        <v>74.853019714355469</v>
      </c>
      <c r="D1166" s="15">
        <v>162.63999938964841</v>
      </c>
      <c r="E1166" s="15">
        <v>207.28770446777341</v>
      </c>
      <c r="F1166" s="15">
        <v>131.05732727050781</v>
      </c>
      <c r="H1166" s="16">
        <f t="shared" si="49"/>
        <v>1.4315649560513498E-2</v>
      </c>
      <c r="I1166" s="16">
        <f t="shared" si="49"/>
        <v>-3.5465447422232798E-3</v>
      </c>
      <c r="J1166" s="16">
        <f t="shared" si="49"/>
        <v>-6.6625899835545503E-3</v>
      </c>
      <c r="K1166" s="16">
        <f t="shared" si="49"/>
        <v>8.0112946277221021E-3</v>
      </c>
      <c r="L1166" s="16">
        <f t="shared" si="49"/>
        <v>1.7567164782082395E-2</v>
      </c>
    </row>
    <row r="1167" spans="1:12" x14ac:dyDescent="0.35">
      <c r="A1167" s="18">
        <v>43948</v>
      </c>
      <c r="B1167" s="15">
        <v>266.1064453125</v>
      </c>
      <c r="C1167" s="15">
        <v>74.588020324707031</v>
      </c>
      <c r="D1167" s="15">
        <v>161.55999755859381</v>
      </c>
      <c r="E1167" s="15">
        <v>208.95501708984381</v>
      </c>
      <c r="F1167" s="15">
        <v>133.3799743652344</v>
      </c>
      <c r="H1167" s="16">
        <f t="shared" si="49"/>
        <v>-4.6088878843187006E-3</v>
      </c>
      <c r="I1167" s="16">
        <f t="shared" si="49"/>
        <v>2.9756017481143561E-3</v>
      </c>
      <c r="J1167" s="16">
        <f t="shared" si="49"/>
        <v>-4.4665163233353145E-3</v>
      </c>
      <c r="K1167" s="16">
        <f t="shared" si="49"/>
        <v>-1.901419713040127E-2</v>
      </c>
      <c r="L1167" s="16">
        <f t="shared" si="49"/>
        <v>-3.1272284397992527E-3</v>
      </c>
    </row>
    <row r="1168" spans="1:12" x14ac:dyDescent="0.35">
      <c r="A1168" s="18">
        <v>43949</v>
      </c>
      <c r="B1168" s="15">
        <v>264.8828125</v>
      </c>
      <c r="C1168" s="15">
        <v>74.810295104980469</v>
      </c>
      <c r="D1168" s="15">
        <v>160.8399963378906</v>
      </c>
      <c r="E1168" s="15">
        <v>205.0194396972656</v>
      </c>
      <c r="F1168" s="15">
        <v>132.96351623535159</v>
      </c>
      <c r="H1168" s="16">
        <f t="shared" si="49"/>
        <v>2.5841820173734337E-2</v>
      </c>
      <c r="I1168" s="16">
        <f t="shared" si="49"/>
        <v>6.8468483266839319E-4</v>
      </c>
      <c r="J1168" s="16">
        <f t="shared" si="49"/>
        <v>5.5181924540178761E-3</v>
      </c>
      <c r="K1168" s="16">
        <f t="shared" si="49"/>
        <v>3.4846777209245186E-2</v>
      </c>
      <c r="L1168" s="16">
        <f t="shared" si="49"/>
        <v>2.793136173733329E-2</v>
      </c>
    </row>
    <row r="1169" spans="1:12" x14ac:dyDescent="0.35">
      <c r="A1169" s="18">
        <v>43950</v>
      </c>
      <c r="B1169" s="15">
        <v>271.81707763671881</v>
      </c>
      <c r="C1169" s="15">
        <v>74.861534118652344</v>
      </c>
      <c r="D1169" s="15">
        <v>161.72999572753909</v>
      </c>
      <c r="E1169" s="15">
        <v>212.2896423339844</v>
      </c>
      <c r="F1169" s="15">
        <v>136.72972106933591</v>
      </c>
      <c r="H1169" s="16">
        <f t="shared" si="49"/>
        <v>-9.3545996802196964E-3</v>
      </c>
      <c r="I1169" s="16">
        <f t="shared" si="49"/>
        <v>-7.9891255902350255E-4</v>
      </c>
      <c r="J1169" s="16">
        <f t="shared" si="49"/>
        <v>-1.8282683683788808E-2</v>
      </c>
      <c r="K1169" s="16">
        <f t="shared" si="49"/>
        <v>-4.1093460449201656E-4</v>
      </c>
      <c r="L1169" s="16">
        <f t="shared" si="49"/>
        <v>-1.3079433859187228E-2</v>
      </c>
    </row>
    <row r="1170" spans="1:12" x14ac:dyDescent="0.35">
      <c r="A1170" s="18">
        <v>43951</v>
      </c>
      <c r="B1170" s="15">
        <v>269.28619384765619</v>
      </c>
      <c r="C1170" s="15">
        <v>74.801750183105469</v>
      </c>
      <c r="D1170" s="15">
        <v>158.80000305175781</v>
      </c>
      <c r="E1170" s="15">
        <v>212.2024230957031</v>
      </c>
      <c r="F1170" s="15">
        <v>134.95301818847659</v>
      </c>
      <c r="H1170" s="16">
        <f t="shared" si="49"/>
        <v>-2.6830073717116994E-2</v>
      </c>
      <c r="I1170" s="16">
        <f t="shared" si="49"/>
        <v>-4.1234825464800222E-4</v>
      </c>
      <c r="J1170" s="16">
        <f t="shared" si="49"/>
        <v>6.1522933833428935E-3</v>
      </c>
      <c r="K1170" s="16">
        <f t="shared" si="49"/>
        <v>-2.8589975748946107E-2</v>
      </c>
      <c r="L1170" s="16">
        <f t="shared" si="49"/>
        <v>-2.8021622963879479E-2</v>
      </c>
    </row>
    <row r="1171" spans="1:12" x14ac:dyDescent="0.35">
      <c r="A1171" s="18">
        <v>43952</v>
      </c>
      <c r="B1171" s="15">
        <v>262.15728759765619</v>
      </c>
      <c r="C1171" s="15">
        <v>74.770912170410156</v>
      </c>
      <c r="D1171" s="15">
        <v>159.7799987792969</v>
      </c>
      <c r="E1171" s="15">
        <v>206.2214660644531</v>
      </c>
      <c r="F1171" s="15">
        <v>131.2239074707031</v>
      </c>
      <c r="H1171" s="16">
        <f t="shared" si="49"/>
        <v>2.754291870957706E-3</v>
      </c>
      <c r="I1171" s="16">
        <f t="shared" si="49"/>
        <v>1.0303481398273989E-3</v>
      </c>
      <c r="J1171" s="16">
        <f t="shared" si="49"/>
        <v>3.4986763611591963E-3</v>
      </c>
      <c r="K1171" s="16">
        <f t="shared" si="49"/>
        <v>1.1590053162713575E-2</v>
      </c>
      <c r="L1171" s="16">
        <f t="shared" si="49"/>
        <v>3.8004920943749874E-3</v>
      </c>
    </row>
    <row r="1172" spans="1:12" x14ac:dyDescent="0.35">
      <c r="A1172" s="18">
        <v>43955</v>
      </c>
      <c r="B1172" s="15">
        <v>262.88034057617188</v>
      </c>
      <c r="C1172" s="15">
        <v>74.847991943359375</v>
      </c>
      <c r="D1172" s="15">
        <v>160.3399963378906</v>
      </c>
      <c r="E1172" s="15">
        <v>208.62548828125</v>
      </c>
      <c r="F1172" s="15">
        <v>131.72357177734381</v>
      </c>
      <c r="H1172" s="16">
        <f t="shared" ref="H1172:K1235" si="50">LN(B1173/B1172)</f>
        <v>9.1970038796431331E-3</v>
      </c>
      <c r="I1172" s="16">
        <f t="shared" si="50"/>
        <v>-9.1586925432265737E-4</v>
      </c>
      <c r="J1172" s="16">
        <f t="shared" si="50"/>
        <v>4.2320696304066052E-3</v>
      </c>
      <c r="K1172" s="16">
        <f t="shared" si="50"/>
        <v>1.1273224643866304E-2</v>
      </c>
      <c r="L1172" s="16">
        <f t="shared" ref="L1172:L1235" si="51">LN(F1173/F1172)</f>
        <v>9.2303346965795889E-3</v>
      </c>
    </row>
    <row r="1173" spans="1:12" x14ac:dyDescent="0.35">
      <c r="A1173" s="18">
        <v>43956</v>
      </c>
      <c r="B1173" s="15">
        <v>265.3092041015625</v>
      </c>
      <c r="C1173" s="15">
        <v>74.779472351074219</v>
      </c>
      <c r="D1173" s="15">
        <v>161.02000427246091</v>
      </c>
      <c r="E1173" s="15">
        <v>210.99067687988281</v>
      </c>
      <c r="F1173" s="15">
        <v>132.94505310058591</v>
      </c>
      <c r="H1173" s="16">
        <f t="shared" si="50"/>
        <v>-6.8019350714018977E-3</v>
      </c>
      <c r="I1173" s="16">
        <f t="shared" si="50"/>
        <v>-4.4769783488415047E-3</v>
      </c>
      <c r="J1173" s="16">
        <f t="shared" si="50"/>
        <v>-1.2938939248233909E-2</v>
      </c>
      <c r="K1173" s="16">
        <f t="shared" si="50"/>
        <v>6.1376325468582597E-3</v>
      </c>
      <c r="L1173" s="16">
        <f t="shared" si="51"/>
        <v>-5.5137059236697351E-3</v>
      </c>
    </row>
    <row r="1174" spans="1:12" x14ac:dyDescent="0.35">
      <c r="A1174" s="18">
        <v>43957</v>
      </c>
      <c r="B1174" s="15">
        <v>263.51071166992188</v>
      </c>
      <c r="C1174" s="15">
        <v>74.4454345703125</v>
      </c>
      <c r="D1174" s="15">
        <v>158.94999694824219</v>
      </c>
      <c r="E1174" s="15">
        <v>212.2896423339844</v>
      </c>
      <c r="F1174" s="15">
        <v>132.21405029296881</v>
      </c>
      <c r="H1174" s="16">
        <f t="shared" si="50"/>
        <v>1.1994756565257399E-2</v>
      </c>
      <c r="I1174" s="16">
        <f t="shared" si="50"/>
        <v>3.2158655389630513E-3</v>
      </c>
      <c r="J1174" s="16">
        <f t="shared" si="50"/>
        <v>1.5234124108559854E-2</v>
      </c>
      <c r="K1174" s="16">
        <f t="shared" si="50"/>
        <v>1.2794389719704256E-2</v>
      </c>
      <c r="L1174" s="16">
        <f t="shared" si="51"/>
        <v>1.3002677437333784E-2</v>
      </c>
    </row>
    <row r="1175" spans="1:12" x14ac:dyDescent="0.35">
      <c r="A1175" s="18">
        <v>43958</v>
      </c>
      <c r="B1175" s="15">
        <v>266.69049072265619</v>
      </c>
      <c r="C1175" s="15">
        <v>74.685226440429688</v>
      </c>
      <c r="D1175" s="15">
        <v>161.38999938964841</v>
      </c>
      <c r="E1175" s="15">
        <v>215.02320861816409</v>
      </c>
      <c r="F1175" s="15">
        <v>133.94441223144531</v>
      </c>
      <c r="H1175" s="16">
        <f t="shared" si="50"/>
        <v>1.6410485817139643E-2</v>
      </c>
      <c r="I1175" s="16">
        <f t="shared" si="50"/>
        <v>-2.8709671069016944E-3</v>
      </c>
      <c r="J1175" s="16">
        <f t="shared" si="50"/>
        <v>-6.0284277412396142E-3</v>
      </c>
      <c r="K1175" s="16">
        <f t="shared" si="50"/>
        <v>1.3611824898051988E-2</v>
      </c>
      <c r="L1175" s="16">
        <f t="shared" si="51"/>
        <v>1.8616764435754319E-2</v>
      </c>
    </row>
    <row r="1176" spans="1:12" x14ac:dyDescent="0.35">
      <c r="A1176" s="18">
        <v>43959</v>
      </c>
      <c r="B1176" s="15">
        <v>271.10311889648438</v>
      </c>
      <c r="C1176" s="15">
        <v>74.471115112304688</v>
      </c>
      <c r="D1176" s="15">
        <v>160.41999816894531</v>
      </c>
      <c r="E1176" s="15">
        <v>217.97007751464841</v>
      </c>
      <c r="F1176" s="15">
        <v>136.46138000488281</v>
      </c>
      <c r="H1176" s="16">
        <f t="shared" si="50"/>
        <v>2.0541578506255362E-4</v>
      </c>
      <c r="I1176" s="16">
        <f t="shared" si="50"/>
        <v>-3.1102264552577484E-3</v>
      </c>
      <c r="J1176" s="16">
        <f t="shared" si="50"/>
        <v>-6.2531470105992434E-3</v>
      </c>
      <c r="K1176" s="16">
        <f t="shared" si="50"/>
        <v>8.8991722933806621E-3</v>
      </c>
      <c r="L1176" s="16">
        <f t="shared" si="51"/>
        <v>1.3562559619013641E-4</v>
      </c>
    </row>
    <row r="1177" spans="1:12" x14ac:dyDescent="0.35">
      <c r="A1177" s="18">
        <v>43962</v>
      </c>
      <c r="B1177" s="15">
        <v>271.1588134765625</v>
      </c>
      <c r="C1177" s="15">
        <v>74.239852905273438</v>
      </c>
      <c r="D1177" s="15">
        <v>159.41999816894531</v>
      </c>
      <c r="E1177" s="15">
        <v>219.9184875488281</v>
      </c>
      <c r="F1177" s="15">
        <v>136.4798889160156</v>
      </c>
      <c r="H1177" s="16">
        <f t="shared" si="50"/>
        <v>-2.0132927236895616E-2</v>
      </c>
      <c r="I1177" s="16">
        <f t="shared" si="50"/>
        <v>3.2253710417454282E-3</v>
      </c>
      <c r="J1177" s="16">
        <f t="shared" si="50"/>
        <v>3.8815245238018456E-3</v>
      </c>
      <c r="K1177" s="16">
        <f t="shared" si="50"/>
        <v>-2.1159418560997727E-2</v>
      </c>
      <c r="L1177" s="16">
        <f t="shared" si="51"/>
        <v>-2.1519886534533496E-2</v>
      </c>
    </row>
    <row r="1178" spans="1:12" x14ac:dyDescent="0.35">
      <c r="A1178" s="18">
        <v>43963</v>
      </c>
      <c r="B1178" s="15">
        <v>265.75418090820313</v>
      </c>
      <c r="C1178" s="15">
        <v>74.479690551757813</v>
      </c>
      <c r="D1178" s="15">
        <v>160.03999328613281</v>
      </c>
      <c r="E1178" s="15">
        <v>215.31402587890619</v>
      </c>
      <c r="F1178" s="15">
        <v>133.57423400878909</v>
      </c>
      <c r="H1178" s="16">
        <f t="shared" si="50"/>
        <v>-1.7844171583512342E-2</v>
      </c>
      <c r="I1178" s="16">
        <f t="shared" si="50"/>
        <v>1.1491824742711173E-3</v>
      </c>
      <c r="J1178" s="16">
        <f t="shared" si="50"/>
        <v>9.5766453458976733E-3</v>
      </c>
      <c r="K1178" s="16">
        <f t="shared" si="50"/>
        <v>-1.2594767913091399E-2</v>
      </c>
      <c r="L1178" s="16">
        <f t="shared" si="51"/>
        <v>-2.0294166727322753E-2</v>
      </c>
    </row>
    <row r="1179" spans="1:12" x14ac:dyDescent="0.35">
      <c r="A1179" s="18">
        <v>43964</v>
      </c>
      <c r="B1179" s="15">
        <v>261.0540771484375</v>
      </c>
      <c r="C1179" s="15">
        <v>74.565330505371094</v>
      </c>
      <c r="D1179" s="15">
        <v>161.58000183105469</v>
      </c>
      <c r="E1179" s="15">
        <v>212.61920166015619</v>
      </c>
      <c r="F1179" s="15">
        <v>130.8907775878906</v>
      </c>
      <c r="H1179" s="16">
        <f t="shared" si="50"/>
        <v>1.1896267677634237E-2</v>
      </c>
      <c r="I1179" s="16">
        <f t="shared" si="50"/>
        <v>2.7532739705167942E-3</v>
      </c>
      <c r="J1179" s="16">
        <f t="shared" si="50"/>
        <v>8.8111275361231253E-3</v>
      </c>
      <c r="K1179" s="16">
        <f t="shared" si="50"/>
        <v>1.1288391979682802E-2</v>
      </c>
      <c r="L1179" s="16">
        <f t="shared" si="51"/>
        <v>1.0688693841378581E-2</v>
      </c>
    </row>
    <row r="1180" spans="1:12" x14ac:dyDescent="0.35">
      <c r="A1180" s="18">
        <v>43965</v>
      </c>
      <c r="B1180" s="15">
        <v>264.17819213867188</v>
      </c>
      <c r="C1180" s="15">
        <v>74.770912170410156</v>
      </c>
      <c r="D1180" s="15">
        <v>163.00999450683591</v>
      </c>
      <c r="E1180" s="15">
        <v>215.0329284667969</v>
      </c>
      <c r="F1180" s="15">
        <v>132.2973327636719</v>
      </c>
      <c r="H1180" s="16">
        <f t="shared" si="50"/>
        <v>4.5864259544353692E-3</v>
      </c>
      <c r="I1180" s="16">
        <f t="shared" si="50"/>
        <v>5.7205946122730188E-4</v>
      </c>
      <c r="J1180" s="16">
        <f t="shared" si="50"/>
        <v>5.6279478395508198E-3</v>
      </c>
      <c r="K1180" s="16">
        <f t="shared" si="50"/>
        <v>6.4705349417555616E-3</v>
      </c>
      <c r="L1180" s="16">
        <f t="shared" si="51"/>
        <v>5.9969268923756851E-3</v>
      </c>
    </row>
    <row r="1181" spans="1:12" x14ac:dyDescent="0.35">
      <c r="A1181" s="18">
        <v>43966</v>
      </c>
      <c r="B1181" s="15">
        <v>265.39260864257813</v>
      </c>
      <c r="C1181" s="15">
        <v>74.813697814941406</v>
      </c>
      <c r="D1181" s="15">
        <v>163.92999267578119</v>
      </c>
      <c r="E1181" s="15">
        <v>216.42881774902341</v>
      </c>
      <c r="F1181" s="15">
        <v>133.09309387207031</v>
      </c>
      <c r="H1181" s="16">
        <f t="shared" si="50"/>
        <v>3.0005093902475608E-2</v>
      </c>
      <c r="I1181" s="16">
        <f t="shared" si="50"/>
        <v>-1.8332145755431432E-3</v>
      </c>
      <c r="J1181" s="16">
        <f t="shared" si="50"/>
        <v>-7.5928982318519828E-3</v>
      </c>
      <c r="K1181" s="16">
        <f t="shared" si="50"/>
        <v>1.846054832289697E-2</v>
      </c>
      <c r="L1181" s="16">
        <f t="shared" si="51"/>
        <v>3.2626237062713746E-2</v>
      </c>
    </row>
    <row r="1182" spans="1:12" x14ac:dyDescent="0.35">
      <c r="A1182" s="18">
        <v>43969</v>
      </c>
      <c r="B1182" s="15">
        <v>273.47640991210938</v>
      </c>
      <c r="C1182" s="15">
        <v>74.676673889160156</v>
      </c>
      <c r="D1182" s="15">
        <v>162.69000244140619</v>
      </c>
      <c r="E1182" s="15">
        <v>220.46131896972659</v>
      </c>
      <c r="F1182" s="15">
        <v>137.50703430175781</v>
      </c>
      <c r="H1182" s="16">
        <f t="shared" si="50"/>
        <v>-1.0324532887220229E-2</v>
      </c>
      <c r="I1182" s="16">
        <f t="shared" si="50"/>
        <v>1.2611551143159744E-3</v>
      </c>
      <c r="J1182" s="16">
        <f t="shared" si="50"/>
        <v>9.6039403425893736E-3</v>
      </c>
      <c r="K1182" s="16">
        <f t="shared" si="50"/>
        <v>-2.5094178658980359E-3</v>
      </c>
      <c r="L1182" s="16">
        <f t="shared" si="51"/>
        <v>-1.0689486615869395E-2</v>
      </c>
    </row>
    <row r="1183" spans="1:12" x14ac:dyDescent="0.35">
      <c r="A1183" s="18">
        <v>43970</v>
      </c>
      <c r="B1183" s="15">
        <v>270.66741943359381</v>
      </c>
      <c r="C1183" s="15">
        <v>74.770912170410156</v>
      </c>
      <c r="D1183" s="15">
        <v>164.25999450683591</v>
      </c>
      <c r="E1183" s="15">
        <v>219.9087829589844</v>
      </c>
      <c r="F1183" s="15">
        <v>136.04498291015619</v>
      </c>
      <c r="H1183" s="16">
        <f t="shared" si="50"/>
        <v>1.6845597053238622E-2</v>
      </c>
      <c r="I1183" s="16">
        <f t="shared" si="50"/>
        <v>2.6313326812005219E-3</v>
      </c>
      <c r="J1183" s="16">
        <f t="shared" si="50"/>
        <v>2.3714668825762031E-3</v>
      </c>
      <c r="K1183" s="16">
        <f t="shared" si="50"/>
        <v>1.9771549644566809E-2</v>
      </c>
      <c r="L1183" s="16">
        <f t="shared" si="51"/>
        <v>1.8331384621104126E-2</v>
      </c>
    </row>
    <row r="1184" spans="1:12" x14ac:dyDescent="0.35">
      <c r="A1184" s="18">
        <v>43971</v>
      </c>
      <c r="B1184" s="15">
        <v>275.26559448242188</v>
      </c>
      <c r="C1184" s="15">
        <v>74.967918395996094</v>
      </c>
      <c r="D1184" s="15">
        <v>164.6499938964844</v>
      </c>
      <c r="E1184" s="15">
        <v>224.29998779296881</v>
      </c>
      <c r="F1184" s="15">
        <v>138.56187438964841</v>
      </c>
      <c r="H1184" s="16">
        <f t="shared" si="50"/>
        <v>-6.928008703509821E-3</v>
      </c>
      <c r="I1184" s="16">
        <f t="shared" si="50"/>
        <v>1.027641905744531E-3</v>
      </c>
      <c r="J1184" s="16">
        <f t="shared" si="50"/>
        <v>-1.4683616168537092E-2</v>
      </c>
      <c r="K1184" s="16">
        <f t="shared" si="50"/>
        <v>-1.0950349471627437E-2</v>
      </c>
      <c r="L1184" s="16">
        <f t="shared" si="51"/>
        <v>-6.0282929483568854E-3</v>
      </c>
    </row>
    <row r="1185" spans="1:12" x14ac:dyDescent="0.35">
      <c r="A1185" s="18">
        <v>43972</v>
      </c>
      <c r="B1185" s="15">
        <v>273.36514282226563</v>
      </c>
      <c r="C1185" s="15">
        <v>75.044998168945313</v>
      </c>
      <c r="D1185" s="15">
        <v>162.25</v>
      </c>
      <c r="E1185" s="15">
        <v>221.85722351074219</v>
      </c>
      <c r="F1185" s="15">
        <v>137.7290954589844</v>
      </c>
      <c r="H1185" s="16">
        <f t="shared" si="50"/>
        <v>1.8974735664516905E-3</v>
      </c>
      <c r="I1185" s="16">
        <f t="shared" si="50"/>
        <v>3.419401170543579E-4</v>
      </c>
      <c r="J1185" s="16">
        <f t="shared" si="50"/>
        <v>5.8994007147757759E-3</v>
      </c>
      <c r="K1185" s="16">
        <f t="shared" si="50"/>
        <v>3.4457251556599513E-3</v>
      </c>
      <c r="L1185" s="16">
        <f t="shared" si="51"/>
        <v>2.8181387716058499E-3</v>
      </c>
    </row>
    <row r="1186" spans="1:12" x14ac:dyDescent="0.35">
      <c r="A1186" s="18">
        <v>43973</v>
      </c>
      <c r="B1186" s="15">
        <v>273.88433837890619</v>
      </c>
      <c r="C1186" s="15">
        <v>75.070663452148438</v>
      </c>
      <c r="D1186" s="15">
        <v>163.21000671386719</v>
      </c>
      <c r="E1186" s="15">
        <v>222.62300109863281</v>
      </c>
      <c r="F1186" s="15">
        <v>138.11778259277341</v>
      </c>
      <c r="H1186" s="16">
        <f t="shared" si="50"/>
        <v>1.2245211882280133E-2</v>
      </c>
      <c r="I1186" s="16">
        <f t="shared" si="50"/>
        <v>-5.7101594047558046E-4</v>
      </c>
      <c r="J1186" s="16">
        <f t="shared" si="50"/>
        <v>-1.4316858429627113E-2</v>
      </c>
      <c r="K1186" s="16">
        <f t="shared" si="50"/>
        <v>-2.7035473368399489E-3</v>
      </c>
      <c r="L1186" s="16">
        <f t="shared" si="51"/>
        <v>1.3838881359703646E-2</v>
      </c>
    </row>
    <row r="1187" spans="1:12" x14ac:dyDescent="0.35">
      <c r="A1187" s="18">
        <v>43977</v>
      </c>
      <c r="B1187" s="15">
        <v>277.25872802734381</v>
      </c>
      <c r="C1187" s="15">
        <v>75.027809143066406</v>
      </c>
      <c r="D1187" s="15">
        <v>160.88999938964841</v>
      </c>
      <c r="E1187" s="15">
        <v>222.0219421386719</v>
      </c>
      <c r="F1187" s="15">
        <v>140.04246520996091</v>
      </c>
      <c r="H1187" s="16">
        <f t="shared" si="50"/>
        <v>1.4769404507279947E-2</v>
      </c>
      <c r="I1187" s="16">
        <f t="shared" si="50"/>
        <v>4.5708277277601309E-4</v>
      </c>
      <c r="J1187" s="16">
        <f t="shared" si="50"/>
        <v>1.8008095857778102E-3</v>
      </c>
      <c r="K1187" s="16">
        <f t="shared" si="50"/>
        <v>5.4429371551446819E-3</v>
      </c>
      <c r="L1187" s="16">
        <f t="shared" si="51"/>
        <v>1.5669013450265844E-2</v>
      </c>
    </row>
    <row r="1188" spans="1:12" x14ac:dyDescent="0.35">
      <c r="A1188" s="18">
        <v>43978</v>
      </c>
      <c r="B1188" s="15">
        <v>281.38406372070313</v>
      </c>
      <c r="C1188" s="15">
        <v>75.062110900878906</v>
      </c>
      <c r="D1188" s="15">
        <v>161.17999267578119</v>
      </c>
      <c r="E1188" s="15">
        <v>223.23368835449219</v>
      </c>
      <c r="F1188" s="15">
        <v>142.25407409667969</v>
      </c>
      <c r="H1188" s="16">
        <f t="shared" si="50"/>
        <v>-1.8467448455353988E-3</v>
      </c>
      <c r="I1188" s="16">
        <f t="shared" si="50"/>
        <v>3.4237020614103435E-4</v>
      </c>
      <c r="J1188" s="16">
        <f t="shared" si="50"/>
        <v>3.3447448656949586E-3</v>
      </c>
      <c r="K1188" s="16">
        <f t="shared" si="50"/>
        <v>-1.3033920745034275E-3</v>
      </c>
      <c r="L1188" s="16">
        <f t="shared" si="51"/>
        <v>-3.4537549623586132E-3</v>
      </c>
    </row>
    <row r="1189" spans="1:12" x14ac:dyDescent="0.35">
      <c r="A1189" s="18">
        <v>43979</v>
      </c>
      <c r="B1189" s="15">
        <v>280.86489868164063</v>
      </c>
      <c r="C1189" s="15">
        <v>75.087814331054688</v>
      </c>
      <c r="D1189" s="15">
        <v>161.7200012207031</v>
      </c>
      <c r="E1189" s="15">
        <v>222.94291687011719</v>
      </c>
      <c r="F1189" s="15">
        <v>141.76361083984381</v>
      </c>
      <c r="H1189" s="16">
        <f t="shared" si="50"/>
        <v>4.4459645071145424E-3</v>
      </c>
      <c r="I1189" s="16">
        <f t="shared" si="50"/>
        <v>2.8474212775863555E-3</v>
      </c>
      <c r="J1189" s="16">
        <f t="shared" si="50"/>
        <v>7.3314712365978238E-3</v>
      </c>
      <c r="K1189" s="16">
        <f t="shared" si="50"/>
        <v>1.4546286710581656E-2</v>
      </c>
      <c r="L1189" s="16">
        <f t="shared" si="51"/>
        <v>3.3235275770075469E-3</v>
      </c>
    </row>
    <row r="1190" spans="1:12" x14ac:dyDescent="0.35">
      <c r="A1190" s="18">
        <v>43980</v>
      </c>
      <c r="B1190" s="15">
        <v>282.11639404296881</v>
      </c>
      <c r="C1190" s="15">
        <v>75.301925659179688</v>
      </c>
      <c r="D1190" s="15">
        <v>162.9100036621094</v>
      </c>
      <c r="E1190" s="15">
        <v>226.20960998535159</v>
      </c>
      <c r="F1190" s="15">
        <v>142.23554992675781</v>
      </c>
      <c r="H1190" s="16">
        <f t="shared" si="50"/>
        <v>4.0335487701328868E-3</v>
      </c>
      <c r="I1190" s="16">
        <f t="shared" si="50"/>
        <v>-8.094481872648597E-4</v>
      </c>
      <c r="J1190" s="16">
        <f t="shared" si="50"/>
        <v>4.5932039181421757E-3</v>
      </c>
      <c r="K1190" s="16">
        <f t="shared" si="50"/>
        <v>2.995332845626524E-3</v>
      </c>
      <c r="L1190" s="16">
        <f t="shared" si="51"/>
        <v>6.7433624706152422E-3</v>
      </c>
    </row>
    <row r="1191" spans="1:12" x14ac:dyDescent="0.35">
      <c r="A1191" s="18">
        <v>43983</v>
      </c>
      <c r="B1191" s="15">
        <v>283.25662231445313</v>
      </c>
      <c r="C1191" s="15">
        <v>75.240997314453125</v>
      </c>
      <c r="D1191" s="15">
        <v>163.6600036621094</v>
      </c>
      <c r="E1191" s="15">
        <v>226.88819885253909</v>
      </c>
      <c r="F1191" s="15">
        <v>143.19793701171881</v>
      </c>
      <c r="H1191" s="16">
        <f t="shared" si="50"/>
        <v>8.2464522209575019E-3</v>
      </c>
      <c r="I1191" s="16">
        <f t="shared" si="50"/>
        <v>7.9810057525832344E-4</v>
      </c>
      <c r="J1191" s="16">
        <f t="shared" si="50"/>
        <v>-6.49789282485491E-3</v>
      </c>
      <c r="K1191" s="16">
        <f t="shared" si="50"/>
        <v>6.6851628236690693E-3</v>
      </c>
      <c r="L1191" s="16">
        <f t="shared" si="51"/>
        <v>7.5318067816351692E-3</v>
      </c>
    </row>
    <row r="1192" spans="1:12" x14ac:dyDescent="0.35">
      <c r="A1192" s="18">
        <v>43984</v>
      </c>
      <c r="B1192" s="15">
        <v>285.60214233398438</v>
      </c>
      <c r="C1192" s="15">
        <v>75.301071166992188</v>
      </c>
      <c r="D1192" s="15">
        <v>162.6000061035156</v>
      </c>
      <c r="E1192" s="15">
        <v>228.4100646972656</v>
      </c>
      <c r="F1192" s="15">
        <v>144.2805480957031</v>
      </c>
      <c r="H1192" s="16">
        <f t="shared" si="50"/>
        <v>1.3220184764887361E-2</v>
      </c>
      <c r="I1192" s="16">
        <f t="shared" si="50"/>
        <v>-2.2818633289833287E-3</v>
      </c>
      <c r="J1192" s="16">
        <f t="shared" si="50"/>
        <v>-1.862251139241922E-2</v>
      </c>
      <c r="K1192" s="16">
        <f t="shared" si="50"/>
        <v>4.4885838823276519E-3</v>
      </c>
      <c r="L1192" s="16">
        <f t="shared" si="51"/>
        <v>1.5465003327943485E-2</v>
      </c>
    </row>
    <row r="1193" spans="1:12" x14ac:dyDescent="0.35">
      <c r="A1193" s="18">
        <v>43985</v>
      </c>
      <c r="B1193" s="15">
        <v>289.40292358398438</v>
      </c>
      <c r="C1193" s="15">
        <v>75.129440307617188</v>
      </c>
      <c r="D1193" s="15">
        <v>159.6000061035156</v>
      </c>
      <c r="E1193" s="15">
        <v>229.43760681152341</v>
      </c>
      <c r="F1193" s="15">
        <v>146.52919006347659</v>
      </c>
      <c r="H1193" s="16">
        <f t="shared" si="50"/>
        <v>-2.6303246515689263E-3</v>
      </c>
      <c r="I1193" s="16">
        <f t="shared" si="50"/>
        <v>-2.4016958224104264E-3</v>
      </c>
      <c r="J1193" s="16">
        <f t="shared" si="50"/>
        <v>1.0471254055873619E-2</v>
      </c>
      <c r="K1193" s="16">
        <f t="shared" si="50"/>
        <v>-7.0382133627524329E-3</v>
      </c>
      <c r="L1193" s="16">
        <f t="shared" si="51"/>
        <v>-3.1625713067374812E-3</v>
      </c>
    </row>
    <row r="1194" spans="1:12" x14ac:dyDescent="0.35">
      <c r="A1194" s="18">
        <v>43986</v>
      </c>
      <c r="B1194" s="15">
        <v>288.6427001953125</v>
      </c>
      <c r="C1194" s="15">
        <v>74.94921875</v>
      </c>
      <c r="D1194" s="15">
        <v>161.2799987792969</v>
      </c>
      <c r="E1194" s="15">
        <v>227.82844543457031</v>
      </c>
      <c r="F1194" s="15">
        <v>146.06651306152341</v>
      </c>
      <c r="H1194" s="16">
        <f t="shared" si="50"/>
        <v>2.5306769933655118E-2</v>
      </c>
      <c r="I1194" s="16">
        <f t="shared" si="50"/>
        <v>-1.147286259512961E-4</v>
      </c>
      <c r="J1194" s="16">
        <f t="shared" si="50"/>
        <v>-2.0483689915414195E-2</v>
      </c>
      <c r="K1194" s="16">
        <f t="shared" si="50"/>
        <v>1.9633448815490333E-2</v>
      </c>
      <c r="L1194" s="16">
        <f t="shared" si="51"/>
        <v>2.5333425329457517E-2</v>
      </c>
    </row>
    <row r="1195" spans="1:12" x14ac:dyDescent="0.35">
      <c r="A1195" s="18">
        <v>43987</v>
      </c>
      <c r="B1195" s="15">
        <v>296.04052734375</v>
      </c>
      <c r="C1195" s="15">
        <v>74.940620422363281</v>
      </c>
      <c r="D1195" s="15">
        <v>158.00999450683591</v>
      </c>
      <c r="E1195" s="15">
        <v>232.345703125</v>
      </c>
      <c r="F1195" s="15">
        <v>149.81414794921881</v>
      </c>
      <c r="H1195" s="16">
        <f t="shared" si="50"/>
        <v>1.2015164087437915E-2</v>
      </c>
      <c r="I1195" s="16">
        <f t="shared" si="50"/>
        <v>1.0306602728869254E-3</v>
      </c>
      <c r="J1195" s="16">
        <f t="shared" si="50"/>
        <v>1.0764002439043798E-2</v>
      </c>
      <c r="K1195" s="16">
        <f t="shared" si="50"/>
        <v>7.7299429623602488E-3</v>
      </c>
      <c r="L1195" s="16">
        <f t="shared" si="51"/>
        <v>1.3497518501924696E-2</v>
      </c>
    </row>
    <row r="1196" spans="1:12" x14ac:dyDescent="0.35">
      <c r="A1196" s="18">
        <v>43990</v>
      </c>
      <c r="B1196" s="15">
        <v>299.61895751953119</v>
      </c>
      <c r="C1196" s="15">
        <v>75.017898559570313</v>
      </c>
      <c r="D1196" s="15">
        <v>159.7200012207031</v>
      </c>
      <c r="E1196" s="15">
        <v>234.148681640625</v>
      </c>
      <c r="F1196" s="15">
        <v>151.8499755859375</v>
      </c>
      <c r="H1196" s="16">
        <f t="shared" si="50"/>
        <v>-7.4848208487183453E-3</v>
      </c>
      <c r="I1196" s="16">
        <f t="shared" si="50"/>
        <v>6.8583963496468764E-4</v>
      </c>
      <c r="J1196" s="16">
        <f t="shared" si="50"/>
        <v>9.5956453550641481E-3</v>
      </c>
      <c r="K1196" s="16">
        <f t="shared" si="50"/>
        <v>7.2187683511872056E-3</v>
      </c>
      <c r="L1196" s="16">
        <f t="shared" si="51"/>
        <v>-9.1828384328190692E-3</v>
      </c>
    </row>
    <row r="1197" spans="1:12" x14ac:dyDescent="0.35">
      <c r="A1197" s="18">
        <v>43991</v>
      </c>
      <c r="B1197" s="15">
        <v>297.38473510742188</v>
      </c>
      <c r="C1197" s="15">
        <v>75.069366455078125</v>
      </c>
      <c r="D1197" s="15">
        <v>161.25999450683591</v>
      </c>
      <c r="E1197" s="15">
        <v>235.8450622558594</v>
      </c>
      <c r="F1197" s="15">
        <v>150.4619445800781</v>
      </c>
      <c r="H1197" s="16">
        <f t="shared" si="50"/>
        <v>-5.5955806683029002E-3</v>
      </c>
      <c r="I1197" s="16">
        <f t="shared" si="50"/>
        <v>4.2201626926831621E-3</v>
      </c>
      <c r="J1197" s="16">
        <f t="shared" si="50"/>
        <v>1.4223142854853894E-2</v>
      </c>
      <c r="K1197" s="16">
        <f t="shared" si="50"/>
        <v>1.1930034632662701E-2</v>
      </c>
      <c r="L1197" s="16">
        <f t="shared" si="51"/>
        <v>-7.4696116083004353E-3</v>
      </c>
    </row>
    <row r="1198" spans="1:12" x14ac:dyDescent="0.35">
      <c r="A1198" s="18">
        <v>43992</v>
      </c>
      <c r="B1198" s="15">
        <v>295.725341796875</v>
      </c>
      <c r="C1198" s="15">
        <v>75.3868408203125</v>
      </c>
      <c r="D1198" s="15">
        <v>163.57000732421881</v>
      </c>
      <c r="E1198" s="15">
        <v>238.67555236816409</v>
      </c>
      <c r="F1198" s="15">
        <v>149.34223937988281</v>
      </c>
      <c r="H1198" s="16">
        <f t="shared" si="50"/>
        <v>-5.9377602637955634E-2</v>
      </c>
      <c r="I1198" s="16">
        <f t="shared" si="50"/>
        <v>-1.822610317090265E-3</v>
      </c>
      <c r="J1198" s="16">
        <f t="shared" si="50"/>
        <v>-7.240232329265725E-3</v>
      </c>
      <c r="K1198" s="16">
        <f t="shared" si="50"/>
        <v>-5.0818765731723031E-2</v>
      </c>
      <c r="L1198" s="16">
        <f t="shared" si="51"/>
        <v>-6.0798861625142551E-2</v>
      </c>
    </row>
    <row r="1199" spans="1:12" x14ac:dyDescent="0.35">
      <c r="A1199" s="18">
        <v>43993</v>
      </c>
      <c r="B1199" s="15">
        <v>278.67703247070313</v>
      </c>
      <c r="C1199" s="15">
        <v>75.249565124511719</v>
      </c>
      <c r="D1199" s="15">
        <v>162.38999938964841</v>
      </c>
      <c r="E1199" s="15">
        <v>226.8493957519531</v>
      </c>
      <c r="F1199" s="15">
        <v>140.53291320800781</v>
      </c>
      <c r="H1199" s="16">
        <f t="shared" si="50"/>
        <v>1.1904735327240585E-2</v>
      </c>
      <c r="I1199" s="16">
        <f t="shared" si="50"/>
        <v>1.0261271121186394E-3</v>
      </c>
      <c r="J1199" s="16">
        <f t="shared" si="50"/>
        <v>1.4153150353449862E-3</v>
      </c>
      <c r="K1199" s="16">
        <f t="shared" si="50"/>
        <v>7.9164914407198819E-3</v>
      </c>
      <c r="L1199" s="16">
        <f t="shared" si="51"/>
        <v>1.3733008927611151E-2</v>
      </c>
    </row>
    <row r="1200" spans="1:12" x14ac:dyDescent="0.35">
      <c r="A1200" s="18">
        <v>43994</v>
      </c>
      <c r="B1200" s="15">
        <v>282.01443481445313</v>
      </c>
      <c r="C1200" s="15">
        <v>75.326820373535156</v>
      </c>
      <c r="D1200" s="15">
        <v>162.6199951171875</v>
      </c>
      <c r="E1200" s="15">
        <v>228.6523742675781</v>
      </c>
      <c r="F1200" s="15">
        <v>142.4761657714844</v>
      </c>
      <c r="H1200" s="16">
        <f t="shared" si="50"/>
        <v>9.2923208032865186E-3</v>
      </c>
      <c r="I1200" s="16">
        <f t="shared" si="50"/>
        <v>2.0482921927464357E-3</v>
      </c>
      <c r="J1200" s="16">
        <f t="shared" si="50"/>
        <v>-1.7848491512042477E-3</v>
      </c>
      <c r="K1200" s="16">
        <f t="shared" si="50"/>
        <v>1.2093904517790395E-2</v>
      </c>
      <c r="L1200" s="16">
        <f t="shared" si="51"/>
        <v>1.0659234330447381E-2</v>
      </c>
    </row>
    <row r="1201" spans="1:12" x14ac:dyDescent="0.35">
      <c r="A1201" s="18">
        <v>43997</v>
      </c>
      <c r="B1201" s="15">
        <v>284.647216796875</v>
      </c>
      <c r="C1201" s="15">
        <v>75.481269836425781</v>
      </c>
      <c r="D1201" s="15">
        <v>162.33000183105469</v>
      </c>
      <c r="E1201" s="15">
        <v>231.43446350097659</v>
      </c>
      <c r="F1201" s="15">
        <v>144.00297546386719</v>
      </c>
      <c r="H1201" s="16">
        <f t="shared" si="50"/>
        <v>1.9064758065626415E-2</v>
      </c>
      <c r="I1201" s="16">
        <f t="shared" si="50"/>
        <v>-1.2518089877746016E-3</v>
      </c>
      <c r="J1201" s="16">
        <f t="shared" si="50"/>
        <v>-4.9295601838348355E-4</v>
      </c>
      <c r="K1201" s="16">
        <f t="shared" si="50"/>
        <v>1.7027025769857491E-2</v>
      </c>
      <c r="L1201" s="16">
        <f t="shared" si="51"/>
        <v>1.9031450894731322E-2</v>
      </c>
    </row>
    <row r="1202" spans="1:12" x14ac:dyDescent="0.35">
      <c r="A1202" s="18">
        <v>43998</v>
      </c>
      <c r="B1202" s="15">
        <v>290.12600708007813</v>
      </c>
      <c r="C1202" s="15">
        <v>75.3868408203125</v>
      </c>
      <c r="D1202" s="15">
        <v>162.25</v>
      </c>
      <c r="E1202" s="15">
        <v>235.4088439941406</v>
      </c>
      <c r="F1202" s="15">
        <v>146.7698059082031</v>
      </c>
      <c r="H1202" s="16">
        <f t="shared" si="50"/>
        <v>-4.1627098416593521E-3</v>
      </c>
      <c r="I1202" s="16">
        <f t="shared" si="50"/>
        <v>2.2838968925408362E-4</v>
      </c>
      <c r="J1202" s="16">
        <f t="shared" si="50"/>
        <v>1.9087937874248248E-3</v>
      </c>
      <c r="K1202" s="16">
        <f t="shared" si="50"/>
        <v>3.1656981712096686E-3</v>
      </c>
      <c r="L1202" s="16">
        <f t="shared" si="51"/>
        <v>-4.8666339075705044E-3</v>
      </c>
    </row>
    <row r="1203" spans="1:12" x14ac:dyDescent="0.35">
      <c r="A1203" s="18">
        <v>43999</v>
      </c>
      <c r="B1203" s="15">
        <v>288.92080688476563</v>
      </c>
      <c r="C1203" s="15">
        <v>75.404060363769531</v>
      </c>
      <c r="D1203" s="15">
        <v>162.55999755859381</v>
      </c>
      <c r="E1203" s="15">
        <v>236.15525817871091</v>
      </c>
      <c r="F1203" s="15">
        <v>146.05726623535159</v>
      </c>
      <c r="H1203" s="16">
        <f t="shared" si="50"/>
        <v>3.8524979563896785E-4</v>
      </c>
      <c r="I1203" s="16">
        <f t="shared" si="50"/>
        <v>1.1370230094818173E-3</v>
      </c>
      <c r="J1203" s="16">
        <f t="shared" si="50"/>
        <v>-1.970395110546452E-3</v>
      </c>
      <c r="K1203" s="16">
        <f t="shared" si="50"/>
        <v>2.7055111456169133E-3</v>
      </c>
      <c r="L1203" s="16">
        <f t="shared" si="51"/>
        <v>8.2331253003927493E-4</v>
      </c>
    </row>
    <row r="1204" spans="1:12" x14ac:dyDescent="0.35">
      <c r="A1204" s="18">
        <v>44000</v>
      </c>
      <c r="B1204" s="15">
        <v>289.03213500976563</v>
      </c>
      <c r="C1204" s="15">
        <v>75.489845275878906</v>
      </c>
      <c r="D1204" s="15">
        <v>162.24000549316409</v>
      </c>
      <c r="E1204" s="15">
        <v>236.7950439453125</v>
      </c>
      <c r="F1204" s="15">
        <v>146.17756652832031</v>
      </c>
      <c r="H1204" s="16">
        <f t="shared" si="50"/>
        <v>-5.731415020794205E-3</v>
      </c>
      <c r="I1204" s="16">
        <f t="shared" si="50"/>
        <v>3.4133990287670907E-4</v>
      </c>
      <c r="J1204" s="16">
        <f t="shared" si="50"/>
        <v>1.0972576221366465E-2</v>
      </c>
      <c r="K1204" s="16">
        <f t="shared" si="50"/>
        <v>-1.6368795441409133E-4</v>
      </c>
      <c r="L1204" s="16">
        <f t="shared" si="51"/>
        <v>-5.649918543137445E-3</v>
      </c>
    </row>
    <row r="1205" spans="1:12" x14ac:dyDescent="0.35">
      <c r="A1205" s="18">
        <v>44001</v>
      </c>
      <c r="B1205" s="15">
        <v>287.38031005859381</v>
      </c>
      <c r="C1205" s="15">
        <v>75.515617370605469</v>
      </c>
      <c r="D1205" s="15">
        <v>164.0299987792969</v>
      </c>
      <c r="E1205" s="15">
        <v>236.75628662109381</v>
      </c>
      <c r="F1205" s="15">
        <v>145.35400390625</v>
      </c>
      <c r="H1205" s="16">
        <f t="shared" si="50"/>
        <v>6.3946937550572736E-3</v>
      </c>
      <c r="I1205" s="16">
        <f t="shared" si="50"/>
        <v>-3.4133990287661036E-4</v>
      </c>
      <c r="J1205" s="16">
        <f t="shared" si="50"/>
        <v>6.4414270748298728E-3</v>
      </c>
      <c r="K1205" s="16">
        <f t="shared" si="50"/>
        <v>1.1921137509315498E-2</v>
      </c>
      <c r="L1205" s="16">
        <f t="shared" si="51"/>
        <v>6.9148942656387762E-3</v>
      </c>
    </row>
    <row r="1206" spans="1:12" x14ac:dyDescent="0.35">
      <c r="A1206" s="18">
        <v>44004</v>
      </c>
      <c r="B1206" s="15">
        <v>289.22390747070313</v>
      </c>
      <c r="C1206" s="15">
        <v>75.489845275878906</v>
      </c>
      <c r="D1206" s="15">
        <v>165.0899963378906</v>
      </c>
      <c r="E1206" s="15">
        <v>239.5955810546875</v>
      </c>
      <c r="F1206" s="15">
        <v>146.36259460449219</v>
      </c>
      <c r="H1206" s="16">
        <f t="shared" si="50"/>
        <v>4.5930728522047184E-3</v>
      </c>
      <c r="I1206" s="16">
        <f t="shared" si="50"/>
        <v>-4.5418896588079034E-4</v>
      </c>
      <c r="J1206" s="16">
        <f t="shared" si="50"/>
        <v>8.3843988645961719E-3</v>
      </c>
      <c r="K1206" s="16">
        <f t="shared" si="50"/>
        <v>8.4750563984479499E-3</v>
      </c>
      <c r="L1206" s="16">
        <f t="shared" si="51"/>
        <v>3.912158777562404E-3</v>
      </c>
    </row>
    <row r="1207" spans="1:12" x14ac:dyDescent="0.35">
      <c r="A1207" s="18">
        <v>44005</v>
      </c>
      <c r="B1207" s="15">
        <v>290.55538940429688</v>
      </c>
      <c r="C1207" s="15">
        <v>75.45556640625</v>
      </c>
      <c r="D1207" s="15">
        <v>166.47999572753909</v>
      </c>
      <c r="E1207" s="15">
        <v>241.6347961425781</v>
      </c>
      <c r="F1207" s="15">
        <v>146.9363098144531</v>
      </c>
      <c r="H1207" s="16">
        <f t="shared" si="50"/>
        <v>-2.5839551225160243E-2</v>
      </c>
      <c r="I1207" s="16">
        <f t="shared" si="50"/>
        <v>1.1344020788112735E-4</v>
      </c>
      <c r="J1207" s="16">
        <f t="shared" si="50"/>
        <v>-3.4899960158010397E-3</v>
      </c>
      <c r="K1207" s="16">
        <f t="shared" si="50"/>
        <v>-2.0831128250461722E-2</v>
      </c>
      <c r="L1207" s="16">
        <f t="shared" si="51"/>
        <v>-2.7517671760349145E-2</v>
      </c>
    </row>
    <row r="1208" spans="1:12" x14ac:dyDescent="0.35">
      <c r="A1208" s="18">
        <v>44006</v>
      </c>
      <c r="B1208" s="15">
        <v>283.14373779296881</v>
      </c>
      <c r="C1208" s="15">
        <v>75.464126586914063</v>
      </c>
      <c r="D1208" s="15">
        <v>165.8999938964844</v>
      </c>
      <c r="E1208" s="15">
        <v>236.65333557128909</v>
      </c>
      <c r="F1208" s="15">
        <v>142.9480895996094</v>
      </c>
      <c r="H1208" s="16">
        <f t="shared" si="50"/>
        <v>1.0663722479719147E-2</v>
      </c>
      <c r="I1208" s="16">
        <f t="shared" si="50"/>
        <v>1.0223021279036515E-3</v>
      </c>
      <c r="J1208" s="16">
        <f t="shared" si="50"/>
        <v>-6.0289929861512693E-4</v>
      </c>
      <c r="K1208" s="16">
        <f t="shared" si="50"/>
        <v>9.4744172691030599E-3</v>
      </c>
      <c r="L1208" s="16">
        <f t="shared" si="51"/>
        <v>1.202244679360971E-2</v>
      </c>
    </row>
    <row r="1209" spans="1:12" x14ac:dyDescent="0.35">
      <c r="A1209" s="18">
        <v>44007</v>
      </c>
      <c r="B1209" s="15">
        <v>286.17926025390619</v>
      </c>
      <c r="C1209" s="15">
        <v>75.541313171386719</v>
      </c>
      <c r="D1209" s="15">
        <v>165.80000305175781</v>
      </c>
      <c r="E1209" s="15">
        <v>238.90614318847659</v>
      </c>
      <c r="F1209" s="15">
        <v>144.67704772949219</v>
      </c>
      <c r="H1209" s="16">
        <f t="shared" si="50"/>
        <v>-2.4038200201482892E-2</v>
      </c>
      <c r="I1209" s="16">
        <f t="shared" si="50"/>
        <v>1.8159808537383634E-3</v>
      </c>
      <c r="J1209" s="16">
        <f t="shared" si="50"/>
        <v>4.4532193863769335E-3</v>
      </c>
      <c r="K1209" s="16">
        <f t="shared" si="50"/>
        <v>-2.3898502971678098E-2</v>
      </c>
      <c r="L1209" s="16">
        <f t="shared" si="51"/>
        <v>-2.353327473626618E-2</v>
      </c>
    </row>
    <row r="1210" spans="1:12" x14ac:dyDescent="0.35">
      <c r="A1210" s="18">
        <v>44008</v>
      </c>
      <c r="B1210" s="15">
        <v>279.38204956054688</v>
      </c>
      <c r="C1210" s="15">
        <v>75.678619384765625</v>
      </c>
      <c r="D1210" s="15">
        <v>166.53999328613281</v>
      </c>
      <c r="E1210" s="15">
        <v>233.26432800292969</v>
      </c>
      <c r="F1210" s="15">
        <v>141.31207275390619</v>
      </c>
      <c r="H1210" s="16">
        <f t="shared" si="50"/>
        <v>1.459026500805888E-2</v>
      </c>
      <c r="I1210" s="16">
        <f t="shared" si="50"/>
        <v>6.8086131381542628E-4</v>
      </c>
      <c r="J1210" s="16">
        <f t="shared" si="50"/>
        <v>5.4033436002268751E-4</v>
      </c>
      <c r="K1210" s="16">
        <f t="shared" si="50"/>
        <v>1.0847908180094717E-2</v>
      </c>
      <c r="L1210" s="16">
        <f t="shared" si="51"/>
        <v>1.456223599795284E-2</v>
      </c>
    </row>
    <row r="1211" spans="1:12" x14ac:dyDescent="0.35">
      <c r="A1211" s="18">
        <v>44011</v>
      </c>
      <c r="B1211" s="15">
        <v>283.48818969726563</v>
      </c>
      <c r="C1211" s="15">
        <v>75.73016357421875</v>
      </c>
      <c r="D1211" s="15">
        <v>166.6300048828125</v>
      </c>
      <c r="E1211" s="15">
        <v>235.80853271484381</v>
      </c>
      <c r="F1211" s="15">
        <v>143.38494873046881</v>
      </c>
      <c r="H1211" s="16">
        <f t="shared" si="50"/>
        <v>1.272827840799629E-2</v>
      </c>
      <c r="I1211" s="16">
        <f t="shared" si="50"/>
        <v>1.0189139344498597E-3</v>
      </c>
      <c r="J1211" s="16">
        <f t="shared" si="50"/>
        <v>4.4310864979310869E-3</v>
      </c>
      <c r="K1211" s="16">
        <f t="shared" si="50"/>
        <v>1.9411829034560579E-2</v>
      </c>
      <c r="L1211" s="16">
        <f t="shared" si="51"/>
        <v>1.4673326501106516E-2</v>
      </c>
    </row>
    <row r="1212" spans="1:12" x14ac:dyDescent="0.35">
      <c r="A1212" s="18">
        <v>44012</v>
      </c>
      <c r="B1212" s="15">
        <v>287.11956787109381</v>
      </c>
      <c r="C1212" s="15">
        <v>75.807365417480469</v>
      </c>
      <c r="D1212" s="15">
        <v>167.3699951171875</v>
      </c>
      <c r="E1212" s="15">
        <v>240.43072509765619</v>
      </c>
      <c r="F1212" s="15">
        <v>145.50439453125</v>
      </c>
      <c r="H1212" s="16">
        <f t="shared" si="50"/>
        <v>6.9803277946937515E-3</v>
      </c>
      <c r="I1212" s="16">
        <f t="shared" si="50"/>
        <v>2.4925882860773617E-4</v>
      </c>
      <c r="J1212" s="16">
        <f t="shared" si="50"/>
        <v>-4.4911601101022018E-3</v>
      </c>
      <c r="K1212" s="16">
        <f t="shared" si="50"/>
        <v>1.1604271949840832E-2</v>
      </c>
      <c r="L1212" s="16">
        <f t="shared" si="51"/>
        <v>5.7966424431938257E-3</v>
      </c>
    </row>
    <row r="1213" spans="1:12" x14ac:dyDescent="0.35">
      <c r="A1213" s="18">
        <v>44013</v>
      </c>
      <c r="B1213" s="15">
        <v>289.13076782226563</v>
      </c>
      <c r="C1213" s="15">
        <v>75.826263427734375</v>
      </c>
      <c r="D1213" s="15">
        <v>166.6199951171875</v>
      </c>
      <c r="E1213" s="15">
        <v>243.23699951171881</v>
      </c>
      <c r="F1213" s="15">
        <v>146.35028076171881</v>
      </c>
      <c r="H1213" s="16">
        <f t="shared" si="50"/>
        <v>5.4920364457352591E-3</v>
      </c>
      <c r="I1213" s="16">
        <f t="shared" si="50"/>
        <v>1.5863732296475281E-3</v>
      </c>
      <c r="J1213" s="16">
        <f t="shared" si="50"/>
        <v>2.1582779375092088E-3</v>
      </c>
      <c r="K1213" s="16">
        <f t="shared" si="50"/>
        <v>6.7638804685343753E-3</v>
      </c>
      <c r="L1213" s="16">
        <f t="shared" si="51"/>
        <v>3.9934909072816323E-3</v>
      </c>
    </row>
    <row r="1214" spans="1:12" x14ac:dyDescent="0.35">
      <c r="A1214" s="18">
        <v>44014</v>
      </c>
      <c r="B1214" s="15">
        <v>290.72305297851563</v>
      </c>
      <c r="C1214" s="15">
        <v>75.946647644042969</v>
      </c>
      <c r="D1214" s="15">
        <v>166.97999572753909</v>
      </c>
      <c r="E1214" s="15">
        <v>244.88780212402341</v>
      </c>
      <c r="F1214" s="15">
        <v>146.93589782714841</v>
      </c>
      <c r="H1214" s="16">
        <f t="shared" si="50"/>
        <v>1.5319243910374997E-2</v>
      </c>
      <c r="I1214" s="16">
        <f t="shared" si="50"/>
        <v>-3.3990477869348857E-4</v>
      </c>
      <c r="J1214" s="16">
        <f t="shared" si="50"/>
        <v>5.9708800839463972E-3</v>
      </c>
      <c r="K1214" s="16">
        <f t="shared" si="50"/>
        <v>2.4287053311690322E-2</v>
      </c>
      <c r="L1214" s="16">
        <f t="shared" si="51"/>
        <v>1.5629805835879432E-2</v>
      </c>
    </row>
    <row r="1215" spans="1:12" x14ac:dyDescent="0.35">
      <c r="A1215" s="18">
        <v>44018</v>
      </c>
      <c r="B1215" s="15">
        <v>295.21099853515619</v>
      </c>
      <c r="C1215" s="15">
        <v>75.92083740234375</v>
      </c>
      <c r="D1215" s="15">
        <v>167.97999572753909</v>
      </c>
      <c r="E1215" s="15">
        <v>250.90821838378909</v>
      </c>
      <c r="F1215" s="15">
        <v>149.2505187988281</v>
      </c>
      <c r="H1215" s="16">
        <f t="shared" si="50"/>
        <v>-1.0367431405052391E-2</v>
      </c>
      <c r="I1215" s="16">
        <f t="shared" si="50"/>
        <v>1.5843986619782093E-3</v>
      </c>
      <c r="J1215" s="16">
        <f t="shared" si="50"/>
        <v>6.2904343270383653E-3</v>
      </c>
      <c r="K1215" s="16">
        <f t="shared" si="50"/>
        <v>-6.9124458058499498E-3</v>
      </c>
      <c r="L1215" s="16">
        <f t="shared" si="51"/>
        <v>-1.0203926904812012E-2</v>
      </c>
    </row>
    <row r="1216" spans="1:12" x14ac:dyDescent="0.35">
      <c r="A1216" s="18">
        <v>44019</v>
      </c>
      <c r="B1216" s="15">
        <v>292.16622924804688</v>
      </c>
      <c r="C1216" s="15">
        <v>76.041221618652344</v>
      </c>
      <c r="D1216" s="15">
        <v>169.03999328613281</v>
      </c>
      <c r="E1216" s="15">
        <v>249.1798095703125</v>
      </c>
      <c r="F1216" s="15">
        <v>147.7353210449219</v>
      </c>
      <c r="H1216" s="16">
        <f t="shared" si="50"/>
        <v>7.6196610477520053E-3</v>
      </c>
      <c r="I1216" s="16">
        <f t="shared" si="50"/>
        <v>-5.6593423737010852E-4</v>
      </c>
      <c r="J1216" s="16">
        <f t="shared" si="50"/>
        <v>6.1923536054021349E-3</v>
      </c>
      <c r="K1216" s="16">
        <f t="shared" si="50"/>
        <v>1.3085639297556802E-2</v>
      </c>
      <c r="L1216" s="16">
        <f t="shared" si="51"/>
        <v>8.1464574672911565E-3</v>
      </c>
    </row>
    <row r="1217" spans="1:12" x14ac:dyDescent="0.35">
      <c r="A1217" s="18">
        <v>44020</v>
      </c>
      <c r="B1217" s="15">
        <v>294.40093994140619</v>
      </c>
      <c r="C1217" s="15">
        <v>75.998199462890625</v>
      </c>
      <c r="D1217" s="15">
        <v>170.0899963378906</v>
      </c>
      <c r="E1217" s="15">
        <v>252.4619140625</v>
      </c>
      <c r="F1217" s="15">
        <v>148.9437561035156</v>
      </c>
      <c r="H1217" s="16">
        <f t="shared" si="50"/>
        <v>-5.7091655067382941E-3</v>
      </c>
      <c r="I1217" s="16">
        <f t="shared" si="50"/>
        <v>2.7113454995630576E-3</v>
      </c>
      <c r="J1217" s="16">
        <f t="shared" si="50"/>
        <v>-2.7080639028711057E-3</v>
      </c>
      <c r="K1217" s="16">
        <f t="shared" si="50"/>
        <v>8.3879982338340084E-3</v>
      </c>
      <c r="L1217" s="16">
        <f t="shared" si="51"/>
        <v>-6.1977238211321809E-3</v>
      </c>
    </row>
    <row r="1218" spans="1:12" x14ac:dyDescent="0.35">
      <c r="A1218" s="18">
        <v>44021</v>
      </c>
      <c r="B1218" s="15">
        <v>292.72494506835938</v>
      </c>
      <c r="C1218" s="15">
        <v>76.204536437988281</v>
      </c>
      <c r="D1218" s="15">
        <v>169.6300048828125</v>
      </c>
      <c r="E1218" s="15">
        <v>254.5884704589844</v>
      </c>
      <c r="F1218" s="15">
        <v>148.02349853515619</v>
      </c>
      <c r="H1218" s="16">
        <f t="shared" si="50"/>
        <v>1.0158701417095784E-2</v>
      </c>
      <c r="I1218" s="16">
        <f t="shared" si="50"/>
        <v>-1.1287588548784834E-3</v>
      </c>
      <c r="J1218" s="16">
        <f t="shared" si="50"/>
        <v>-2.5972650920351075E-3</v>
      </c>
      <c r="K1218" s="16">
        <f t="shared" si="50"/>
        <v>6.8044852363853495E-3</v>
      </c>
      <c r="L1218" s="16">
        <f t="shared" si="51"/>
        <v>1.0681173149320679E-2</v>
      </c>
    </row>
    <row r="1219" spans="1:12" x14ac:dyDescent="0.35">
      <c r="A1219" s="18">
        <v>44022</v>
      </c>
      <c r="B1219" s="15">
        <v>295.71380615234381</v>
      </c>
      <c r="C1219" s="15">
        <v>76.118568420410156</v>
      </c>
      <c r="D1219" s="15">
        <v>169.19000244140619</v>
      </c>
      <c r="E1219" s="15">
        <v>256.32672119140619</v>
      </c>
      <c r="F1219" s="15">
        <v>149.613037109375</v>
      </c>
      <c r="H1219" s="16">
        <f t="shared" si="50"/>
        <v>-8.696365823541918E-3</v>
      </c>
      <c r="I1219" s="16">
        <f t="shared" si="50"/>
        <v>4.5153622286046976E-4</v>
      </c>
      <c r="J1219" s="16">
        <f t="shared" si="50"/>
        <v>1.24038798708278E-3</v>
      </c>
      <c r="K1219" s="16">
        <f t="shared" si="50"/>
        <v>-2.0785312805744183E-2</v>
      </c>
      <c r="L1219" s="16">
        <f t="shared" si="51"/>
        <v>-1.0869524548844836E-2</v>
      </c>
    </row>
    <row r="1220" spans="1:12" x14ac:dyDescent="0.35">
      <c r="A1220" s="18">
        <v>44025</v>
      </c>
      <c r="B1220" s="15">
        <v>293.1533203125</v>
      </c>
      <c r="C1220" s="15">
        <v>76.152946472167969</v>
      </c>
      <c r="D1220" s="15">
        <v>169.3999938964844</v>
      </c>
      <c r="E1220" s="15">
        <v>251.05387878417969</v>
      </c>
      <c r="F1220" s="15">
        <v>147.99562072753909</v>
      </c>
      <c r="H1220" s="16">
        <f t="shared" si="50"/>
        <v>1.2875157008462831E-2</v>
      </c>
      <c r="I1220" s="16">
        <f t="shared" si="50"/>
        <v>1.2413247542625413E-3</v>
      </c>
      <c r="J1220" s="16">
        <f t="shared" si="50"/>
        <v>4.6527281640103765E-3</v>
      </c>
      <c r="K1220" s="16">
        <f t="shared" si="50"/>
        <v>7.0534422166192027E-3</v>
      </c>
      <c r="L1220" s="16">
        <f t="shared" si="51"/>
        <v>1.3041759459440786E-2</v>
      </c>
    </row>
    <row r="1221" spans="1:12" x14ac:dyDescent="0.35">
      <c r="A1221" s="18">
        <v>44026</v>
      </c>
      <c r="B1221" s="15">
        <v>296.95211791992188</v>
      </c>
      <c r="C1221" s="15">
        <v>76.247535705566406</v>
      </c>
      <c r="D1221" s="15">
        <v>170.19000244140619</v>
      </c>
      <c r="E1221" s="15">
        <v>252.8309326171875</v>
      </c>
      <c r="F1221" s="15">
        <v>149.9383850097656</v>
      </c>
      <c r="H1221" s="16">
        <f t="shared" si="50"/>
        <v>9.1455295808707485E-3</v>
      </c>
      <c r="I1221" s="16">
        <f t="shared" si="50"/>
        <v>1.124620904386395E-4</v>
      </c>
      <c r="J1221" s="16">
        <f t="shared" si="50"/>
        <v>8.8094386234670004E-4</v>
      </c>
      <c r="K1221" s="16">
        <f t="shared" si="50"/>
        <v>2.0332339718304188E-3</v>
      </c>
      <c r="L1221" s="16">
        <f t="shared" si="51"/>
        <v>1.2322956701550297E-2</v>
      </c>
    </row>
    <row r="1222" spans="1:12" x14ac:dyDescent="0.35">
      <c r="A1222" s="18">
        <v>44027</v>
      </c>
      <c r="B1222" s="15">
        <v>299.68035888671881</v>
      </c>
      <c r="C1222" s="15">
        <v>76.256111145019531</v>
      </c>
      <c r="D1222" s="15">
        <v>170.3399963378906</v>
      </c>
      <c r="E1222" s="15">
        <v>253.34552001953119</v>
      </c>
      <c r="F1222" s="15">
        <v>151.79750061035159</v>
      </c>
      <c r="H1222" s="16">
        <f t="shared" si="50"/>
        <v>-3.2988408706071067E-3</v>
      </c>
      <c r="I1222" s="16">
        <f t="shared" si="50"/>
        <v>6.7680665671996168E-4</v>
      </c>
      <c r="J1222" s="16">
        <f t="shared" si="50"/>
        <v>-9.4966393251543092E-3</v>
      </c>
      <c r="K1222" s="16">
        <f t="shared" si="50"/>
        <v>-6.8455954329668224E-3</v>
      </c>
      <c r="L1222" s="16">
        <f t="shared" si="51"/>
        <v>-4.4801759731372378E-3</v>
      </c>
    </row>
    <row r="1223" spans="1:12" x14ac:dyDescent="0.35">
      <c r="A1223" s="18">
        <v>44028</v>
      </c>
      <c r="B1223" s="15">
        <v>298.69338989257813</v>
      </c>
      <c r="C1223" s="15">
        <v>76.3077392578125</v>
      </c>
      <c r="D1223" s="15">
        <v>168.72999572753909</v>
      </c>
      <c r="E1223" s="15">
        <v>251.61714172363281</v>
      </c>
      <c r="F1223" s="15">
        <v>151.11894226074219</v>
      </c>
      <c r="H1223" s="16">
        <f t="shared" si="50"/>
        <v>2.894988469756464E-3</v>
      </c>
      <c r="I1223" s="16">
        <f t="shared" si="50"/>
        <v>1.0131033755206317E-3</v>
      </c>
      <c r="J1223" s="16">
        <f t="shared" si="50"/>
        <v>8.2042627943083486E-3</v>
      </c>
      <c r="K1223" s="16">
        <f t="shared" si="50"/>
        <v>1.1571242090910275E-3</v>
      </c>
      <c r="L1223" s="16">
        <f t="shared" si="51"/>
        <v>3.8061587088470896E-3</v>
      </c>
    </row>
    <row r="1224" spans="1:12" x14ac:dyDescent="0.35">
      <c r="A1224" s="18">
        <v>44029</v>
      </c>
      <c r="B1224" s="15">
        <v>299.55935668945313</v>
      </c>
      <c r="C1224" s="15">
        <v>76.385086059570313</v>
      </c>
      <c r="D1224" s="15">
        <v>170.1199951171875</v>
      </c>
      <c r="E1224" s="15">
        <v>251.90846252441409</v>
      </c>
      <c r="F1224" s="15">
        <v>151.6952209472656</v>
      </c>
      <c r="H1224" s="16">
        <f t="shared" si="50"/>
        <v>8.0488488860736979E-3</v>
      </c>
      <c r="I1224" s="16">
        <f t="shared" si="50"/>
        <v>1.0124771542654406E-3</v>
      </c>
      <c r="J1224" s="16">
        <f t="shared" si="50"/>
        <v>4.8085903368460881E-3</v>
      </c>
      <c r="K1224" s="16">
        <f t="shared" si="50"/>
        <v>2.7975766557309142E-2</v>
      </c>
      <c r="L1224" s="16">
        <f t="shared" si="51"/>
        <v>7.6308236728199431E-3</v>
      </c>
    </row>
    <row r="1225" spans="1:12" x14ac:dyDescent="0.35">
      <c r="A1225" s="18">
        <v>44032</v>
      </c>
      <c r="B1225" s="15">
        <v>301.98019409179688</v>
      </c>
      <c r="C1225" s="15">
        <v>76.46246337890625</v>
      </c>
      <c r="D1225" s="15">
        <v>170.94000244140619</v>
      </c>
      <c r="E1225" s="15">
        <v>259.0552978515625</v>
      </c>
      <c r="F1225" s="15">
        <v>152.8572082519531</v>
      </c>
      <c r="H1225" s="16">
        <f t="shared" si="50"/>
        <v>2.1254192664822372E-3</v>
      </c>
      <c r="I1225" s="16">
        <f t="shared" si="50"/>
        <v>5.6180090583710844E-4</v>
      </c>
      <c r="J1225" s="16">
        <f t="shared" si="50"/>
        <v>1.1978962477666605E-2</v>
      </c>
      <c r="K1225" s="16">
        <f t="shared" si="50"/>
        <v>-1.0474965417795313E-2</v>
      </c>
      <c r="L1225" s="16">
        <f t="shared" si="51"/>
        <v>2.8541781352467445E-3</v>
      </c>
    </row>
    <row r="1226" spans="1:12" x14ac:dyDescent="0.35">
      <c r="A1226" s="18">
        <v>44033</v>
      </c>
      <c r="B1226" s="15">
        <v>302.62271118164063</v>
      </c>
      <c r="C1226" s="15">
        <v>76.50543212890625</v>
      </c>
      <c r="D1226" s="15">
        <v>173</v>
      </c>
      <c r="E1226" s="15">
        <v>256.35586547851563</v>
      </c>
      <c r="F1226" s="15">
        <v>153.29411315917969</v>
      </c>
      <c r="H1226" s="16">
        <f t="shared" si="50"/>
        <v>5.6757802591534097E-3</v>
      </c>
      <c r="I1226" s="16">
        <f t="shared" si="50"/>
        <v>1.3474541154137778E-3</v>
      </c>
      <c r="J1226" s="16">
        <f t="shared" si="50"/>
        <v>1.5087942737564556E-2</v>
      </c>
      <c r="K1226" s="16">
        <f t="shared" si="50"/>
        <v>3.516198123241665E-3</v>
      </c>
      <c r="L1226" s="16">
        <f t="shared" si="51"/>
        <v>5.2015117753277818E-3</v>
      </c>
    </row>
    <row r="1227" spans="1:12" x14ac:dyDescent="0.35">
      <c r="A1227" s="18">
        <v>44034</v>
      </c>
      <c r="B1227" s="15">
        <v>304.34521484375</v>
      </c>
      <c r="C1227" s="15">
        <v>76.608589172363281</v>
      </c>
      <c r="D1227" s="15">
        <v>175.6300048828125</v>
      </c>
      <c r="E1227" s="15">
        <v>257.25885009765619</v>
      </c>
      <c r="F1227" s="15">
        <v>154.09355163574219</v>
      </c>
      <c r="H1227" s="16">
        <f t="shared" si="50"/>
        <v>-1.2003325503952477E-2</v>
      </c>
      <c r="I1227" s="16">
        <f t="shared" si="50"/>
        <v>8.9749411469427012E-4</v>
      </c>
      <c r="J1227" s="16">
        <f t="shared" si="50"/>
        <v>8.7865864108131273E-3</v>
      </c>
      <c r="K1227" s="16">
        <f t="shared" si="50"/>
        <v>-2.6467138593282851E-2</v>
      </c>
      <c r="L1227" s="16">
        <f t="shared" si="51"/>
        <v>-1.0978906404387274E-2</v>
      </c>
    </row>
    <row r="1228" spans="1:12" x14ac:dyDescent="0.35">
      <c r="A1228" s="18">
        <v>44035</v>
      </c>
      <c r="B1228" s="15">
        <v>300.71389770507813</v>
      </c>
      <c r="C1228" s="15">
        <v>76.677375793457031</v>
      </c>
      <c r="D1228" s="15">
        <v>177.17999267578119</v>
      </c>
      <c r="E1228" s="15">
        <v>250.53926086425781</v>
      </c>
      <c r="F1228" s="15">
        <v>152.41102600097659</v>
      </c>
      <c r="H1228" s="16">
        <f t="shared" si="50"/>
        <v>-6.4611912222518296E-3</v>
      </c>
      <c r="I1228" s="16">
        <f t="shared" si="50"/>
        <v>-2.2419850249110458E-4</v>
      </c>
      <c r="J1228" s="16">
        <f t="shared" si="50"/>
        <v>8.5422814416776429E-3</v>
      </c>
      <c r="K1228" s="16">
        <f t="shared" si="50"/>
        <v>-9.5410017406683967E-3</v>
      </c>
      <c r="L1228" s="16">
        <f t="shared" si="51"/>
        <v>-7.7758315868390951E-3</v>
      </c>
    </row>
    <row r="1229" spans="1:12" x14ac:dyDescent="0.35">
      <c r="A1229" s="18">
        <v>44036</v>
      </c>
      <c r="B1229" s="15">
        <v>298.77719116210938</v>
      </c>
      <c r="C1229" s="15">
        <v>76.660186767578125</v>
      </c>
      <c r="D1229" s="15">
        <v>178.69999694824219</v>
      </c>
      <c r="E1229" s="15">
        <v>248.16023254394531</v>
      </c>
      <c r="F1229" s="15">
        <v>151.2304992675781</v>
      </c>
      <c r="H1229" s="16">
        <f t="shared" si="50"/>
        <v>7.2659380238076048E-3</v>
      </c>
      <c r="I1229" s="16">
        <f t="shared" si="50"/>
        <v>-6.7329561220317842E-4</v>
      </c>
      <c r="J1229" s="16">
        <f t="shared" si="50"/>
        <v>1.9561196964698074E-2</v>
      </c>
      <c r="K1229" s="16">
        <f t="shared" si="50"/>
        <v>1.7685901937202417E-2</v>
      </c>
      <c r="L1229" s="16">
        <f t="shared" si="51"/>
        <v>8.5682363916170703E-3</v>
      </c>
    </row>
    <row r="1230" spans="1:12" x14ac:dyDescent="0.35">
      <c r="A1230" s="18">
        <v>44039</v>
      </c>
      <c r="B1230" s="15">
        <v>300.95599365234381</v>
      </c>
      <c r="C1230" s="15">
        <v>76.608589172363281</v>
      </c>
      <c r="D1230" s="15">
        <v>182.22999572753909</v>
      </c>
      <c r="E1230" s="15">
        <v>252.58821105957031</v>
      </c>
      <c r="F1230" s="15">
        <v>152.53184509277341</v>
      </c>
      <c r="H1230" s="16">
        <f t="shared" si="50"/>
        <v>-6.3623932492271867E-3</v>
      </c>
      <c r="I1230" s="16">
        <f t="shared" si="50"/>
        <v>4.4924592259903078E-4</v>
      </c>
      <c r="J1230" s="16">
        <f t="shared" si="50"/>
        <v>8.3065360404135976E-3</v>
      </c>
      <c r="K1230" s="16">
        <f t="shared" si="50"/>
        <v>-1.2806972783145775E-2</v>
      </c>
      <c r="L1230" s="16">
        <f t="shared" si="51"/>
        <v>-7.339857027157227E-3</v>
      </c>
    </row>
    <row r="1231" spans="1:12" x14ac:dyDescent="0.35">
      <c r="A1231" s="18">
        <v>44040</v>
      </c>
      <c r="B1231" s="15">
        <v>299.04727172851563</v>
      </c>
      <c r="C1231" s="15">
        <v>76.643013000488281</v>
      </c>
      <c r="D1231" s="15">
        <v>183.75</v>
      </c>
      <c r="E1231" s="15">
        <v>249.37394714355469</v>
      </c>
      <c r="F1231" s="15">
        <v>151.4163818359375</v>
      </c>
      <c r="H1231" s="16">
        <f t="shared" si="50"/>
        <v>1.222366652931145E-2</v>
      </c>
      <c r="I1231" s="16">
        <f t="shared" si="50"/>
        <v>1.5686861263286959E-3</v>
      </c>
      <c r="J1231" s="16">
        <f t="shared" si="50"/>
        <v>7.4821692831860001E-3</v>
      </c>
      <c r="K1231" s="16">
        <f t="shared" si="50"/>
        <v>1.1460379084599062E-2</v>
      </c>
      <c r="L1231" s="16">
        <f t="shared" si="51"/>
        <v>1.3173258478754626E-2</v>
      </c>
    </row>
    <row r="1232" spans="1:12" x14ac:dyDescent="0.35">
      <c r="A1232" s="18">
        <v>44041</v>
      </c>
      <c r="B1232" s="15">
        <v>302.72515869140619</v>
      </c>
      <c r="C1232" s="15">
        <v>76.763336181640625</v>
      </c>
      <c r="D1232" s="15">
        <v>185.1300048828125</v>
      </c>
      <c r="E1232" s="15">
        <v>252.24830627441409</v>
      </c>
      <c r="F1232" s="15">
        <v>153.4242248535156</v>
      </c>
      <c r="H1232" s="16">
        <f t="shared" si="50"/>
        <v>-3.5742305119803286E-3</v>
      </c>
      <c r="I1232" s="16">
        <f t="shared" si="50"/>
        <v>5.6029488138207792E-4</v>
      </c>
      <c r="J1232" s="16">
        <f t="shared" si="50"/>
        <v>-7.4277788884334946E-3</v>
      </c>
      <c r="K1232" s="16">
        <f t="shared" si="50"/>
        <v>5.2216705107257884E-3</v>
      </c>
      <c r="L1232" s="16">
        <f t="shared" si="51"/>
        <v>-2.2442295704847093E-3</v>
      </c>
    </row>
    <row r="1233" spans="1:12" x14ac:dyDescent="0.35">
      <c r="A1233" s="18">
        <v>44042</v>
      </c>
      <c r="B1233" s="15">
        <v>301.64508056640619</v>
      </c>
      <c r="C1233" s="15">
        <v>76.806358337402344</v>
      </c>
      <c r="D1233" s="15">
        <v>183.75999450683591</v>
      </c>
      <c r="E1233" s="15">
        <v>253.56890869140619</v>
      </c>
      <c r="F1233" s="15">
        <v>153.0802917480469</v>
      </c>
      <c r="H1233" s="16">
        <f t="shared" si="50"/>
        <v>7.8709641801058636E-3</v>
      </c>
      <c r="I1233" s="16">
        <f t="shared" si="50"/>
        <v>1.3420791512229616E-3</v>
      </c>
      <c r="J1233" s="16">
        <f t="shared" si="50"/>
        <v>9.0468843530276989E-3</v>
      </c>
      <c r="K1233" s="16">
        <f t="shared" si="50"/>
        <v>1.7688339940602545E-2</v>
      </c>
      <c r="L1233" s="16">
        <f t="shared" si="51"/>
        <v>5.0876760336940564E-3</v>
      </c>
    </row>
    <row r="1234" spans="1:12" x14ac:dyDescent="0.35">
      <c r="A1234" s="18">
        <v>44043</v>
      </c>
      <c r="B1234" s="15">
        <v>304.0286865234375</v>
      </c>
      <c r="C1234" s="15">
        <v>76.909507751464844</v>
      </c>
      <c r="D1234" s="15">
        <v>185.42999267578119</v>
      </c>
      <c r="E1234" s="15">
        <v>258.09402465820313</v>
      </c>
      <c r="F1234" s="15">
        <v>153.86109924316409</v>
      </c>
      <c r="H1234" s="16">
        <f t="shared" si="50"/>
        <v>6.927977343868518E-3</v>
      </c>
      <c r="I1234" s="16">
        <f t="shared" si="50"/>
        <v>-3.473582182639208E-4</v>
      </c>
      <c r="J1234" s="16">
        <f t="shared" si="50"/>
        <v>1.1318982444250636E-3</v>
      </c>
      <c r="K1234" s="16">
        <f t="shared" si="50"/>
        <v>1.3416390870052057E-2</v>
      </c>
      <c r="L1234" s="16">
        <f t="shared" si="51"/>
        <v>8.6625759363782549E-3</v>
      </c>
    </row>
    <row r="1235" spans="1:12" x14ac:dyDescent="0.35">
      <c r="A1235" s="18">
        <v>44046</v>
      </c>
      <c r="B1235" s="15">
        <v>306.14230346679688</v>
      </c>
      <c r="C1235" s="15">
        <v>76.882797241210938</v>
      </c>
      <c r="D1235" s="15">
        <v>185.63999938964841</v>
      </c>
      <c r="E1235" s="15">
        <v>261.58004760742188</v>
      </c>
      <c r="F1235" s="15">
        <v>155.19972229003909</v>
      </c>
      <c r="H1235" s="16">
        <f t="shared" si="50"/>
        <v>3.8555235095634969E-3</v>
      </c>
      <c r="I1235" s="16">
        <f t="shared" si="50"/>
        <v>2.1264080863901314E-3</v>
      </c>
      <c r="J1235" s="16">
        <f t="shared" si="50"/>
        <v>2.1054515412853636E-2</v>
      </c>
      <c r="K1235" s="16">
        <f t="shared" ref="K1235:L1298" si="52">LN(E1236/E1235)</f>
        <v>3.7052157567138079E-3</v>
      </c>
      <c r="L1235" s="16">
        <f t="shared" si="51"/>
        <v>3.945145625369178E-3</v>
      </c>
    </row>
    <row r="1236" spans="1:12" x14ac:dyDescent="0.35">
      <c r="A1236" s="18">
        <v>44047</v>
      </c>
      <c r="B1236" s="15">
        <v>307.32492065429688</v>
      </c>
      <c r="C1236" s="15">
        <v>77.046455383300781</v>
      </c>
      <c r="D1236" s="15">
        <v>189.5899963378906</v>
      </c>
      <c r="E1236" s="15">
        <v>262.55105590820313</v>
      </c>
      <c r="F1236" s="15">
        <v>155.81321716308591</v>
      </c>
      <c r="H1236" s="16">
        <f t="shared" ref="H1236:L1299" si="53">LN(B1237/B1236)</f>
        <v>6.1914559682650231E-3</v>
      </c>
      <c r="I1236" s="16">
        <f t="shared" si="53"/>
        <v>-1.3420717975511194E-3</v>
      </c>
      <c r="J1236" s="16">
        <f t="shared" si="53"/>
        <v>9.2404172708345743E-3</v>
      </c>
      <c r="K1236" s="16">
        <f t="shared" si="52"/>
        <v>2.4749451986302937E-3</v>
      </c>
      <c r="L1236" s="16">
        <f t="shared" si="52"/>
        <v>7.2517999595513097E-3</v>
      </c>
    </row>
    <row r="1237" spans="1:12" x14ac:dyDescent="0.35">
      <c r="A1237" s="18">
        <v>44048</v>
      </c>
      <c r="B1237" s="15">
        <v>309.23361206054688</v>
      </c>
      <c r="C1237" s="15">
        <v>76.943122863769531</v>
      </c>
      <c r="D1237" s="15">
        <v>191.3500061035156</v>
      </c>
      <c r="E1237" s="15">
        <v>263.20166015625</v>
      </c>
      <c r="F1237" s="15">
        <v>156.94725036621091</v>
      </c>
      <c r="H1237" s="16">
        <f t="shared" si="53"/>
        <v>6.6622756441309253E-3</v>
      </c>
      <c r="I1237" s="16">
        <f t="shared" si="53"/>
        <v>1.5653444196462223E-3</v>
      </c>
      <c r="J1237" s="16">
        <f t="shared" si="53"/>
        <v>1.3186741026147062E-2</v>
      </c>
      <c r="K1237" s="16">
        <f t="shared" si="52"/>
        <v>1.3157854955937768E-2</v>
      </c>
      <c r="L1237" s="16">
        <f t="shared" si="52"/>
        <v>4.8452795362862316E-3</v>
      </c>
    </row>
    <row r="1238" spans="1:12" x14ac:dyDescent="0.35">
      <c r="A1238" s="18">
        <v>44049</v>
      </c>
      <c r="B1238" s="15">
        <v>311.30068969726563</v>
      </c>
      <c r="C1238" s="15">
        <v>77.06365966796875</v>
      </c>
      <c r="D1238" s="15">
        <v>193.88999938964841</v>
      </c>
      <c r="E1238" s="15">
        <v>266.68771362304688</v>
      </c>
      <c r="F1238" s="15">
        <v>157.70954895019531</v>
      </c>
      <c r="H1238" s="16">
        <f t="shared" si="53"/>
        <v>7.1792816432896922E-4</v>
      </c>
      <c r="I1238" s="16">
        <f t="shared" si="53"/>
        <v>-1.1178530700556041E-3</v>
      </c>
      <c r="J1238" s="16">
        <f t="shared" si="53"/>
        <v>-1.6012829047695701E-2</v>
      </c>
      <c r="K1238" s="16">
        <f t="shared" si="52"/>
        <v>-1.1609763189103506E-2</v>
      </c>
      <c r="L1238" s="16">
        <f t="shared" si="52"/>
        <v>8.2457154227191418E-4</v>
      </c>
    </row>
    <row r="1239" spans="1:12" x14ac:dyDescent="0.35">
      <c r="A1239" s="18">
        <v>44050</v>
      </c>
      <c r="B1239" s="15">
        <v>311.52426147460938</v>
      </c>
      <c r="C1239" s="15">
        <v>76.977561950683594</v>
      </c>
      <c r="D1239" s="15">
        <v>190.80999755859381</v>
      </c>
      <c r="E1239" s="15">
        <v>263.60943603515619</v>
      </c>
      <c r="F1239" s="15">
        <v>157.83964538574219</v>
      </c>
      <c r="H1239" s="16">
        <f t="shared" si="53"/>
        <v>2.9842690570937198E-3</v>
      </c>
      <c r="I1239" s="16">
        <f t="shared" si="53"/>
        <v>-1.1195009558027558E-3</v>
      </c>
      <c r="J1239" s="16">
        <f t="shared" si="53"/>
        <v>-3.46495347144825E-3</v>
      </c>
      <c r="K1239" s="16">
        <f t="shared" si="52"/>
        <v>-4.281925447180885E-3</v>
      </c>
      <c r="L1239" s="16">
        <f t="shared" si="52"/>
        <v>2.7643026780702021E-3</v>
      </c>
    </row>
    <row r="1240" spans="1:12" x14ac:dyDescent="0.35">
      <c r="A1240" s="18">
        <v>44053</v>
      </c>
      <c r="B1240" s="15">
        <v>312.455322265625</v>
      </c>
      <c r="C1240" s="15">
        <v>76.891433715820313</v>
      </c>
      <c r="D1240" s="15">
        <v>190.1499938964844</v>
      </c>
      <c r="E1240" s="15">
        <v>262.48309326171881</v>
      </c>
      <c r="F1240" s="15">
        <v>158.27656555175781</v>
      </c>
      <c r="H1240" s="16">
        <f t="shared" si="53"/>
        <v>-8.2889544499667647E-3</v>
      </c>
      <c r="I1240" s="16">
        <f t="shared" si="53"/>
        <v>-3.4784489932507606E-3</v>
      </c>
      <c r="J1240" s="16">
        <f t="shared" si="53"/>
        <v>-5.5189726718979773E-2</v>
      </c>
      <c r="K1240" s="16">
        <f t="shared" si="52"/>
        <v>-1.9122985182803979E-2</v>
      </c>
      <c r="L1240" s="16">
        <f t="shared" si="52"/>
        <v>-8.0787718013725206E-3</v>
      </c>
    </row>
    <row r="1241" spans="1:12" x14ac:dyDescent="0.35">
      <c r="A1241" s="18">
        <v>44054</v>
      </c>
      <c r="B1241" s="15">
        <v>309.8760986328125</v>
      </c>
      <c r="C1241" s="15">
        <v>76.624435424804688</v>
      </c>
      <c r="D1241" s="15">
        <v>179.94000244140619</v>
      </c>
      <c r="E1241" s="15">
        <v>257.51132202148438</v>
      </c>
      <c r="F1241" s="15">
        <v>157.00303649902341</v>
      </c>
      <c r="H1241" s="16">
        <f t="shared" si="53"/>
        <v>1.3846156278637663E-2</v>
      </c>
      <c r="I1241" s="16">
        <f t="shared" si="53"/>
        <v>-2.5886486548238634E-3</v>
      </c>
      <c r="J1241" s="16">
        <f t="shared" si="53"/>
        <v>-4.6791324113834749E-3</v>
      </c>
      <c r="K1241" s="16">
        <f t="shared" si="52"/>
        <v>2.4840677997770309E-2</v>
      </c>
      <c r="L1241" s="16">
        <f t="shared" si="52"/>
        <v>1.3292091939530373E-2</v>
      </c>
    </row>
    <row r="1242" spans="1:12" x14ac:dyDescent="0.35">
      <c r="A1242" s="18">
        <v>44055</v>
      </c>
      <c r="B1242" s="15">
        <v>314.196533203125</v>
      </c>
      <c r="C1242" s="15">
        <v>76.426338195800781</v>
      </c>
      <c r="D1242" s="15">
        <v>179.1000061035156</v>
      </c>
      <c r="E1242" s="15">
        <v>263.98818969726563</v>
      </c>
      <c r="F1242" s="15">
        <v>159.10386657714841</v>
      </c>
      <c r="H1242" s="16">
        <f t="shared" si="53"/>
        <v>-1.8095945309217095E-3</v>
      </c>
      <c r="I1242" s="16">
        <f t="shared" si="53"/>
        <v>-3.2729800425927852E-3</v>
      </c>
      <c r="J1242" s="16">
        <f t="shared" si="53"/>
        <v>2.3343474417206807E-2</v>
      </c>
      <c r="K1242" s="16">
        <f t="shared" si="52"/>
        <v>2.2780007931879017E-3</v>
      </c>
      <c r="L1242" s="16">
        <f t="shared" si="52"/>
        <v>-7.5975688940852978E-4</v>
      </c>
    </row>
    <row r="1243" spans="1:12" x14ac:dyDescent="0.35">
      <c r="A1243" s="18">
        <v>44056</v>
      </c>
      <c r="B1243" s="15">
        <v>313.62847900390619</v>
      </c>
      <c r="C1243" s="15">
        <v>76.176605224609375</v>
      </c>
      <c r="D1243" s="15">
        <v>183.33000183105469</v>
      </c>
      <c r="E1243" s="15">
        <v>264.59024047851563</v>
      </c>
      <c r="F1243" s="15">
        <v>158.9830322265625</v>
      </c>
      <c r="H1243" s="16">
        <f t="shared" si="53"/>
        <v>2.9677544721650335E-5</v>
      </c>
      <c r="I1243" s="16">
        <f t="shared" si="53"/>
        <v>-1.131378844448771E-3</v>
      </c>
      <c r="J1243" s="16">
        <f t="shared" si="53"/>
        <v>-4.3185272542077772E-3</v>
      </c>
      <c r="K1243" s="16">
        <f t="shared" si="52"/>
        <v>-1.1749565186228801E-3</v>
      </c>
      <c r="L1243" s="16">
        <f t="shared" si="52"/>
        <v>-2.9258212378369727E-4</v>
      </c>
    </row>
    <row r="1244" spans="1:12" x14ac:dyDescent="0.35">
      <c r="A1244" s="18">
        <v>44057</v>
      </c>
      <c r="B1244" s="15">
        <v>313.63778686523438</v>
      </c>
      <c r="C1244" s="15">
        <v>76.090469360351563</v>
      </c>
      <c r="D1244" s="15">
        <v>182.53999328613281</v>
      </c>
      <c r="E1244" s="15">
        <v>264.279541015625</v>
      </c>
      <c r="F1244" s="15">
        <v>158.9365234375</v>
      </c>
      <c r="H1244" s="16">
        <f t="shared" si="53"/>
        <v>3.1716799921241768E-3</v>
      </c>
      <c r="I1244" s="16">
        <f t="shared" si="53"/>
        <v>1.2444463597463089E-3</v>
      </c>
      <c r="J1244" s="16">
        <f t="shared" si="53"/>
        <v>2.1461948775391659E-2</v>
      </c>
      <c r="K1244" s="16">
        <f t="shared" si="52"/>
        <v>1.1543854125252776E-2</v>
      </c>
      <c r="L1244" s="16">
        <f t="shared" si="52"/>
        <v>4.2605659105492836E-3</v>
      </c>
    </row>
    <row r="1245" spans="1:12" x14ac:dyDescent="0.35">
      <c r="A1245" s="18">
        <v>44060</v>
      </c>
      <c r="B1245" s="15">
        <v>314.63412475585938</v>
      </c>
      <c r="C1245" s="15">
        <v>76.185218811035156</v>
      </c>
      <c r="D1245" s="15">
        <v>186.5</v>
      </c>
      <c r="E1245" s="15">
        <v>267.3480224609375</v>
      </c>
      <c r="F1245" s="15">
        <v>159.61512756347659</v>
      </c>
      <c r="H1245" s="16">
        <f t="shared" si="53"/>
        <v>2.1581108316492403E-3</v>
      </c>
      <c r="I1245" s="16">
        <f t="shared" si="53"/>
        <v>1.3552139072633613E-3</v>
      </c>
      <c r="J1245" s="16">
        <f t="shared" si="53"/>
        <v>8.9676735734030219E-3</v>
      </c>
      <c r="K1245" s="16">
        <f t="shared" si="52"/>
        <v>9.5791525687999347E-3</v>
      </c>
      <c r="L1245" s="16">
        <f t="shared" si="52"/>
        <v>1.5129263590565863E-3</v>
      </c>
    </row>
    <row r="1246" spans="1:12" x14ac:dyDescent="0.35">
      <c r="A1246" s="18">
        <v>44061</v>
      </c>
      <c r="B1246" s="15">
        <v>315.31387329101563</v>
      </c>
      <c r="C1246" s="15">
        <v>76.288536071777344</v>
      </c>
      <c r="D1246" s="15">
        <v>188.17999267578119</v>
      </c>
      <c r="E1246" s="15">
        <v>269.92129516601563</v>
      </c>
      <c r="F1246" s="15">
        <v>159.85679626464841</v>
      </c>
      <c r="H1246" s="16">
        <f t="shared" si="53"/>
        <v>-4.172372707188992E-3</v>
      </c>
      <c r="I1246" s="16">
        <f t="shared" si="53"/>
        <v>-1.6945549898708357E-3</v>
      </c>
      <c r="J1246" s="16">
        <f t="shared" si="53"/>
        <v>-3.2074382815929732E-2</v>
      </c>
      <c r="K1246" s="16">
        <f t="shared" si="52"/>
        <v>-6.7498600860877028E-3</v>
      </c>
      <c r="L1246" s="16">
        <f t="shared" si="52"/>
        <v>-3.903709124735995E-3</v>
      </c>
    </row>
    <row r="1247" spans="1:12" x14ac:dyDescent="0.35">
      <c r="A1247" s="18">
        <v>44062</v>
      </c>
      <c r="B1247" s="15">
        <v>314.00100708007813</v>
      </c>
      <c r="C1247" s="15">
        <v>76.159370422363281</v>
      </c>
      <c r="D1247" s="15">
        <v>182.24000549316409</v>
      </c>
      <c r="E1247" s="15">
        <v>268.10549926757813</v>
      </c>
      <c r="F1247" s="15">
        <v>159.2339782714844</v>
      </c>
      <c r="H1247" s="16">
        <f t="shared" si="53"/>
        <v>3.1084327456229049E-3</v>
      </c>
      <c r="I1247" s="16">
        <f t="shared" si="53"/>
        <v>1.6945549898708344E-3</v>
      </c>
      <c r="J1247" s="16">
        <f t="shared" si="53"/>
        <v>6.8901376532814066E-3</v>
      </c>
      <c r="K1247" s="16">
        <f t="shared" si="52"/>
        <v>1.3776056180227592E-2</v>
      </c>
      <c r="L1247" s="16">
        <f t="shared" si="52"/>
        <v>2.8566159110297068E-3</v>
      </c>
    </row>
    <row r="1248" spans="1:12" x14ac:dyDescent="0.35">
      <c r="A1248" s="18">
        <v>44063</v>
      </c>
      <c r="B1248" s="15">
        <v>314.97857666015619</v>
      </c>
      <c r="C1248" s="15">
        <v>76.288536071777344</v>
      </c>
      <c r="D1248" s="15">
        <v>183.5</v>
      </c>
      <c r="E1248" s="15">
        <v>271.82449340820313</v>
      </c>
      <c r="F1248" s="15">
        <v>159.68949890136719</v>
      </c>
      <c r="H1248" s="16">
        <f t="shared" si="53"/>
        <v>3.541172177766293E-3</v>
      </c>
      <c r="I1248" s="16">
        <f t="shared" si="53"/>
        <v>2.1425551585811443E-3</v>
      </c>
      <c r="J1248" s="16">
        <f t="shared" si="53"/>
        <v>-8.0431655428720404E-3</v>
      </c>
      <c r="K1248" s="16">
        <f t="shared" si="52"/>
        <v>6.9067094902953933E-3</v>
      </c>
      <c r="L1248" s="16">
        <f t="shared" si="52"/>
        <v>2.4999752964355716E-3</v>
      </c>
    </row>
    <row r="1249" spans="1:12" x14ac:dyDescent="0.35">
      <c r="A1249" s="18">
        <v>44064</v>
      </c>
      <c r="B1249" s="15">
        <v>316.095947265625</v>
      </c>
      <c r="C1249" s="15">
        <v>76.452163696289063</v>
      </c>
      <c r="D1249" s="15">
        <v>182.0299987792969</v>
      </c>
      <c r="E1249" s="15">
        <v>273.70840454101563</v>
      </c>
      <c r="F1249" s="15">
        <v>160.08921813964841</v>
      </c>
      <c r="H1249" s="16">
        <f t="shared" si="53"/>
        <v>1.0082396102860925E-2</v>
      </c>
      <c r="I1249" s="16">
        <f t="shared" si="53"/>
        <v>-1.126998970869416E-3</v>
      </c>
      <c r="J1249" s="16">
        <f t="shared" si="53"/>
        <v>-5.6744706859271458E-3</v>
      </c>
      <c r="K1249" s="16">
        <f t="shared" si="52"/>
        <v>6.22451298365111E-3</v>
      </c>
      <c r="L1249" s="16">
        <f t="shared" si="52"/>
        <v>9.5349130622944065E-3</v>
      </c>
    </row>
    <row r="1250" spans="1:12" x14ac:dyDescent="0.35">
      <c r="A1250" s="18">
        <v>44067</v>
      </c>
      <c r="B1250" s="15">
        <v>319.299072265625</v>
      </c>
      <c r="C1250" s="15">
        <v>76.366050720214844</v>
      </c>
      <c r="D1250" s="15">
        <v>181</v>
      </c>
      <c r="E1250" s="15">
        <v>275.41741943359381</v>
      </c>
      <c r="F1250" s="15">
        <v>161.6229553222656</v>
      </c>
      <c r="H1250" s="16">
        <f t="shared" si="53"/>
        <v>3.4931490220365922E-3</v>
      </c>
      <c r="I1250" s="16">
        <f t="shared" si="53"/>
        <v>-1.9192284179164732E-3</v>
      </c>
      <c r="J1250" s="16">
        <f t="shared" si="53"/>
        <v>1.2147382641173388E-3</v>
      </c>
      <c r="K1250" s="16">
        <f t="shared" si="52"/>
        <v>7.8315203795467029E-3</v>
      </c>
      <c r="L1250" s="16">
        <f t="shared" si="52"/>
        <v>3.3303237847247457E-3</v>
      </c>
    </row>
    <row r="1251" spans="1:12" x14ac:dyDescent="0.35">
      <c r="A1251" s="18">
        <v>44068</v>
      </c>
      <c r="B1251" s="15">
        <v>320.4163818359375</v>
      </c>
      <c r="C1251" s="15">
        <v>76.219627380371094</v>
      </c>
      <c r="D1251" s="15">
        <v>181.2200012207031</v>
      </c>
      <c r="E1251" s="15">
        <v>277.58282470703119</v>
      </c>
      <c r="F1251" s="15">
        <v>162.162109375</v>
      </c>
      <c r="H1251" s="16">
        <f t="shared" si="53"/>
        <v>9.9755992949537332E-3</v>
      </c>
      <c r="I1251" s="16">
        <f t="shared" si="53"/>
        <v>-5.6460919235627694E-4</v>
      </c>
      <c r="J1251" s="16">
        <f t="shared" si="53"/>
        <v>1.1739667325137905E-2</v>
      </c>
      <c r="K1251" s="16">
        <f t="shared" si="52"/>
        <v>2.111461895535487E-2</v>
      </c>
      <c r="L1251" s="16">
        <f t="shared" si="52"/>
        <v>9.0165233222846853E-3</v>
      </c>
    </row>
    <row r="1252" spans="1:12" x14ac:dyDescent="0.35">
      <c r="A1252" s="18">
        <v>44069</v>
      </c>
      <c r="B1252" s="15">
        <v>323.62872314453119</v>
      </c>
      <c r="C1252" s="15">
        <v>76.176605224609375</v>
      </c>
      <c r="D1252" s="15">
        <v>183.36000061035159</v>
      </c>
      <c r="E1252" s="15">
        <v>283.50619506835938</v>
      </c>
      <c r="F1252" s="15">
        <v>163.630859375</v>
      </c>
      <c r="H1252" s="16">
        <f t="shared" si="53"/>
        <v>2.1841975628538882E-3</v>
      </c>
      <c r="I1252" s="16">
        <f t="shared" si="53"/>
        <v>-3.6249271624464027E-3</v>
      </c>
      <c r="J1252" s="16">
        <f t="shared" si="53"/>
        <v>-1.1629286747359606E-2</v>
      </c>
      <c r="K1252" s="16">
        <f t="shared" si="52"/>
        <v>-3.1216827849587687E-3</v>
      </c>
      <c r="L1252" s="16">
        <f t="shared" si="52"/>
        <v>2.3828996949047422E-3</v>
      </c>
    </row>
    <row r="1253" spans="1:12" x14ac:dyDescent="0.35">
      <c r="A1253" s="18">
        <v>44070</v>
      </c>
      <c r="B1253" s="15">
        <v>324.33636474609381</v>
      </c>
      <c r="C1253" s="15">
        <v>75.900970458984375</v>
      </c>
      <c r="D1253" s="15">
        <v>181.24000549316409</v>
      </c>
      <c r="E1253" s="15">
        <v>282.62255859375</v>
      </c>
      <c r="F1253" s="15">
        <v>164.021240234375</v>
      </c>
      <c r="H1253" s="16">
        <f t="shared" si="53"/>
        <v>6.4385751143588828E-3</v>
      </c>
      <c r="I1253" s="16">
        <f t="shared" si="53"/>
        <v>7.9397595295111986E-4</v>
      </c>
      <c r="J1253" s="16">
        <f t="shared" si="53"/>
        <v>1.7230926299239564E-2</v>
      </c>
      <c r="K1253" s="16">
        <f t="shared" si="52"/>
        <v>5.0723231523372098E-3</v>
      </c>
      <c r="L1253" s="16">
        <f t="shared" si="52"/>
        <v>6.9467832764052752E-3</v>
      </c>
    </row>
    <row r="1254" spans="1:12" x14ac:dyDescent="0.35">
      <c r="A1254" s="18">
        <v>44071</v>
      </c>
      <c r="B1254" s="15">
        <v>326.43136596679688</v>
      </c>
      <c r="C1254" s="15">
        <v>75.961257934570313</v>
      </c>
      <c r="D1254" s="15">
        <v>184.38999938964841</v>
      </c>
      <c r="E1254" s="15">
        <v>284.05975341796881</v>
      </c>
      <c r="F1254" s="15">
        <v>165.16462707519531</v>
      </c>
      <c r="H1254" s="16">
        <f t="shared" si="53"/>
        <v>-3.6290694367736181E-3</v>
      </c>
      <c r="I1254" s="16">
        <f t="shared" si="53"/>
        <v>2.9440187247929224E-3</v>
      </c>
      <c r="J1254" s="16">
        <f t="shared" si="53"/>
        <v>2.3834171943243011E-3</v>
      </c>
      <c r="K1254" s="16">
        <f t="shared" si="52"/>
        <v>8.0010429552470376E-3</v>
      </c>
      <c r="L1254" s="16">
        <f t="shared" si="52"/>
        <v>-2.2537836565472693E-3</v>
      </c>
    </row>
    <row r="1255" spans="1:12" x14ac:dyDescent="0.35">
      <c r="A1255" s="18">
        <v>44074</v>
      </c>
      <c r="B1255" s="15">
        <v>325.24887084960938</v>
      </c>
      <c r="C1255" s="15">
        <v>76.185218811035156</v>
      </c>
      <c r="D1255" s="15">
        <v>184.83000183105469</v>
      </c>
      <c r="E1255" s="15">
        <v>286.34164428710938</v>
      </c>
      <c r="F1255" s="15">
        <v>164.79280090332031</v>
      </c>
      <c r="H1255" s="16">
        <f t="shared" si="53"/>
        <v>9.374509343026638E-3</v>
      </c>
      <c r="I1255" s="16">
        <f t="shared" si="53"/>
        <v>2.7481421595375519E-3</v>
      </c>
      <c r="J1255" s="16">
        <f t="shared" si="53"/>
        <v>1.1895817224104161E-3</v>
      </c>
      <c r="K1255" s="16">
        <f t="shared" si="52"/>
        <v>1.6947412431615363E-2</v>
      </c>
      <c r="L1255" s="16">
        <f t="shared" si="52"/>
        <v>8.8167798398638333E-3</v>
      </c>
    </row>
    <row r="1256" spans="1:12" x14ac:dyDescent="0.35">
      <c r="A1256" s="18">
        <v>44075</v>
      </c>
      <c r="B1256" s="15">
        <v>328.312255859375</v>
      </c>
      <c r="C1256" s="15">
        <v>76.394874572753906</v>
      </c>
      <c r="D1256" s="15">
        <v>185.05000305175781</v>
      </c>
      <c r="E1256" s="15">
        <v>291.23574829101563</v>
      </c>
      <c r="F1256" s="15">
        <v>166.2521667480469</v>
      </c>
      <c r="H1256" s="16">
        <f t="shared" si="53"/>
        <v>1.4360331968616002E-2</v>
      </c>
      <c r="I1256" s="16">
        <f t="shared" si="53"/>
        <v>2.1430638980102748E-3</v>
      </c>
      <c r="J1256" s="16">
        <f t="shared" si="53"/>
        <v>-1.3218610873058246E-2</v>
      </c>
      <c r="K1256" s="16">
        <f t="shared" si="52"/>
        <v>9.4245866440390517E-3</v>
      </c>
      <c r="L1256" s="16">
        <f t="shared" si="52"/>
        <v>1.3274992332439112E-2</v>
      </c>
    </row>
    <row r="1257" spans="1:12" x14ac:dyDescent="0.35">
      <c r="A1257" s="18">
        <v>44076</v>
      </c>
      <c r="B1257" s="15">
        <v>333.06094360351563</v>
      </c>
      <c r="C1257" s="15">
        <v>76.558769226074219</v>
      </c>
      <c r="D1257" s="15">
        <v>182.6199951171875</v>
      </c>
      <c r="E1257" s="15">
        <v>293.99349975585938</v>
      </c>
      <c r="F1257" s="15">
        <v>168.473876953125</v>
      </c>
      <c r="H1257" s="16">
        <f t="shared" si="53"/>
        <v>-3.5020252035714412E-2</v>
      </c>
      <c r="I1257" s="16">
        <f t="shared" si="53"/>
        <v>1.1230385388909494E-4</v>
      </c>
      <c r="J1257" s="16">
        <f t="shared" si="53"/>
        <v>-8.1372548733370902E-3</v>
      </c>
      <c r="K1257" s="16">
        <f t="shared" si="52"/>
        <v>-5.2030686351004996E-2</v>
      </c>
      <c r="L1257" s="16">
        <f t="shared" si="52"/>
        <v>-3.5379275668720338E-2</v>
      </c>
    </row>
    <row r="1258" spans="1:12" x14ac:dyDescent="0.35">
      <c r="A1258" s="18">
        <v>44077</v>
      </c>
      <c r="B1258" s="15">
        <v>321.59893798828119</v>
      </c>
      <c r="C1258" s="15">
        <v>76.567367553710938</v>
      </c>
      <c r="D1258" s="15">
        <v>181.13999938964841</v>
      </c>
      <c r="E1258" s="15">
        <v>279.08795166015619</v>
      </c>
      <c r="F1258" s="15">
        <v>162.61759948730469</v>
      </c>
      <c r="H1258" s="16">
        <f t="shared" si="53"/>
        <v>-8.1986092289306582E-3</v>
      </c>
      <c r="I1258" s="16">
        <f t="shared" si="53"/>
        <v>-5.8763340305836454E-3</v>
      </c>
      <c r="J1258" s="16">
        <f t="shared" si="53"/>
        <v>2.7564932922231992E-3</v>
      </c>
      <c r="K1258" s="16">
        <f t="shared" si="52"/>
        <v>-1.3415884692441885E-2</v>
      </c>
      <c r="L1258" s="16">
        <f t="shared" si="52"/>
        <v>-8.5537339724950142E-3</v>
      </c>
    </row>
    <row r="1259" spans="1:12" x14ac:dyDescent="0.35">
      <c r="A1259" s="18">
        <v>44078</v>
      </c>
      <c r="B1259" s="15">
        <v>318.97305297851563</v>
      </c>
      <c r="C1259" s="15">
        <v>76.118751525878906</v>
      </c>
      <c r="D1259" s="15">
        <v>181.63999938964841</v>
      </c>
      <c r="E1259" s="15">
        <v>275.36874389648438</v>
      </c>
      <c r="F1259" s="15">
        <v>161.2325439453125</v>
      </c>
      <c r="H1259" s="16">
        <f t="shared" si="53"/>
        <v>-2.7702725636162912E-2</v>
      </c>
      <c r="I1259" s="16">
        <f t="shared" si="53"/>
        <v>1.4726992966275353E-3</v>
      </c>
      <c r="J1259" s="16">
        <f t="shared" si="53"/>
        <v>-1.9287808618002687E-3</v>
      </c>
      <c r="K1259" s="16">
        <f t="shared" si="52"/>
        <v>-4.9257348293223792E-2</v>
      </c>
      <c r="L1259" s="16">
        <f t="shared" si="52"/>
        <v>-2.8479023787517637E-2</v>
      </c>
    </row>
    <row r="1260" spans="1:12" x14ac:dyDescent="0.35">
      <c r="A1260" s="18">
        <v>44082</v>
      </c>
      <c r="B1260" s="15">
        <v>310.25790405273438</v>
      </c>
      <c r="C1260" s="15">
        <v>76.230934143066406</v>
      </c>
      <c r="D1260" s="15">
        <v>181.28999328613281</v>
      </c>
      <c r="E1260" s="15">
        <v>262.13345336914063</v>
      </c>
      <c r="F1260" s="15">
        <v>156.70556640625</v>
      </c>
      <c r="H1260" s="16">
        <f t="shared" si="53"/>
        <v>1.9554896104489738E-2</v>
      </c>
      <c r="I1260" s="16">
        <f t="shared" si="53"/>
        <v>-6.7959195462977606E-4</v>
      </c>
      <c r="J1260" s="16">
        <f t="shared" si="53"/>
        <v>9.6614342302388471E-3</v>
      </c>
      <c r="K1260" s="16">
        <f t="shared" si="52"/>
        <v>2.8952932922574493E-2</v>
      </c>
      <c r="L1260" s="16">
        <f t="shared" si="52"/>
        <v>1.9386214630457196E-2</v>
      </c>
    </row>
    <row r="1261" spans="1:12" x14ac:dyDescent="0.35">
      <c r="A1261" s="18">
        <v>44083</v>
      </c>
      <c r="B1261" s="15">
        <v>316.38467407226563</v>
      </c>
      <c r="C1261" s="15">
        <v>76.179145812988281</v>
      </c>
      <c r="D1261" s="15">
        <v>183.05000305175781</v>
      </c>
      <c r="E1261" s="15">
        <v>269.83392333984381</v>
      </c>
      <c r="F1261" s="15">
        <v>159.77313232421881</v>
      </c>
      <c r="H1261" s="16">
        <f t="shared" si="53"/>
        <v>-1.7516259779913262E-2</v>
      </c>
      <c r="I1261" s="16">
        <f t="shared" si="53"/>
        <v>2.2671547555396605E-4</v>
      </c>
      <c r="J1261" s="16">
        <f t="shared" si="53"/>
        <v>-3.2283485242562797E-3</v>
      </c>
      <c r="K1261" s="16">
        <f t="shared" si="52"/>
        <v>-2.0137809846787959E-2</v>
      </c>
      <c r="L1261" s="16">
        <f t="shared" si="52"/>
        <v>-1.6542801369796644E-2</v>
      </c>
    </row>
    <row r="1262" spans="1:12" x14ac:dyDescent="0.35">
      <c r="A1262" s="18">
        <v>44084</v>
      </c>
      <c r="B1262" s="15">
        <v>310.89105224609381</v>
      </c>
      <c r="C1262" s="15">
        <v>76.196418762207031</v>
      </c>
      <c r="D1262" s="15">
        <v>182.46000671386719</v>
      </c>
      <c r="E1262" s="15">
        <v>264.45440673828119</v>
      </c>
      <c r="F1262" s="15">
        <v>157.15177917480469</v>
      </c>
      <c r="H1262" s="16">
        <f t="shared" si="53"/>
        <v>5.0893677770180333E-4</v>
      </c>
      <c r="I1262" s="16">
        <f t="shared" si="53"/>
        <v>1.0187838384572215E-3</v>
      </c>
      <c r="J1262" s="16">
        <f t="shared" si="53"/>
        <v>-5.4861557792618405E-5</v>
      </c>
      <c r="K1262" s="16">
        <f t="shared" si="52"/>
        <v>-6.9642454569558273E-3</v>
      </c>
      <c r="L1262" s="16">
        <f t="shared" si="52"/>
        <v>3.5453127153635563E-4</v>
      </c>
    </row>
    <row r="1263" spans="1:12" x14ac:dyDescent="0.35">
      <c r="A1263" s="18">
        <v>44085</v>
      </c>
      <c r="B1263" s="15">
        <v>311.04931640625</v>
      </c>
      <c r="C1263" s="15">
        <v>76.274085998535156</v>
      </c>
      <c r="D1263" s="15">
        <v>182.44999694824219</v>
      </c>
      <c r="E1263" s="15">
        <v>262.61907958984381</v>
      </c>
      <c r="F1263" s="15">
        <v>157.20750427246091</v>
      </c>
      <c r="H1263" s="16">
        <f t="shared" si="53"/>
        <v>1.3085215707511361E-2</v>
      </c>
      <c r="I1263" s="16">
        <f t="shared" si="53"/>
        <v>0</v>
      </c>
      <c r="J1263" s="16">
        <f t="shared" si="53"/>
        <v>7.8616032777359592E-3</v>
      </c>
      <c r="K1263" s="16">
        <f t="shared" si="52"/>
        <v>1.7265460272263236E-2</v>
      </c>
      <c r="L1263" s="16">
        <f t="shared" si="52"/>
        <v>1.5489900481034274E-2</v>
      </c>
    </row>
    <row r="1264" spans="1:12" x14ac:dyDescent="0.35">
      <c r="A1264" s="18">
        <v>44088</v>
      </c>
      <c r="B1264" s="15">
        <v>315.14620971679688</v>
      </c>
      <c r="C1264" s="15">
        <v>76.274085998535156</v>
      </c>
      <c r="D1264" s="15">
        <v>183.88999938964841</v>
      </c>
      <c r="E1264" s="15">
        <v>267.19268798828119</v>
      </c>
      <c r="F1264" s="15">
        <v>159.6615905761719</v>
      </c>
      <c r="H1264" s="16">
        <f t="shared" si="53"/>
        <v>5.0398071514436253E-3</v>
      </c>
      <c r="I1264" s="16">
        <f t="shared" si="53"/>
        <v>5.6538735038477522E-4</v>
      </c>
      <c r="J1264" s="16">
        <f t="shared" si="53"/>
        <v>-2.3956152677239283E-3</v>
      </c>
      <c r="K1264" s="16">
        <f t="shared" si="52"/>
        <v>1.4073968412318142E-2</v>
      </c>
      <c r="L1264" s="16">
        <f t="shared" si="52"/>
        <v>5.6895734894545852E-3</v>
      </c>
    </row>
    <row r="1265" spans="1:12" x14ac:dyDescent="0.35">
      <c r="A1265" s="18">
        <v>44089</v>
      </c>
      <c r="B1265" s="15">
        <v>316.73849487304688</v>
      </c>
      <c r="C1265" s="15">
        <v>76.317222595214844</v>
      </c>
      <c r="D1265" s="15">
        <v>183.44999694824219</v>
      </c>
      <c r="E1265" s="15">
        <v>270.979736328125</v>
      </c>
      <c r="F1265" s="15">
        <v>160.57258605957031</v>
      </c>
      <c r="H1265" s="16">
        <f t="shared" si="53"/>
        <v>-3.9765295550055974E-3</v>
      </c>
      <c r="I1265" s="16">
        <f t="shared" si="53"/>
        <v>-2.2605658679530289E-4</v>
      </c>
      <c r="J1265" s="16">
        <f t="shared" si="53"/>
        <v>2.8305733071044763E-3</v>
      </c>
      <c r="K1265" s="16">
        <f t="shared" si="52"/>
        <v>-1.6075085282894953E-2</v>
      </c>
      <c r="L1265" s="16">
        <f t="shared" si="52"/>
        <v>-3.3052815318105849E-3</v>
      </c>
    </row>
    <row r="1266" spans="1:12" x14ac:dyDescent="0.35">
      <c r="A1266" s="18">
        <v>44090</v>
      </c>
      <c r="B1266" s="15">
        <v>315.48147583007813</v>
      </c>
      <c r="C1266" s="15">
        <v>76.299972534179688</v>
      </c>
      <c r="D1266" s="15">
        <v>183.9700012207031</v>
      </c>
      <c r="E1266" s="15">
        <v>266.65853881835938</v>
      </c>
      <c r="F1266" s="15">
        <v>160.042724609375</v>
      </c>
      <c r="H1266" s="16">
        <f t="shared" si="53"/>
        <v>-8.8342902531669404E-3</v>
      </c>
      <c r="I1266" s="16">
        <f t="shared" si="53"/>
        <v>0</v>
      </c>
      <c r="J1266" s="16">
        <f t="shared" si="53"/>
        <v>-5.505121062684892E-3</v>
      </c>
      <c r="K1266" s="16">
        <f t="shared" si="52"/>
        <v>-1.5745081683592788E-2</v>
      </c>
      <c r="L1266" s="16">
        <f t="shared" si="52"/>
        <v>-8.2820450143930493E-3</v>
      </c>
    </row>
    <row r="1267" spans="1:12" x14ac:dyDescent="0.35">
      <c r="A1267" s="18">
        <v>44091</v>
      </c>
      <c r="B1267" s="15">
        <v>312.70669555664063</v>
      </c>
      <c r="C1267" s="15">
        <v>76.299972534179688</v>
      </c>
      <c r="D1267" s="15">
        <v>182.96000671386719</v>
      </c>
      <c r="E1267" s="15">
        <v>262.49285888671881</v>
      </c>
      <c r="F1267" s="15">
        <v>158.72271728515619</v>
      </c>
      <c r="H1267" s="16">
        <f t="shared" si="53"/>
        <v>-1.1579580609643886E-2</v>
      </c>
      <c r="I1267" s="16">
        <f t="shared" si="53"/>
        <v>-1.1316507253707926E-3</v>
      </c>
      <c r="J1267" s="16">
        <f t="shared" si="53"/>
        <v>1.310849171618332E-3</v>
      </c>
      <c r="K1267" s="16">
        <f t="shared" si="52"/>
        <v>-1.2844648151253888E-2</v>
      </c>
      <c r="L1267" s="16">
        <f t="shared" si="52"/>
        <v>-9.7692031911987588E-3</v>
      </c>
    </row>
    <row r="1268" spans="1:12" x14ac:dyDescent="0.35">
      <c r="A1268" s="18">
        <v>44092</v>
      </c>
      <c r="B1268" s="15">
        <v>309.1065673828125</v>
      </c>
      <c r="C1268" s="15">
        <v>76.213676452636719</v>
      </c>
      <c r="D1268" s="15">
        <v>183.19999694824219</v>
      </c>
      <c r="E1268" s="15">
        <v>259.14279174804688</v>
      </c>
      <c r="F1268" s="15">
        <v>157.17967224121091</v>
      </c>
      <c r="H1268" s="16">
        <f t="shared" si="53"/>
        <v>-1.1191843948962402E-2</v>
      </c>
      <c r="I1268" s="16">
        <f t="shared" si="53"/>
        <v>5.6593541750673832E-4</v>
      </c>
      <c r="J1268" s="16">
        <f t="shared" si="53"/>
        <v>-2.0291789448272941E-2</v>
      </c>
      <c r="K1268" s="16">
        <f t="shared" si="52"/>
        <v>2.3949137814275713E-3</v>
      </c>
      <c r="L1268" s="16">
        <f t="shared" si="52"/>
        <v>-1.2137814313566047E-2</v>
      </c>
    </row>
    <row r="1269" spans="1:12" x14ac:dyDescent="0.35">
      <c r="A1269" s="18">
        <v>44095</v>
      </c>
      <c r="B1269" s="15">
        <v>305.6663818359375</v>
      </c>
      <c r="C1269" s="15">
        <v>76.256820678710938</v>
      </c>
      <c r="D1269" s="15">
        <v>179.52000427246091</v>
      </c>
      <c r="E1269" s="15">
        <v>259.76416015625</v>
      </c>
      <c r="F1269" s="15">
        <v>155.28338623046881</v>
      </c>
      <c r="H1269" s="16">
        <f t="shared" si="53"/>
        <v>1.0133014515814295E-2</v>
      </c>
      <c r="I1269" s="16">
        <f t="shared" si="53"/>
        <v>3.3980763733786946E-4</v>
      </c>
      <c r="J1269" s="16">
        <f t="shared" si="53"/>
        <v>-4.8580958289267369E-3</v>
      </c>
      <c r="K1269" s="16">
        <f t="shared" si="52"/>
        <v>1.8408223892874578E-2</v>
      </c>
      <c r="L1269" s="16">
        <f t="shared" si="52"/>
        <v>9.8881092288051597E-3</v>
      </c>
    </row>
    <row r="1270" spans="1:12" x14ac:dyDescent="0.35">
      <c r="A1270" s="18">
        <v>44096</v>
      </c>
      <c r="B1270" s="15">
        <v>308.77944946289063</v>
      </c>
      <c r="C1270" s="15">
        <v>76.282737731933594</v>
      </c>
      <c r="D1270" s="15">
        <v>178.6499938964844</v>
      </c>
      <c r="E1270" s="15">
        <v>264.59024047851563</v>
      </c>
      <c r="F1270" s="15">
        <v>156.82646179199219</v>
      </c>
      <c r="H1270" s="16">
        <f t="shared" si="53"/>
        <v>-2.3464293303568095E-2</v>
      </c>
      <c r="I1270" s="16">
        <f t="shared" si="53"/>
        <v>-2.2653964841159581E-3</v>
      </c>
      <c r="J1270" s="16">
        <f t="shared" si="53"/>
        <v>-2.1843335368817551E-2</v>
      </c>
      <c r="K1270" s="16">
        <f t="shared" si="52"/>
        <v>-3.1010038759071174E-2</v>
      </c>
      <c r="L1270" s="16">
        <f t="shared" si="52"/>
        <v>-2.4420334018254216E-2</v>
      </c>
    </row>
    <row r="1271" spans="1:12" x14ac:dyDescent="0.35">
      <c r="A1271" s="18">
        <v>44097</v>
      </c>
      <c r="B1271" s="15">
        <v>301.61849975585938</v>
      </c>
      <c r="C1271" s="15">
        <v>76.110122680664063</v>
      </c>
      <c r="D1271" s="15">
        <v>174.78999328613281</v>
      </c>
      <c r="E1271" s="15">
        <v>256.51119995117188</v>
      </c>
      <c r="F1271" s="15">
        <v>153.0430908203125</v>
      </c>
      <c r="H1271" s="16">
        <f t="shared" si="53"/>
        <v>2.6622267174749746E-3</v>
      </c>
      <c r="I1271" s="16">
        <f t="shared" si="53"/>
        <v>1.1336673504363707E-4</v>
      </c>
      <c r="J1271" s="16">
        <f t="shared" si="53"/>
        <v>3.7119030895908685E-3</v>
      </c>
      <c r="K1271" s="16">
        <f t="shared" si="52"/>
        <v>4.6453895751846731E-3</v>
      </c>
      <c r="L1271" s="16">
        <f t="shared" si="52"/>
        <v>2.1239001740738363E-3</v>
      </c>
    </row>
    <row r="1272" spans="1:12" x14ac:dyDescent="0.35">
      <c r="A1272" s="18">
        <v>44098</v>
      </c>
      <c r="B1272" s="15">
        <v>302.42254638671881</v>
      </c>
      <c r="C1272" s="15">
        <v>76.118751525878906</v>
      </c>
      <c r="D1272" s="15">
        <v>175.44000244140619</v>
      </c>
      <c r="E1272" s="15">
        <v>257.70556640625</v>
      </c>
      <c r="F1272" s="15">
        <v>153.36848449707031</v>
      </c>
      <c r="H1272" s="16">
        <f t="shared" si="53"/>
        <v>1.6037562173126685E-2</v>
      </c>
      <c r="I1272" s="16">
        <f t="shared" si="53"/>
        <v>-1.1336673504370319E-4</v>
      </c>
      <c r="J1272" s="16">
        <f t="shared" si="53"/>
        <v>-2.8540460781505306E-3</v>
      </c>
      <c r="K1272" s="16">
        <f t="shared" si="52"/>
        <v>2.2982733255066581E-2</v>
      </c>
      <c r="L1272" s="16">
        <f t="shared" si="52"/>
        <v>1.5962895694559651E-2</v>
      </c>
    </row>
    <row r="1273" spans="1:12" x14ac:dyDescent="0.35">
      <c r="A1273" s="18">
        <v>44099</v>
      </c>
      <c r="B1273" s="15">
        <v>307.311767578125</v>
      </c>
      <c r="C1273" s="15">
        <v>76.110122680664063</v>
      </c>
      <c r="D1273" s="15">
        <v>174.94000244140619</v>
      </c>
      <c r="E1273" s="15">
        <v>263.69692993164063</v>
      </c>
      <c r="F1273" s="15">
        <v>155.8363342285156</v>
      </c>
      <c r="H1273" s="16">
        <f t="shared" si="53"/>
        <v>1.6472823517874161E-2</v>
      </c>
      <c r="I1273" s="16">
        <f t="shared" si="53"/>
        <v>9.0647407704151693E-4</v>
      </c>
      <c r="J1273" s="16">
        <f t="shared" si="53"/>
        <v>1.0010290107422323E-2</v>
      </c>
      <c r="K1273" s="16">
        <f t="shared" si="52"/>
        <v>2.0556240846997597E-2</v>
      </c>
      <c r="L1273" s="16">
        <f t="shared" si="52"/>
        <v>1.7985528424944622E-2</v>
      </c>
    </row>
    <row r="1274" spans="1:12" x14ac:dyDescent="0.35">
      <c r="A1274" s="18">
        <v>44102</v>
      </c>
      <c r="B1274" s="15">
        <v>312.41598510742188</v>
      </c>
      <c r="C1274" s="15">
        <v>76.179145812988281</v>
      </c>
      <c r="D1274" s="15">
        <v>176.69999694824219</v>
      </c>
      <c r="E1274" s="15">
        <v>269.17364501953119</v>
      </c>
      <c r="F1274" s="15">
        <v>158.66448974609381</v>
      </c>
      <c r="H1274" s="16">
        <f t="shared" si="53"/>
        <v>-5.4608788875650151E-3</v>
      </c>
      <c r="I1274" s="16">
        <f t="shared" si="53"/>
        <v>6.7959195462980869E-4</v>
      </c>
      <c r="J1274" s="16">
        <f t="shared" si="53"/>
        <v>8.3970483856552758E-3</v>
      </c>
      <c r="K1274" s="16">
        <f t="shared" si="52"/>
        <v>-4.5195775534937112E-3</v>
      </c>
      <c r="L1274" s="16">
        <f t="shared" si="52"/>
        <v>-5.6047019475943564E-3</v>
      </c>
    </row>
    <row r="1275" spans="1:12" x14ac:dyDescent="0.35">
      <c r="A1275" s="18">
        <v>44103</v>
      </c>
      <c r="B1275" s="15">
        <v>310.71456909179688</v>
      </c>
      <c r="C1275" s="15">
        <v>76.230934143066406</v>
      </c>
      <c r="D1275" s="15">
        <v>178.19000244140619</v>
      </c>
      <c r="E1275" s="15">
        <v>267.9598388671875</v>
      </c>
      <c r="F1275" s="15">
        <v>157.7777099609375</v>
      </c>
      <c r="H1275" s="16">
        <f t="shared" si="53"/>
        <v>7.5533918356989116E-3</v>
      </c>
      <c r="I1275" s="16">
        <f t="shared" si="53"/>
        <v>-1.5860660316712458E-3</v>
      </c>
      <c r="J1275" s="16">
        <f t="shared" si="53"/>
        <v>-6.0229690479584284E-3</v>
      </c>
      <c r="K1275" s="16">
        <f t="shared" si="52"/>
        <v>6.8255730455254147E-3</v>
      </c>
      <c r="L1275" s="16">
        <f t="shared" si="52"/>
        <v>7.4851750833644813E-3</v>
      </c>
    </row>
    <row r="1276" spans="1:12" x14ac:dyDescent="0.35">
      <c r="A1276" s="18">
        <v>44104</v>
      </c>
      <c r="B1276" s="15">
        <v>313.07040405273438</v>
      </c>
      <c r="C1276" s="15">
        <v>76.110122680664063</v>
      </c>
      <c r="D1276" s="15">
        <v>177.1199951171875</v>
      </c>
      <c r="E1276" s="15">
        <v>269.79507446289063</v>
      </c>
      <c r="F1276" s="15">
        <v>158.963134765625</v>
      </c>
      <c r="H1276" s="16">
        <f t="shared" si="53"/>
        <v>6.3994024614785353E-3</v>
      </c>
      <c r="I1276" s="16">
        <f t="shared" si="53"/>
        <v>1.0220413029458158E-3</v>
      </c>
      <c r="J1276" s="16">
        <f t="shared" si="53"/>
        <v>8.8809636953290777E-3</v>
      </c>
      <c r="K1276" s="16">
        <f t="shared" si="52"/>
        <v>1.5747945162694042E-2</v>
      </c>
      <c r="L1276" s="16">
        <f t="shared" si="52"/>
        <v>8.3029850915063257E-3</v>
      </c>
    </row>
    <row r="1277" spans="1:12" x14ac:dyDescent="0.35">
      <c r="A1277" s="18">
        <v>44105</v>
      </c>
      <c r="B1277" s="15">
        <v>315.08029174804688</v>
      </c>
      <c r="C1277" s="15">
        <v>76.187950134277344</v>
      </c>
      <c r="D1277" s="15">
        <v>178.69999694824219</v>
      </c>
      <c r="E1277" s="15">
        <v>274.07742309570313</v>
      </c>
      <c r="F1277" s="15">
        <v>160.28849792480469</v>
      </c>
      <c r="H1277" s="16">
        <f t="shared" si="53"/>
        <v>-9.5398161564689641E-3</v>
      </c>
      <c r="I1277" s="16">
        <f t="shared" si="53"/>
        <v>-6.8087736535498919E-4</v>
      </c>
      <c r="J1277" s="16">
        <f t="shared" si="53"/>
        <v>-8.9577694089361382E-4</v>
      </c>
      <c r="K1277" s="16">
        <f t="shared" si="52"/>
        <v>-2.8534527772684847E-2</v>
      </c>
      <c r="L1277" s="16">
        <f t="shared" si="52"/>
        <v>-7.8333228721112202E-3</v>
      </c>
    </row>
    <row r="1278" spans="1:12" x14ac:dyDescent="0.35">
      <c r="A1278" s="18">
        <v>44106</v>
      </c>
      <c r="B1278" s="15">
        <v>312.08877563476563</v>
      </c>
      <c r="C1278" s="15">
        <v>76.136093139648438</v>
      </c>
      <c r="D1278" s="15">
        <v>178.53999328613281</v>
      </c>
      <c r="E1278" s="15">
        <v>266.36727905273438</v>
      </c>
      <c r="F1278" s="15">
        <v>159.0378112792969</v>
      </c>
      <c r="H1278" s="16">
        <f t="shared" si="53"/>
        <v>1.7577703921321072E-2</v>
      </c>
      <c r="I1278" s="16">
        <f t="shared" si="53"/>
        <v>-3.7529840140223159E-3</v>
      </c>
      <c r="J1278" s="16">
        <f t="shared" si="53"/>
        <v>4.8610816963103069E-3</v>
      </c>
      <c r="K1278" s="16">
        <f t="shared" si="52"/>
        <v>2.110209529579574E-2</v>
      </c>
      <c r="L1278" s="16">
        <f t="shared" si="52"/>
        <v>1.7857011166998529E-2</v>
      </c>
    </row>
    <row r="1279" spans="1:12" x14ac:dyDescent="0.35">
      <c r="A1279" s="18">
        <v>44109</v>
      </c>
      <c r="B1279" s="15">
        <v>317.62307739257813</v>
      </c>
      <c r="C1279" s="15">
        <v>75.85089111328125</v>
      </c>
      <c r="D1279" s="15">
        <v>179.4100036621094</v>
      </c>
      <c r="E1279" s="15">
        <v>272.04791259765619</v>
      </c>
      <c r="F1279" s="15">
        <v>161.90325927734381</v>
      </c>
      <c r="H1279" s="16">
        <f t="shared" si="53"/>
        <v>-1.4317983875650586E-2</v>
      </c>
      <c r="I1279" s="16">
        <f t="shared" si="53"/>
        <v>1.3660046734852722E-3</v>
      </c>
      <c r="J1279" s="16">
        <f t="shared" si="53"/>
        <v>-1.1830479550692923E-2</v>
      </c>
      <c r="K1279" s="16">
        <f t="shared" si="52"/>
        <v>-1.8008124064892925E-2</v>
      </c>
      <c r="L1279" s="16">
        <f t="shared" si="52"/>
        <v>-1.2413957755538368E-2</v>
      </c>
    </row>
    <row r="1280" spans="1:12" x14ac:dyDescent="0.35">
      <c r="A1280" s="18">
        <v>44110</v>
      </c>
      <c r="B1280" s="15">
        <v>313.10775756835938</v>
      </c>
      <c r="C1280" s="15">
        <v>75.954574584960938</v>
      </c>
      <c r="D1280" s="15">
        <v>177.30000305175781</v>
      </c>
      <c r="E1280" s="15">
        <v>267.19268798828119</v>
      </c>
      <c r="F1280" s="15">
        <v>159.90582275390619</v>
      </c>
      <c r="H1280" s="16">
        <f t="shared" si="53"/>
        <v>1.7256913658025085E-2</v>
      </c>
      <c r="I1280" s="16">
        <f t="shared" si="53"/>
        <v>-1.3660046734851412E-3</v>
      </c>
      <c r="J1280" s="16">
        <f t="shared" si="53"/>
        <v>-4.5132478533550254E-4</v>
      </c>
      <c r="K1280" s="16">
        <f t="shared" si="52"/>
        <v>1.715128401928729E-2</v>
      </c>
      <c r="L1280" s="16">
        <f t="shared" si="52"/>
        <v>1.7302140874255731E-2</v>
      </c>
    </row>
    <row r="1281" spans="1:12" x14ac:dyDescent="0.35">
      <c r="A1281" s="18">
        <v>44111</v>
      </c>
      <c r="B1281" s="15">
        <v>318.55792236328119</v>
      </c>
      <c r="C1281" s="15">
        <v>75.85089111328125</v>
      </c>
      <c r="D1281" s="15">
        <v>177.2200012207031</v>
      </c>
      <c r="E1281" s="15">
        <v>271.81491088867188</v>
      </c>
      <c r="F1281" s="15">
        <v>162.69660949707031</v>
      </c>
      <c r="H1281" s="16">
        <f t="shared" si="53"/>
        <v>8.8236238280236037E-3</v>
      </c>
      <c r="I1281" s="16">
        <f t="shared" si="53"/>
        <v>1.707264689509556E-3</v>
      </c>
      <c r="J1281" s="16">
        <f t="shared" si="53"/>
        <v>3.5486272055745486E-3</v>
      </c>
      <c r="K1281" s="16">
        <f t="shared" si="52"/>
        <v>5.30865269380177E-3</v>
      </c>
      <c r="L1281" s="16">
        <f t="shared" si="52"/>
        <v>8.7392052173925101E-3</v>
      </c>
    </row>
    <row r="1282" spans="1:12" x14ac:dyDescent="0.35">
      <c r="A1282" s="18">
        <v>44112</v>
      </c>
      <c r="B1282" s="15">
        <v>321.38119506835938</v>
      </c>
      <c r="C1282" s="15">
        <v>75.980499267578125</v>
      </c>
      <c r="D1282" s="15">
        <v>177.8500061035156</v>
      </c>
      <c r="E1282" s="15">
        <v>273.26171875</v>
      </c>
      <c r="F1282" s="15">
        <v>164.12467956542969</v>
      </c>
      <c r="H1282" s="16">
        <f t="shared" si="53"/>
        <v>8.890269259394578E-3</v>
      </c>
      <c r="I1282" s="16">
        <f t="shared" si="53"/>
        <v>2.2760931155886005E-4</v>
      </c>
      <c r="J1282" s="16">
        <f t="shared" si="53"/>
        <v>1.7998399966815723E-2</v>
      </c>
      <c r="K1282" s="16">
        <f t="shared" si="52"/>
        <v>1.5164679923680636E-2</v>
      </c>
      <c r="L1282" s="16">
        <f t="shared" si="52"/>
        <v>8.3816009510400257E-3</v>
      </c>
    </row>
    <row r="1283" spans="1:12" x14ac:dyDescent="0.35">
      <c r="A1283" s="18">
        <v>44113</v>
      </c>
      <c r="B1283" s="15">
        <v>324.2510986328125</v>
      </c>
      <c r="C1283" s="15">
        <v>75.997795104980469</v>
      </c>
      <c r="D1283" s="15">
        <v>181.08000183105469</v>
      </c>
      <c r="E1283" s="15">
        <v>277.43722534179688</v>
      </c>
      <c r="F1283" s="15">
        <v>165.50608825683591</v>
      </c>
      <c r="H1283" s="16">
        <f t="shared" si="53"/>
        <v>1.5959777540850959E-2</v>
      </c>
      <c r="I1283" s="16">
        <f t="shared" si="53"/>
        <v>1.477146558386903E-3</v>
      </c>
      <c r="J1283" s="16">
        <f t="shared" si="53"/>
        <v>-2.8758136916340231E-3</v>
      </c>
      <c r="K1283" s="16">
        <f t="shared" si="52"/>
        <v>3.0403520476970605E-2</v>
      </c>
      <c r="L1283" s="16">
        <f t="shared" si="52"/>
        <v>1.4723183753888803E-2</v>
      </c>
    </row>
    <row r="1284" spans="1:12" x14ac:dyDescent="0.35">
      <c r="A1284" s="18">
        <v>44116</v>
      </c>
      <c r="B1284" s="15">
        <v>329.46759033203119</v>
      </c>
      <c r="C1284" s="15">
        <v>76.110137939453125</v>
      </c>
      <c r="D1284" s="15">
        <v>180.55999755859381</v>
      </c>
      <c r="E1284" s="15">
        <v>286.0018310546875</v>
      </c>
      <c r="F1284" s="15">
        <v>167.96089172363281</v>
      </c>
      <c r="H1284" s="16">
        <f t="shared" si="53"/>
        <v>-6.5474194326845085E-3</v>
      </c>
      <c r="I1284" s="16">
        <f t="shared" si="53"/>
        <v>7.9439900801607695E-4</v>
      </c>
      <c r="J1284" s="16">
        <f t="shared" si="53"/>
        <v>-1.585383405158371E-2</v>
      </c>
      <c r="K1284" s="16">
        <f t="shared" si="52"/>
        <v>-3.4145906314600543E-5</v>
      </c>
      <c r="L1284" s="16">
        <f t="shared" si="52"/>
        <v>-5.2933015904931616E-3</v>
      </c>
    </row>
    <row r="1285" spans="1:12" x14ac:dyDescent="0.35">
      <c r="A1285" s="18">
        <v>44117</v>
      </c>
      <c r="B1285" s="15">
        <v>327.31747436523438</v>
      </c>
      <c r="C1285" s="15">
        <v>76.170623779296875</v>
      </c>
      <c r="D1285" s="15">
        <v>177.7200012207031</v>
      </c>
      <c r="E1285" s="15">
        <v>285.9920654296875</v>
      </c>
      <c r="F1285" s="15">
        <v>167.07417297363281</v>
      </c>
      <c r="H1285" s="16">
        <f t="shared" si="53"/>
        <v>-6.3033313755767838E-3</v>
      </c>
      <c r="I1285" s="16">
        <f t="shared" si="53"/>
        <v>5.671561477589395E-4</v>
      </c>
      <c r="J1285" s="16">
        <f t="shared" si="53"/>
        <v>3.0899939936110464E-3</v>
      </c>
      <c r="K1285" s="16">
        <f t="shared" si="52"/>
        <v>-8.3874142125892111E-3</v>
      </c>
      <c r="L1285" s="16">
        <f t="shared" si="52"/>
        <v>-6.6703405712216597E-3</v>
      </c>
    </row>
    <row r="1286" spans="1:12" x14ac:dyDescent="0.35">
      <c r="A1286" s="18">
        <v>44118</v>
      </c>
      <c r="B1286" s="15">
        <v>325.26077270507813</v>
      </c>
      <c r="C1286" s="15">
        <v>76.213836669921875</v>
      </c>
      <c r="D1286" s="15">
        <v>178.27000427246091</v>
      </c>
      <c r="E1286" s="15">
        <v>283.60336303710938</v>
      </c>
      <c r="F1286" s="15">
        <v>165.96343994140619</v>
      </c>
      <c r="H1286" s="16">
        <f t="shared" si="53"/>
        <v>-1.2368145279185666E-3</v>
      </c>
      <c r="I1286" s="16">
        <f t="shared" si="53"/>
        <v>-5.6715614775886144E-4</v>
      </c>
      <c r="J1286" s="16">
        <f t="shared" si="53"/>
        <v>3.6394894007116701E-3</v>
      </c>
      <c r="K1286" s="16">
        <f t="shared" si="52"/>
        <v>-6.7335014194708697E-3</v>
      </c>
      <c r="L1286" s="16">
        <f t="shared" si="52"/>
        <v>3.3727341744393041E-4</v>
      </c>
    </row>
    <row r="1287" spans="1:12" x14ac:dyDescent="0.35">
      <c r="A1287" s="18">
        <v>44119</v>
      </c>
      <c r="B1287" s="15">
        <v>324.85873413085938</v>
      </c>
      <c r="C1287" s="15">
        <v>76.170623779296875</v>
      </c>
      <c r="D1287" s="15">
        <v>178.91999816894531</v>
      </c>
      <c r="E1287" s="15">
        <v>281.70013427734381</v>
      </c>
      <c r="F1287" s="15">
        <v>166.01942443847659</v>
      </c>
      <c r="H1287" s="16">
        <f t="shared" si="53"/>
        <v>-6.0431760490237379E-4</v>
      </c>
      <c r="I1287" s="16">
        <f t="shared" si="53"/>
        <v>-7.9439900801602046E-4</v>
      </c>
      <c r="J1287" s="16">
        <f t="shared" si="53"/>
        <v>-3.4712263457632483E-3</v>
      </c>
      <c r="K1287" s="16">
        <f t="shared" si="52"/>
        <v>-5.4959951023370287E-3</v>
      </c>
      <c r="L1287" s="16">
        <f t="shared" si="52"/>
        <v>-1.8006599249284032E-3</v>
      </c>
    </row>
    <row r="1288" spans="1:12" x14ac:dyDescent="0.35">
      <c r="A1288" s="18">
        <v>44120</v>
      </c>
      <c r="B1288" s="15">
        <v>324.6624755859375</v>
      </c>
      <c r="C1288" s="15">
        <v>76.110137939453125</v>
      </c>
      <c r="D1288" s="15">
        <v>178.30000305175781</v>
      </c>
      <c r="E1288" s="15">
        <v>280.15615844726563</v>
      </c>
      <c r="F1288" s="15">
        <v>165.72074890136719</v>
      </c>
      <c r="H1288" s="16">
        <f t="shared" si="53"/>
        <v>-1.5320254045521411E-2</v>
      </c>
      <c r="I1288" s="16">
        <f t="shared" si="53"/>
        <v>-9.0860065913597526E-4</v>
      </c>
      <c r="J1288" s="16">
        <f t="shared" si="53"/>
        <v>5.0461935677663427E-4</v>
      </c>
      <c r="K1288" s="16">
        <f t="shared" si="52"/>
        <v>-1.6460046274660092E-2</v>
      </c>
      <c r="L1288" s="16">
        <f t="shared" si="52"/>
        <v>-1.4409334510377837E-2</v>
      </c>
    </row>
    <row r="1289" spans="1:12" x14ac:dyDescent="0.35">
      <c r="A1289" s="18">
        <v>44123</v>
      </c>
      <c r="B1289" s="15">
        <v>319.72647094726563</v>
      </c>
      <c r="C1289" s="15">
        <v>76.041015625</v>
      </c>
      <c r="D1289" s="15">
        <v>178.38999938964841</v>
      </c>
      <c r="E1289" s="15">
        <v>275.58251953125</v>
      </c>
      <c r="F1289" s="15">
        <v>163.3499450683594</v>
      </c>
      <c r="H1289" s="16">
        <f t="shared" si="53"/>
        <v>3.9976124369032993E-3</v>
      </c>
      <c r="I1289" s="16">
        <f t="shared" si="53"/>
        <v>-1.706708854938133E-3</v>
      </c>
      <c r="J1289" s="16">
        <f t="shared" si="53"/>
        <v>4.8093181379985995E-3</v>
      </c>
      <c r="K1289" s="16">
        <f t="shared" si="52"/>
        <v>2.1473473831092734E-3</v>
      </c>
      <c r="L1289" s="16">
        <f t="shared" si="52"/>
        <v>3.4795951672075952E-3</v>
      </c>
    </row>
    <row r="1290" spans="1:12" x14ac:dyDescent="0.35">
      <c r="A1290" s="18">
        <v>44124</v>
      </c>
      <c r="B1290" s="15">
        <v>321.00717163085938</v>
      </c>
      <c r="C1290" s="15">
        <v>75.911346435546875</v>
      </c>
      <c r="D1290" s="15">
        <v>179.25</v>
      </c>
      <c r="E1290" s="15">
        <v>276.1749267578125</v>
      </c>
      <c r="F1290" s="15">
        <v>163.91932678222659</v>
      </c>
      <c r="H1290" s="16">
        <f t="shared" si="53"/>
        <v>-1.8945064946901638E-3</v>
      </c>
      <c r="I1290" s="16">
        <f t="shared" si="53"/>
        <v>-1.1385542798870579E-3</v>
      </c>
      <c r="J1290" s="16">
        <f t="shared" si="53"/>
        <v>7.50319529892209E-3</v>
      </c>
      <c r="K1290" s="16">
        <f t="shared" si="52"/>
        <v>-7.7402678733765301E-4</v>
      </c>
      <c r="L1290" s="16">
        <f t="shared" si="52"/>
        <v>-3.4221486481497321E-3</v>
      </c>
    </row>
    <row r="1291" spans="1:12" x14ac:dyDescent="0.35">
      <c r="A1291" s="18">
        <v>44125</v>
      </c>
      <c r="B1291" s="15">
        <v>320.39959716796881</v>
      </c>
      <c r="C1291" s="15">
        <v>75.824966430664063</v>
      </c>
      <c r="D1291" s="15">
        <v>180.6000061035156</v>
      </c>
      <c r="E1291" s="15">
        <v>275.96124267578119</v>
      </c>
      <c r="F1291" s="15">
        <v>163.35932922363281</v>
      </c>
      <c r="H1291" s="16">
        <f t="shared" si="53"/>
        <v>5.4700866069440635E-3</v>
      </c>
      <c r="I1291" s="16">
        <f t="shared" si="53"/>
        <v>-1.7112735971071729E-3</v>
      </c>
      <c r="J1291" s="16">
        <f t="shared" si="53"/>
        <v>-9.8490306396270457E-3</v>
      </c>
      <c r="K1291" s="16">
        <f t="shared" si="52"/>
        <v>-3.5388294750107291E-5</v>
      </c>
      <c r="L1291" s="16">
        <f t="shared" si="52"/>
        <v>7.0599801751758708E-3</v>
      </c>
    </row>
    <row r="1292" spans="1:12" x14ac:dyDescent="0.35">
      <c r="A1292" s="18">
        <v>44126</v>
      </c>
      <c r="B1292" s="15">
        <v>322.15701293945313</v>
      </c>
      <c r="C1292" s="15">
        <v>75.695320129394531</v>
      </c>
      <c r="D1292" s="15">
        <v>178.83000183105469</v>
      </c>
      <c r="E1292" s="15">
        <v>275.95147705078119</v>
      </c>
      <c r="F1292" s="15">
        <v>164.5167236328125</v>
      </c>
      <c r="H1292" s="16">
        <f t="shared" si="53"/>
        <v>3.3896165672564157E-3</v>
      </c>
      <c r="I1292" s="16">
        <f t="shared" si="53"/>
        <v>1.2552672097455441E-3</v>
      </c>
      <c r="J1292" s="16">
        <f t="shared" si="53"/>
        <v>-1.0630400237793285E-3</v>
      </c>
      <c r="K1292" s="16">
        <f t="shared" si="52"/>
        <v>1.9688915845492844E-3</v>
      </c>
      <c r="L1292" s="16">
        <f t="shared" si="52"/>
        <v>3.2852453604865581E-3</v>
      </c>
    </row>
    <row r="1293" spans="1:12" x14ac:dyDescent="0.35">
      <c r="A1293" s="18">
        <v>44127</v>
      </c>
      <c r="B1293" s="15">
        <v>323.2508544921875</v>
      </c>
      <c r="C1293" s="15">
        <v>75.790397644042969</v>
      </c>
      <c r="D1293" s="15">
        <v>178.63999938964841</v>
      </c>
      <c r="E1293" s="15">
        <v>276.49533081054688</v>
      </c>
      <c r="F1293" s="15">
        <v>165.05809020996091</v>
      </c>
      <c r="H1293" s="16">
        <f t="shared" si="53"/>
        <v>-1.8652753038749231E-2</v>
      </c>
      <c r="I1293" s="16">
        <f t="shared" si="53"/>
        <v>1.4811857200960593E-3</v>
      </c>
      <c r="J1293" s="16">
        <f t="shared" si="53"/>
        <v>-5.0391298289339896E-4</v>
      </c>
      <c r="K1293" s="16">
        <f t="shared" si="52"/>
        <v>-1.5109941727019717E-2</v>
      </c>
      <c r="L1293" s="16">
        <f t="shared" si="52"/>
        <v>-1.8318988369193361E-2</v>
      </c>
    </row>
    <row r="1294" spans="1:12" x14ac:dyDescent="0.35">
      <c r="A1294" s="18">
        <v>44130</v>
      </c>
      <c r="B1294" s="15">
        <v>317.2772216796875</v>
      </c>
      <c r="C1294" s="15">
        <v>75.902740478515625</v>
      </c>
      <c r="D1294" s="15">
        <v>178.55000305175781</v>
      </c>
      <c r="E1294" s="15">
        <v>272.34890747070313</v>
      </c>
      <c r="F1294" s="15">
        <v>162.0619201660156</v>
      </c>
      <c r="H1294" s="16">
        <f t="shared" si="53"/>
        <v>-3.4535459247188819E-3</v>
      </c>
      <c r="I1294" s="16">
        <f t="shared" si="53"/>
        <v>2.3878052623048287E-3</v>
      </c>
      <c r="J1294" s="16">
        <f t="shared" si="53"/>
        <v>2.6288641762705523E-3</v>
      </c>
      <c r="K1294" s="16">
        <f t="shared" si="52"/>
        <v>7.7782133590839162E-3</v>
      </c>
      <c r="L1294" s="16">
        <f t="shared" si="52"/>
        <v>-4.0398263156194566E-3</v>
      </c>
    </row>
    <row r="1295" spans="1:12" x14ac:dyDescent="0.35">
      <c r="A1295" s="18">
        <v>44131</v>
      </c>
      <c r="B1295" s="15">
        <v>316.18338012695313</v>
      </c>
      <c r="C1295" s="15">
        <v>76.084197998046875</v>
      </c>
      <c r="D1295" s="15">
        <v>179.02000427246091</v>
      </c>
      <c r="E1295" s="15">
        <v>274.47555541992188</v>
      </c>
      <c r="F1295" s="15">
        <v>161.4085388183594</v>
      </c>
      <c r="H1295" s="16">
        <f t="shared" si="53"/>
        <v>-3.4776536019351788E-2</v>
      </c>
      <c r="I1295" s="16">
        <f t="shared" si="53"/>
        <v>-1.3638766710236687E-3</v>
      </c>
      <c r="J1295" s="16">
        <f t="shared" si="53"/>
        <v>-1.627516884164314E-2</v>
      </c>
      <c r="K1295" s="16">
        <f t="shared" si="52"/>
        <v>-3.9767381539903592E-2</v>
      </c>
      <c r="L1295" s="16">
        <f t="shared" si="52"/>
        <v>-3.3695877264653749E-2</v>
      </c>
    </row>
    <row r="1296" spans="1:12" x14ac:dyDescent="0.35">
      <c r="A1296" s="18">
        <v>44132</v>
      </c>
      <c r="B1296" s="15">
        <v>305.37661743164063</v>
      </c>
      <c r="C1296" s="15">
        <v>75.980499267578125</v>
      </c>
      <c r="D1296" s="15">
        <v>176.1300048828125</v>
      </c>
      <c r="E1296" s="15">
        <v>263.77456665039063</v>
      </c>
      <c r="F1296" s="15">
        <v>156.06034851074219</v>
      </c>
      <c r="H1296" s="16">
        <f t="shared" si="53"/>
        <v>1.011221021846411E-2</v>
      </c>
      <c r="I1296" s="16">
        <f t="shared" si="53"/>
        <v>-2.1637189653097829E-3</v>
      </c>
      <c r="J1296" s="16">
        <f t="shared" si="53"/>
        <v>-4.1533413265920091E-3</v>
      </c>
      <c r="K1296" s="16">
        <f t="shared" si="52"/>
        <v>1.7335347456200714E-2</v>
      </c>
      <c r="L1296" s="16">
        <f t="shared" si="52"/>
        <v>9.4053814743590945E-3</v>
      </c>
    </row>
    <row r="1297" spans="1:12" x14ac:dyDescent="0.35">
      <c r="A1297" s="18">
        <v>44133</v>
      </c>
      <c r="B1297" s="15">
        <v>308.48031616210938</v>
      </c>
      <c r="C1297" s="15">
        <v>75.816276550292969</v>
      </c>
      <c r="D1297" s="15">
        <v>175.3999938964844</v>
      </c>
      <c r="E1297" s="15">
        <v>268.38705444335938</v>
      </c>
      <c r="F1297" s="15">
        <v>157.53507995605469</v>
      </c>
      <c r="H1297" s="16">
        <f t="shared" si="53"/>
        <v>-1.0479735923537353E-2</v>
      </c>
      <c r="I1297" s="16">
        <f t="shared" si="53"/>
        <v>-1.7107642905350127E-3</v>
      </c>
      <c r="J1297" s="16">
        <f t="shared" si="53"/>
        <v>4.5506510418399249E-3</v>
      </c>
      <c r="K1297" s="16">
        <f t="shared" si="52"/>
        <v>-2.5689825546573841E-2</v>
      </c>
      <c r="L1297" s="16">
        <f t="shared" si="52"/>
        <v>-1.0662089728869246E-2</v>
      </c>
    </row>
    <row r="1298" spans="1:12" x14ac:dyDescent="0.35">
      <c r="A1298" s="18">
        <v>44134</v>
      </c>
      <c r="B1298" s="15">
        <v>305.264404296875</v>
      </c>
      <c r="C1298" s="15">
        <v>75.686683654785156</v>
      </c>
      <c r="D1298" s="15">
        <v>176.19999694824219</v>
      </c>
      <c r="E1298" s="15">
        <v>261.58004760742188</v>
      </c>
      <c r="F1298" s="15">
        <v>155.8643493652344</v>
      </c>
      <c r="H1298" s="16">
        <f t="shared" si="53"/>
        <v>1.1146194768858635E-2</v>
      </c>
      <c r="I1298" s="16">
        <f t="shared" si="53"/>
        <v>1.3831598714975435E-3</v>
      </c>
      <c r="J1298" s="16">
        <f t="shared" si="53"/>
        <v>9.6581288485123908E-3</v>
      </c>
      <c r="K1298" s="16">
        <f t="shared" si="52"/>
        <v>2.2247997625231566E-3</v>
      </c>
      <c r="L1298" s="16">
        <f t="shared" si="52"/>
        <v>1.0365558449985098E-2</v>
      </c>
    </row>
    <row r="1299" spans="1:12" x14ac:dyDescent="0.35">
      <c r="A1299" s="18">
        <v>44137</v>
      </c>
      <c r="B1299" s="15">
        <v>308.68597412109381</v>
      </c>
      <c r="C1299" s="15">
        <v>75.79144287109375</v>
      </c>
      <c r="D1299" s="15">
        <v>177.9100036621094</v>
      </c>
      <c r="E1299" s="15">
        <v>262.16265869140619</v>
      </c>
      <c r="F1299" s="15">
        <v>157.4883728027344</v>
      </c>
      <c r="H1299" s="16">
        <f t="shared" si="53"/>
        <v>1.7501571612955784E-2</v>
      </c>
      <c r="I1299" s="16">
        <f t="shared" si="53"/>
        <v>-2.285311367510975E-4</v>
      </c>
      <c r="J1299" s="16">
        <f t="shared" si="53"/>
        <v>5.6609432999777283E-3</v>
      </c>
      <c r="K1299" s="16">
        <f t="shared" si="53"/>
        <v>1.7149833681947221E-2</v>
      </c>
      <c r="L1299" s="16">
        <f t="shared" si="53"/>
        <v>1.9020360204758609E-2</v>
      </c>
    </row>
    <row r="1300" spans="1:12" x14ac:dyDescent="0.35">
      <c r="A1300" s="18">
        <v>44138</v>
      </c>
      <c r="B1300" s="15">
        <v>314.13601684570313</v>
      </c>
      <c r="C1300" s="15">
        <v>75.774124145507813</v>
      </c>
      <c r="D1300" s="15">
        <v>178.91999816894531</v>
      </c>
      <c r="E1300" s="15">
        <v>266.69747924804688</v>
      </c>
      <c r="F1300" s="15">
        <v>160.51252746582031</v>
      </c>
      <c r="H1300" s="16">
        <f t="shared" ref="H1300:K1363" si="54">LN(B1301/B1300)</f>
        <v>2.2103408474339729E-2</v>
      </c>
      <c r="I1300" s="16">
        <f t="shared" si="54"/>
        <v>6.8309171661780754E-3</v>
      </c>
      <c r="J1300" s="16">
        <f t="shared" si="54"/>
        <v>-5.5901406493555762E-4</v>
      </c>
      <c r="K1300" s="16">
        <f t="shared" si="54"/>
        <v>4.3670976371725692E-2</v>
      </c>
      <c r="L1300" s="16">
        <f t="shared" ref="L1300:L1363" si="55">LN(F1301/F1300)</f>
        <v>2.1572029067952764E-2</v>
      </c>
    </row>
    <row r="1301" spans="1:12" x14ac:dyDescent="0.35">
      <c r="A1301" s="18">
        <v>44139</v>
      </c>
      <c r="B1301" s="15">
        <v>321.15679931640619</v>
      </c>
      <c r="C1301" s="15">
        <v>76.293502807617188</v>
      </c>
      <c r="D1301" s="15">
        <v>178.82000732421881</v>
      </c>
      <c r="E1301" s="15">
        <v>278.60247802734381</v>
      </c>
      <c r="F1301" s="15">
        <v>164.0127258300781</v>
      </c>
      <c r="H1301" s="16">
        <f t="shared" si="54"/>
        <v>1.9314968622800677E-2</v>
      </c>
      <c r="I1301" s="16">
        <f t="shared" si="54"/>
        <v>1.020884644052361E-3</v>
      </c>
      <c r="J1301" s="16">
        <f t="shared" si="54"/>
        <v>2.2723771699055102E-2</v>
      </c>
      <c r="K1301" s="16">
        <f t="shared" si="54"/>
        <v>2.5737097530229455E-2</v>
      </c>
      <c r="L1301" s="16">
        <f t="shared" si="55"/>
        <v>2.0447022434183181E-2</v>
      </c>
    </row>
    <row r="1302" spans="1:12" x14ac:dyDescent="0.35">
      <c r="A1302" s="18">
        <v>44140</v>
      </c>
      <c r="B1302" s="15">
        <v>327.42022705078119</v>
      </c>
      <c r="C1302" s="15">
        <v>76.371429443359375</v>
      </c>
      <c r="D1302" s="15">
        <v>182.92999267578119</v>
      </c>
      <c r="E1302" s="15">
        <v>285.865966796875</v>
      </c>
      <c r="F1302" s="15">
        <v>167.40081787109381</v>
      </c>
      <c r="H1302" s="16">
        <f t="shared" si="54"/>
        <v>-2.2847436691086619E-4</v>
      </c>
      <c r="I1302" s="16">
        <f t="shared" si="54"/>
        <v>-2.2693709155008372E-3</v>
      </c>
      <c r="J1302" s="16">
        <f t="shared" si="54"/>
        <v>1.4203529597109255E-3</v>
      </c>
      <c r="K1302" s="16">
        <f t="shared" si="54"/>
        <v>7.4668484006180859E-4</v>
      </c>
      <c r="L1302" s="16">
        <f t="shared" si="55"/>
        <v>-5.0191341292418073E-4</v>
      </c>
    </row>
    <row r="1303" spans="1:12" x14ac:dyDescent="0.35">
      <c r="A1303" s="18">
        <v>44141</v>
      </c>
      <c r="B1303" s="15">
        <v>327.34542846679688</v>
      </c>
      <c r="C1303" s="15">
        <v>76.198310852050781</v>
      </c>
      <c r="D1303" s="15">
        <v>183.19000244140619</v>
      </c>
      <c r="E1303" s="15">
        <v>286.07949829101563</v>
      </c>
      <c r="F1303" s="15">
        <v>167.31681823730469</v>
      </c>
      <c r="H1303" s="16">
        <f t="shared" si="54"/>
        <v>1.2487552659365025E-2</v>
      </c>
      <c r="I1303" s="16">
        <f t="shared" si="54"/>
        <v>-4.6686195396122366E-3</v>
      </c>
      <c r="J1303" s="16">
        <f t="shared" si="54"/>
        <v>-4.528085614346504E-2</v>
      </c>
      <c r="K1303" s="16">
        <f t="shared" si="54"/>
        <v>-2.0645282945269211E-2</v>
      </c>
      <c r="L1303" s="16">
        <f t="shared" si="55"/>
        <v>1.1812107698925668E-2</v>
      </c>
    </row>
    <row r="1304" spans="1:12" x14ac:dyDescent="0.35">
      <c r="A1304" s="18">
        <v>44144</v>
      </c>
      <c r="B1304" s="15">
        <v>331.45880126953119</v>
      </c>
      <c r="C1304" s="15">
        <v>75.843399047851563</v>
      </c>
      <c r="D1304" s="15">
        <v>175.08000183105469</v>
      </c>
      <c r="E1304" s="15">
        <v>280.23385620117188</v>
      </c>
      <c r="F1304" s="15">
        <v>169.3049011230469</v>
      </c>
      <c r="H1304" s="16">
        <f t="shared" si="54"/>
        <v>-1.4676675188041229E-3</v>
      </c>
      <c r="I1304" s="16">
        <f t="shared" si="54"/>
        <v>-1.9426466866142337E-3</v>
      </c>
      <c r="J1304" s="16">
        <f t="shared" si="54"/>
        <v>3.3073065556017169E-3</v>
      </c>
      <c r="K1304" s="16">
        <f t="shared" si="54"/>
        <v>-1.8077291664720219E-2</v>
      </c>
      <c r="L1304" s="16">
        <f t="shared" si="55"/>
        <v>-1.6552731197805087E-3</v>
      </c>
    </row>
    <row r="1305" spans="1:12" x14ac:dyDescent="0.35">
      <c r="A1305" s="18">
        <v>44145</v>
      </c>
      <c r="B1305" s="15">
        <v>330.97268676757813</v>
      </c>
      <c r="C1305" s="15">
        <v>75.696205139160156</v>
      </c>
      <c r="D1305" s="15">
        <v>175.6600036621094</v>
      </c>
      <c r="E1305" s="15">
        <v>275.2135009765625</v>
      </c>
      <c r="F1305" s="15">
        <v>169.02488708496091</v>
      </c>
      <c r="H1305" s="16">
        <f t="shared" si="54"/>
        <v>7.4010072706307351E-3</v>
      </c>
      <c r="I1305" s="16">
        <f t="shared" si="54"/>
        <v>6.8583995132129945E-4</v>
      </c>
      <c r="J1305" s="16">
        <f t="shared" si="54"/>
        <v>-4.3359822093023501E-3</v>
      </c>
      <c r="K1305" s="16">
        <f t="shared" si="54"/>
        <v>2.2123239737614465E-2</v>
      </c>
      <c r="L1305" s="16">
        <f t="shared" si="55"/>
        <v>8.0847040995964473E-3</v>
      </c>
    </row>
    <row r="1306" spans="1:12" x14ac:dyDescent="0.35">
      <c r="A1306" s="18">
        <v>44146</v>
      </c>
      <c r="B1306" s="15">
        <v>333.43130493164063</v>
      </c>
      <c r="C1306" s="15">
        <v>75.748138427734375</v>
      </c>
      <c r="D1306" s="15">
        <v>174.8999938964844</v>
      </c>
      <c r="E1306" s="15">
        <v>281.36996459960938</v>
      </c>
      <c r="F1306" s="15">
        <v>170.3969421386719</v>
      </c>
      <c r="H1306" s="16">
        <f t="shared" si="54"/>
        <v>-9.7481826184830228E-3</v>
      </c>
      <c r="I1306" s="16">
        <f t="shared" si="54"/>
        <v>3.3091315194737135E-3</v>
      </c>
      <c r="J1306" s="16">
        <f t="shared" si="54"/>
        <v>6.0423875087801514E-3</v>
      </c>
      <c r="K1306" s="16">
        <f t="shared" si="54"/>
        <v>-4.7047946642375122E-3</v>
      </c>
      <c r="L1306" s="16">
        <f t="shared" si="55"/>
        <v>-9.9085752635286618E-3</v>
      </c>
    </row>
    <row r="1307" spans="1:12" x14ac:dyDescent="0.35">
      <c r="A1307" s="18">
        <v>44147</v>
      </c>
      <c r="B1307" s="15">
        <v>330.19674682617188</v>
      </c>
      <c r="C1307" s="15">
        <v>75.999214172363281</v>
      </c>
      <c r="D1307" s="15">
        <v>175.96000671386719</v>
      </c>
      <c r="E1307" s="15">
        <v>280.04928588867188</v>
      </c>
      <c r="F1307" s="15">
        <v>168.7168884277344</v>
      </c>
      <c r="H1307" s="16">
        <f t="shared" si="54"/>
        <v>1.3749455976595678E-2</v>
      </c>
      <c r="I1307" s="16">
        <f t="shared" si="54"/>
        <v>3.4146101884810547E-4</v>
      </c>
      <c r="J1307" s="16">
        <f t="shared" si="54"/>
        <v>6.7965650900324061E-3</v>
      </c>
      <c r="K1307" s="16">
        <f t="shared" si="54"/>
        <v>8.7346550322962516E-3</v>
      </c>
      <c r="L1307" s="16">
        <f t="shared" si="55"/>
        <v>1.4063221207202197E-2</v>
      </c>
    </row>
    <row r="1308" spans="1:12" x14ac:dyDescent="0.35">
      <c r="A1308" s="18">
        <v>44148</v>
      </c>
      <c r="B1308" s="15">
        <v>334.76812744140619</v>
      </c>
      <c r="C1308" s="15">
        <v>76.025169372558594</v>
      </c>
      <c r="D1308" s="15">
        <v>177.1600036621094</v>
      </c>
      <c r="E1308" s="15">
        <v>282.50613403320313</v>
      </c>
      <c r="F1308" s="15">
        <v>171.1063537597656</v>
      </c>
      <c r="H1308" s="16">
        <f t="shared" si="54"/>
        <v>1.2405320932156344E-2</v>
      </c>
      <c r="I1308" s="16">
        <f t="shared" si="54"/>
        <v>5.6924391019559293E-4</v>
      </c>
      <c r="J1308" s="16">
        <f t="shared" si="54"/>
        <v>-5.6502868655331343E-5</v>
      </c>
      <c r="K1308" s="16">
        <f t="shared" si="54"/>
        <v>7.7720036749719806E-3</v>
      </c>
      <c r="L1308" s="16">
        <f t="shared" si="55"/>
        <v>1.2144748327992153E-2</v>
      </c>
    </row>
    <row r="1309" spans="1:12" x14ac:dyDescent="0.35">
      <c r="A1309" s="18">
        <v>44151</v>
      </c>
      <c r="B1309" s="15">
        <v>338.9468994140625</v>
      </c>
      <c r="C1309" s="15">
        <v>76.068458557128906</v>
      </c>
      <c r="D1309" s="15">
        <v>177.1499938964844</v>
      </c>
      <c r="E1309" s="15">
        <v>284.7103271484375</v>
      </c>
      <c r="F1309" s="15">
        <v>173.19706726074219</v>
      </c>
      <c r="H1309" s="16">
        <f t="shared" si="54"/>
        <v>-5.3928430660711664E-3</v>
      </c>
      <c r="I1309" s="16">
        <f t="shared" si="54"/>
        <v>1.7055898263879327E-3</v>
      </c>
      <c r="J1309" s="16">
        <f t="shared" si="54"/>
        <v>-3.6759204841881922E-3</v>
      </c>
      <c r="K1309" s="16">
        <f t="shared" si="54"/>
        <v>-3.1771684762614853E-3</v>
      </c>
      <c r="L1309" s="16">
        <f t="shared" si="55"/>
        <v>-2.2657847544336912E-3</v>
      </c>
    </row>
    <row r="1310" spans="1:12" x14ac:dyDescent="0.35">
      <c r="A1310" s="18">
        <v>44152</v>
      </c>
      <c r="B1310" s="15">
        <v>337.12393188476563</v>
      </c>
      <c r="C1310" s="15">
        <v>76.198310852050781</v>
      </c>
      <c r="D1310" s="15">
        <v>176.5</v>
      </c>
      <c r="E1310" s="15">
        <v>283.80718994140619</v>
      </c>
      <c r="F1310" s="15">
        <v>172.8050842285156</v>
      </c>
      <c r="H1310" s="16">
        <f t="shared" si="54"/>
        <v>-1.2107900246581383E-2</v>
      </c>
      <c r="I1310" s="16">
        <f t="shared" si="54"/>
        <v>1.135579242866009E-3</v>
      </c>
      <c r="J1310" s="16">
        <f t="shared" si="54"/>
        <v>-5.7387838459727076E-3</v>
      </c>
      <c r="K1310" s="16">
        <f t="shared" si="54"/>
        <v>-7.4177145725399735E-3</v>
      </c>
      <c r="L1310" s="16">
        <f t="shared" si="55"/>
        <v>-1.0642969069024207E-2</v>
      </c>
    </row>
    <row r="1311" spans="1:12" x14ac:dyDescent="0.35">
      <c r="A1311" s="18">
        <v>44153</v>
      </c>
      <c r="B1311" s="15">
        <v>333.06668090820313</v>
      </c>
      <c r="C1311" s="15">
        <v>76.284889221191406</v>
      </c>
      <c r="D1311" s="15">
        <v>175.49000549316409</v>
      </c>
      <c r="E1311" s="15">
        <v>281.70977783203119</v>
      </c>
      <c r="F1311" s="15">
        <v>170.9756774902344</v>
      </c>
      <c r="H1311" s="16">
        <f t="shared" si="54"/>
        <v>4.2013779759619259E-3</v>
      </c>
      <c r="I1311" s="16">
        <f t="shared" si="54"/>
        <v>2.0402596800583317E-3</v>
      </c>
      <c r="J1311" s="16">
        <f t="shared" si="54"/>
        <v>-1.8822296869570197E-3</v>
      </c>
      <c r="K1311" s="16">
        <f t="shared" si="54"/>
        <v>7.7944261473080504E-3</v>
      </c>
      <c r="L1311" s="16">
        <f t="shared" si="55"/>
        <v>5.5528413055795749E-3</v>
      </c>
    </row>
    <row r="1312" spans="1:12" x14ac:dyDescent="0.35">
      <c r="A1312" s="18">
        <v>44154</v>
      </c>
      <c r="B1312" s="15">
        <v>334.46896362304688</v>
      </c>
      <c r="C1312" s="15">
        <v>76.440689086914063</v>
      </c>
      <c r="D1312" s="15">
        <v>175.1600036621094</v>
      </c>
      <c r="E1312" s="15">
        <v>283.91412353515619</v>
      </c>
      <c r="F1312" s="15">
        <v>171.92771911621091</v>
      </c>
      <c r="H1312" s="16">
        <f t="shared" si="54"/>
        <v>-6.8712564420659933E-3</v>
      </c>
      <c r="I1312" s="16">
        <f t="shared" si="54"/>
        <v>9.0554734959058622E-4</v>
      </c>
      <c r="J1312" s="16">
        <f t="shared" si="54"/>
        <v>3.0212294326432952E-3</v>
      </c>
      <c r="K1312" s="16">
        <f t="shared" si="54"/>
        <v>-6.8639807403264638E-3</v>
      </c>
      <c r="L1312" s="16">
        <f t="shared" si="55"/>
        <v>-5.2801446138171287E-3</v>
      </c>
    </row>
    <row r="1313" spans="1:12" x14ac:dyDescent="0.35">
      <c r="A1313" s="18">
        <v>44155</v>
      </c>
      <c r="B1313" s="15">
        <v>332.17861938476563</v>
      </c>
      <c r="C1313" s="15">
        <v>76.509941101074219</v>
      </c>
      <c r="D1313" s="15">
        <v>175.69000244140619</v>
      </c>
      <c r="E1313" s="15">
        <v>281.97201538085938</v>
      </c>
      <c r="F1313" s="15">
        <v>171.0223083496094</v>
      </c>
      <c r="H1313" s="16">
        <f t="shared" si="54"/>
        <v>5.9765033303808062E-3</v>
      </c>
      <c r="I1313" s="16">
        <f t="shared" si="54"/>
        <v>-7.9207205891287805E-4</v>
      </c>
      <c r="J1313" s="16">
        <f t="shared" si="54"/>
        <v>-1.9890324232127284E-2</v>
      </c>
      <c r="K1313" s="16">
        <f t="shared" si="54"/>
        <v>3.4632713046767163E-5</v>
      </c>
      <c r="L1313" s="16">
        <f t="shared" si="55"/>
        <v>8.1529725504970278E-3</v>
      </c>
    </row>
    <row r="1314" spans="1:12" x14ac:dyDescent="0.35">
      <c r="A1314" s="18">
        <v>44158</v>
      </c>
      <c r="B1314" s="15">
        <v>334.16983032226563</v>
      </c>
      <c r="C1314" s="15">
        <v>76.449363708496094</v>
      </c>
      <c r="D1314" s="15">
        <v>172.22999572753909</v>
      </c>
      <c r="E1314" s="15">
        <v>281.98178100585938</v>
      </c>
      <c r="F1314" s="15">
        <v>172.42234802246091</v>
      </c>
      <c r="H1314" s="16">
        <f t="shared" si="54"/>
        <v>1.5985229357656325E-2</v>
      </c>
      <c r="I1314" s="16">
        <f t="shared" si="54"/>
        <v>-1.0199432981011112E-3</v>
      </c>
      <c r="J1314" s="16">
        <f t="shared" si="54"/>
        <v>-1.5447030279528103E-2</v>
      </c>
      <c r="K1314" s="16">
        <f t="shared" si="54"/>
        <v>1.3952031655739515E-2</v>
      </c>
      <c r="L1314" s="16">
        <f t="shared" si="55"/>
        <v>1.5363672677798926E-2</v>
      </c>
    </row>
    <row r="1315" spans="1:12" x14ac:dyDescent="0.35">
      <c r="A1315" s="18">
        <v>44159</v>
      </c>
      <c r="B1315" s="15">
        <v>339.55453491210938</v>
      </c>
      <c r="C1315" s="15">
        <v>76.371429443359375</v>
      </c>
      <c r="D1315" s="15">
        <v>169.5899963378906</v>
      </c>
      <c r="E1315" s="15">
        <v>285.94357299804688</v>
      </c>
      <c r="F1315" s="15">
        <v>175.09184265136719</v>
      </c>
      <c r="H1315" s="16">
        <f t="shared" si="54"/>
        <v>-1.5429111998774153E-3</v>
      </c>
      <c r="I1315" s="16">
        <f t="shared" si="54"/>
        <v>-4.5344237777208849E-4</v>
      </c>
      <c r="J1315" s="16">
        <f t="shared" si="54"/>
        <v>-4.7184803715090168E-4</v>
      </c>
      <c r="K1315" s="16">
        <f t="shared" si="54"/>
        <v>6.1276375102518208E-3</v>
      </c>
      <c r="L1315" s="16">
        <f t="shared" si="55"/>
        <v>-3.7323457083924649E-4</v>
      </c>
    </row>
    <row r="1316" spans="1:12" x14ac:dyDescent="0.35">
      <c r="A1316" s="18">
        <v>44160</v>
      </c>
      <c r="B1316" s="15">
        <v>339.03103637695313</v>
      </c>
      <c r="C1316" s="15">
        <v>76.336807250976563</v>
      </c>
      <c r="D1316" s="15">
        <v>169.50999450683591</v>
      </c>
      <c r="E1316" s="15">
        <v>287.70111083984381</v>
      </c>
      <c r="F1316" s="15">
        <v>175.02650451660159</v>
      </c>
      <c r="H1316" s="16">
        <f t="shared" si="54"/>
        <v>2.7810758728021383E-3</v>
      </c>
      <c r="I1316" s="16">
        <f t="shared" si="54"/>
        <v>2.1522717521958931E-3</v>
      </c>
      <c r="J1316" s="16">
        <f t="shared" si="54"/>
        <v>-1.0198732236165079E-2</v>
      </c>
      <c r="K1316" s="16">
        <f t="shared" si="54"/>
        <v>9.1721283787290914E-3</v>
      </c>
      <c r="L1316" s="16">
        <f t="shared" si="55"/>
        <v>3.5133597149592157E-3</v>
      </c>
    </row>
    <row r="1317" spans="1:12" x14ac:dyDescent="0.35">
      <c r="A1317" s="18">
        <v>44162</v>
      </c>
      <c r="B1317" s="15">
        <v>339.9752197265625</v>
      </c>
      <c r="C1317" s="15">
        <v>76.50128173828125</v>
      </c>
      <c r="D1317" s="15">
        <v>167.78999328613281</v>
      </c>
      <c r="E1317" s="15">
        <v>290.35208129882813</v>
      </c>
      <c r="F1317" s="15">
        <v>175.64251708984381</v>
      </c>
      <c r="H1317" s="16">
        <f t="shared" si="54"/>
        <v>-4.4369054048736577E-3</v>
      </c>
      <c r="I1317" s="16">
        <f t="shared" si="54"/>
        <v>1.3569886188174434E-3</v>
      </c>
      <c r="J1317" s="16">
        <f t="shared" si="54"/>
        <v>-6.6973589201171444E-3</v>
      </c>
      <c r="K1317" s="16">
        <f t="shared" si="54"/>
        <v>2.0382278595989563E-3</v>
      </c>
      <c r="L1317" s="16">
        <f t="shared" si="55"/>
        <v>-7.8958916036816883E-3</v>
      </c>
    </row>
    <row r="1318" spans="1:12" x14ac:dyDescent="0.35">
      <c r="A1318" s="18">
        <v>44165</v>
      </c>
      <c r="B1318" s="15">
        <v>338.47012329101563</v>
      </c>
      <c r="C1318" s="15">
        <v>76.60516357421875</v>
      </c>
      <c r="D1318" s="15">
        <v>166.66999816894531</v>
      </c>
      <c r="E1318" s="15">
        <v>290.94448852539063</v>
      </c>
      <c r="F1318" s="15">
        <v>174.26112365722659</v>
      </c>
      <c r="H1318" s="16">
        <f t="shared" si="54"/>
        <v>1.0877788849073236E-2</v>
      </c>
      <c r="I1318" s="16">
        <f t="shared" si="54"/>
        <v>-3.0263483572784025E-3</v>
      </c>
      <c r="J1318" s="16">
        <f t="shared" si="54"/>
        <v>2.0840858815363694E-2</v>
      </c>
      <c r="K1318" s="16">
        <f t="shared" si="54"/>
        <v>1.2734518092046142E-2</v>
      </c>
      <c r="L1318" s="16">
        <f t="shared" si="55"/>
        <v>1.2614429475231042E-2</v>
      </c>
    </row>
    <row r="1319" spans="1:12" x14ac:dyDescent="0.35">
      <c r="A1319" s="18">
        <v>44166</v>
      </c>
      <c r="B1319" s="15">
        <v>342.17202758789063</v>
      </c>
      <c r="C1319" s="15">
        <v>76.373680114746094</v>
      </c>
      <c r="D1319" s="15">
        <v>170.17999267578119</v>
      </c>
      <c r="E1319" s="15">
        <v>294.6732177734375</v>
      </c>
      <c r="F1319" s="15">
        <v>176.47325134277341</v>
      </c>
      <c r="H1319" s="16">
        <f t="shared" si="54"/>
        <v>2.101730553397092E-3</v>
      </c>
      <c r="I1319" s="16">
        <f t="shared" si="54"/>
        <v>-1.7044719609886935E-3</v>
      </c>
      <c r="J1319" s="16">
        <f t="shared" si="54"/>
        <v>7.4933850243155565E-3</v>
      </c>
      <c r="K1319" s="16">
        <f t="shared" si="54"/>
        <v>1.2846126267185844E-3</v>
      </c>
      <c r="L1319" s="16">
        <f t="shared" si="55"/>
        <v>8.4587673005141165E-4</v>
      </c>
    </row>
    <row r="1320" spans="1:12" x14ac:dyDescent="0.35">
      <c r="A1320" s="18">
        <v>44167</v>
      </c>
      <c r="B1320" s="15">
        <v>342.89193725585938</v>
      </c>
      <c r="C1320" s="15">
        <v>76.243614196777344</v>
      </c>
      <c r="D1320" s="15">
        <v>171.46000671386719</v>
      </c>
      <c r="E1320" s="15">
        <v>295.052001953125</v>
      </c>
      <c r="F1320" s="15">
        <v>176.6225891113281</v>
      </c>
      <c r="H1320" s="16">
        <f t="shared" si="54"/>
        <v>-2.726459127590771E-4</v>
      </c>
      <c r="I1320" s="16">
        <f t="shared" si="54"/>
        <v>1.9312092641216967E-3</v>
      </c>
      <c r="J1320" s="16">
        <f t="shared" si="54"/>
        <v>7.8426685305542296E-3</v>
      </c>
      <c r="K1320" s="16">
        <f t="shared" si="54"/>
        <v>1.4138352399656151E-3</v>
      </c>
      <c r="L1320" s="16">
        <f t="shared" si="55"/>
        <v>2.00591103976529E-3</v>
      </c>
    </row>
    <row r="1321" spans="1:12" x14ac:dyDescent="0.35">
      <c r="A1321" s="18">
        <v>44168</v>
      </c>
      <c r="B1321" s="15">
        <v>342.7984619140625</v>
      </c>
      <c r="C1321" s="15">
        <v>76.390998840332031</v>
      </c>
      <c r="D1321" s="15">
        <v>172.80999755859381</v>
      </c>
      <c r="E1321" s="15">
        <v>295.46945190429688</v>
      </c>
      <c r="F1321" s="15">
        <v>176.97723388671881</v>
      </c>
      <c r="H1321" s="16">
        <f t="shared" si="54"/>
        <v>8.5805966203109044E-3</v>
      </c>
      <c r="I1321" s="16">
        <f t="shared" si="54"/>
        <v>-2.6140927203956834E-3</v>
      </c>
      <c r="J1321" s="16">
        <f t="shared" si="54"/>
        <v>-2.8394550265411901E-3</v>
      </c>
      <c r="K1321" s="16">
        <f t="shared" si="54"/>
        <v>4.0673453331052213E-3</v>
      </c>
      <c r="L1321" s="16">
        <f t="shared" si="55"/>
        <v>9.9709207478463329E-3</v>
      </c>
    </row>
    <row r="1322" spans="1:12" x14ac:dyDescent="0.35">
      <c r="A1322" s="18">
        <v>44169</v>
      </c>
      <c r="B1322" s="15">
        <v>345.75253295898438</v>
      </c>
      <c r="C1322" s="15">
        <v>76.191566467285156</v>
      </c>
      <c r="D1322" s="15">
        <v>172.32000732421881</v>
      </c>
      <c r="E1322" s="15">
        <v>296.67367553710938</v>
      </c>
      <c r="F1322" s="15">
        <v>178.75068664550781</v>
      </c>
      <c r="H1322" s="16">
        <f t="shared" si="54"/>
        <v>-2.056816608194581E-3</v>
      </c>
      <c r="I1322" s="16">
        <f t="shared" si="54"/>
        <v>1.3650009076512559E-3</v>
      </c>
      <c r="J1322" s="16">
        <f t="shared" si="54"/>
        <v>1.480394545951436E-2</v>
      </c>
      <c r="K1322" s="16">
        <f t="shared" si="54"/>
        <v>5.6460736999587547E-3</v>
      </c>
      <c r="L1322" s="16">
        <f t="shared" si="55"/>
        <v>-1.0972670084568282E-3</v>
      </c>
    </row>
    <row r="1323" spans="1:12" x14ac:dyDescent="0.35">
      <c r="A1323" s="18">
        <v>44172</v>
      </c>
      <c r="B1323" s="15">
        <v>345.0421142578125</v>
      </c>
      <c r="C1323" s="15">
        <v>76.295639038085938</v>
      </c>
      <c r="D1323" s="15">
        <v>174.88999938964841</v>
      </c>
      <c r="E1323" s="15">
        <v>298.35345458984381</v>
      </c>
      <c r="F1323" s="15">
        <v>178.5546569824219</v>
      </c>
      <c r="H1323" s="16">
        <f t="shared" si="54"/>
        <v>2.9216966541631179E-3</v>
      </c>
      <c r="I1323" s="16">
        <f t="shared" si="54"/>
        <v>3.4073437785598362E-4</v>
      </c>
      <c r="J1323" s="16">
        <f t="shared" si="54"/>
        <v>3.481841534737626E-3</v>
      </c>
      <c r="K1323" s="16">
        <f t="shared" si="54"/>
        <v>3.3794601719557269E-3</v>
      </c>
      <c r="L1323" s="16">
        <f t="shared" si="55"/>
        <v>4.3293645465945722E-3</v>
      </c>
    </row>
    <row r="1324" spans="1:12" x14ac:dyDescent="0.35">
      <c r="A1324" s="18">
        <v>44173</v>
      </c>
      <c r="B1324" s="15">
        <v>346.05169677734381</v>
      </c>
      <c r="C1324" s="15">
        <v>76.321640014648438</v>
      </c>
      <c r="D1324" s="15">
        <v>175.5</v>
      </c>
      <c r="E1324" s="15">
        <v>299.36343383789063</v>
      </c>
      <c r="F1324" s="15">
        <v>179.32936096191409</v>
      </c>
      <c r="H1324" s="16">
        <f t="shared" si="54"/>
        <v>-9.0093500687281561E-3</v>
      </c>
      <c r="I1324" s="16">
        <f t="shared" si="54"/>
        <v>-1.7057352855073212E-3</v>
      </c>
      <c r="J1324" s="16">
        <f t="shared" si="54"/>
        <v>-1.7241806434506103E-2</v>
      </c>
      <c r="K1324" s="16">
        <f t="shared" si="54"/>
        <v>-2.2901470663521311E-2</v>
      </c>
      <c r="L1324" s="16">
        <f t="shared" si="55"/>
        <v>-9.8855630615445975E-3</v>
      </c>
    </row>
    <row r="1325" spans="1:12" x14ac:dyDescent="0.35">
      <c r="A1325" s="18">
        <v>44174</v>
      </c>
      <c r="B1325" s="15">
        <v>342.947998046875</v>
      </c>
      <c r="C1325" s="15">
        <v>76.191566467285156</v>
      </c>
      <c r="D1325" s="15">
        <v>172.5</v>
      </c>
      <c r="E1325" s="15">
        <v>292.58547973632813</v>
      </c>
      <c r="F1325" s="15">
        <v>177.56532287597659</v>
      </c>
      <c r="H1325" s="16">
        <f t="shared" si="54"/>
        <v>-3.270771150163267E-4</v>
      </c>
      <c r="I1325" s="16">
        <f t="shared" si="54"/>
        <v>2.0463536029919015E-3</v>
      </c>
      <c r="J1325" s="16">
        <f t="shared" si="54"/>
        <v>-1.9148863181888906E-3</v>
      </c>
      <c r="K1325" s="16">
        <f t="shared" si="54"/>
        <v>4.007732686463884E-3</v>
      </c>
      <c r="L1325" s="16">
        <f t="shared" si="55"/>
        <v>1.4705274440513366E-3</v>
      </c>
    </row>
    <row r="1326" spans="1:12" x14ac:dyDescent="0.35">
      <c r="A1326" s="18">
        <v>44175</v>
      </c>
      <c r="B1326" s="15">
        <v>342.83584594726563</v>
      </c>
      <c r="C1326" s="15">
        <v>76.347640991210938</v>
      </c>
      <c r="D1326" s="15">
        <v>172.16999816894531</v>
      </c>
      <c r="E1326" s="15">
        <v>293.76043701171881</v>
      </c>
      <c r="F1326" s="15">
        <v>177.8266296386719</v>
      </c>
      <c r="H1326" s="16">
        <f t="shared" si="54"/>
        <v>-1.1731061252522532E-3</v>
      </c>
      <c r="I1326" s="16">
        <f t="shared" si="54"/>
        <v>1.5889178319477373E-3</v>
      </c>
      <c r="J1326" s="16">
        <f t="shared" si="54"/>
        <v>1.8569454695870707E-3</v>
      </c>
      <c r="K1326" s="16">
        <f t="shared" si="54"/>
        <v>-2.2168881054327742E-3</v>
      </c>
      <c r="L1326" s="16">
        <f t="shared" si="55"/>
        <v>-1.7863825069353997E-3</v>
      </c>
    </row>
    <row r="1327" spans="1:12" x14ac:dyDescent="0.35">
      <c r="A1327" s="18">
        <v>44176</v>
      </c>
      <c r="B1327" s="15">
        <v>342.43389892578119</v>
      </c>
      <c r="C1327" s="15">
        <v>76.469047546386719</v>
      </c>
      <c r="D1327" s="15">
        <v>172.49000549316409</v>
      </c>
      <c r="E1327" s="15">
        <v>293.10992431640619</v>
      </c>
      <c r="F1327" s="15">
        <v>177.5092468261719</v>
      </c>
      <c r="H1327" s="16">
        <f t="shared" si="54"/>
        <v>-4.4873335067939944E-3</v>
      </c>
      <c r="I1327" s="16">
        <f t="shared" si="54"/>
        <v>-3.402770506684493E-4</v>
      </c>
      <c r="J1327" s="16">
        <f t="shared" si="54"/>
        <v>-5.5228591993230448E-3</v>
      </c>
      <c r="K1327" s="16">
        <f t="shared" si="54"/>
        <v>7.2287510341510573E-3</v>
      </c>
      <c r="L1327" s="16">
        <f t="shared" si="55"/>
        <v>-2.843314720158069E-3</v>
      </c>
    </row>
    <row r="1328" spans="1:12" x14ac:dyDescent="0.35">
      <c r="A1328" s="18">
        <v>44179</v>
      </c>
      <c r="B1328" s="15">
        <v>340.90072631835938</v>
      </c>
      <c r="C1328" s="15">
        <v>76.443031311035156</v>
      </c>
      <c r="D1328" s="15">
        <v>171.53999328613281</v>
      </c>
      <c r="E1328" s="15">
        <v>295.23641967773438</v>
      </c>
      <c r="F1328" s="15">
        <v>177.0052490234375</v>
      </c>
      <c r="H1328" s="16">
        <f t="shared" si="54"/>
        <v>1.3428803334916117E-2</v>
      </c>
      <c r="I1328" s="16">
        <f t="shared" si="54"/>
        <v>4.5381002124388097E-4</v>
      </c>
      <c r="J1328" s="16">
        <f t="shared" si="54"/>
        <v>1.3893989774039474E-2</v>
      </c>
      <c r="K1328" s="16">
        <f t="shared" si="54"/>
        <v>1.0632719590151564E-2</v>
      </c>
      <c r="L1328" s="16">
        <f t="shared" si="55"/>
        <v>1.3617126613185933E-2</v>
      </c>
    </row>
    <row r="1329" spans="1:12" x14ac:dyDescent="0.35">
      <c r="A1329" s="18">
        <v>44180</v>
      </c>
      <c r="B1329" s="15">
        <v>345.50949096679688</v>
      </c>
      <c r="C1329" s="15">
        <v>76.477729797363281</v>
      </c>
      <c r="D1329" s="15">
        <v>173.94000244140619</v>
      </c>
      <c r="E1329" s="15">
        <v>298.392333984375</v>
      </c>
      <c r="F1329" s="15">
        <v>179.4320373535156</v>
      </c>
      <c r="H1329" s="16">
        <f t="shared" si="54"/>
        <v>1.5680634808746766E-3</v>
      </c>
      <c r="I1329" s="16">
        <f t="shared" si="54"/>
        <v>-1.020962862868776E-3</v>
      </c>
      <c r="J1329" s="16">
        <f t="shared" si="54"/>
        <v>5.5039209298535351E-3</v>
      </c>
      <c r="K1329" s="16">
        <f t="shared" si="54"/>
        <v>5.484883442172188E-3</v>
      </c>
      <c r="L1329" s="16">
        <f t="shared" si="55"/>
        <v>1.4032702241192124E-3</v>
      </c>
    </row>
    <row r="1330" spans="1:12" x14ac:dyDescent="0.35">
      <c r="A1330" s="18">
        <v>44181</v>
      </c>
      <c r="B1330" s="15">
        <v>346.05169677734381</v>
      </c>
      <c r="C1330" s="15">
        <v>76.399688720703125</v>
      </c>
      <c r="D1330" s="15">
        <v>174.8999938964844</v>
      </c>
      <c r="E1330" s="15">
        <v>300.03347778320313</v>
      </c>
      <c r="F1330" s="15">
        <v>179.68400573730469</v>
      </c>
      <c r="H1330" s="16">
        <f t="shared" si="54"/>
        <v>5.5764186187270831E-3</v>
      </c>
      <c r="I1330" s="16">
        <f t="shared" si="54"/>
        <v>2.2666012411571155E-4</v>
      </c>
      <c r="J1330" s="16">
        <f t="shared" si="54"/>
        <v>1.046541004295572E-2</v>
      </c>
      <c r="K1330" s="16">
        <f t="shared" si="54"/>
        <v>6.5159795239015739E-3</v>
      </c>
      <c r="L1330" s="16">
        <f t="shared" si="55"/>
        <v>7.8133833204498421E-3</v>
      </c>
    </row>
    <row r="1331" spans="1:12" x14ac:dyDescent="0.35">
      <c r="A1331" s="18">
        <v>44182</v>
      </c>
      <c r="B1331" s="15">
        <v>347.98681640625</v>
      </c>
      <c r="C1331" s="15">
        <v>76.417007446289063</v>
      </c>
      <c r="D1331" s="15">
        <v>176.74000549316409</v>
      </c>
      <c r="E1331" s="15">
        <v>301.994873046875</v>
      </c>
      <c r="F1331" s="15">
        <v>181.09344482421881</v>
      </c>
      <c r="H1331" s="16">
        <f t="shared" si="54"/>
        <v>-4.0009485653515068E-3</v>
      </c>
      <c r="I1331" s="16">
        <f t="shared" si="54"/>
        <v>-3.4040894636629848E-4</v>
      </c>
      <c r="J1331" s="16">
        <f t="shared" si="54"/>
        <v>-1.698868096565837E-3</v>
      </c>
      <c r="K1331" s="16">
        <f t="shared" si="54"/>
        <v>-3.0269797964539995E-3</v>
      </c>
      <c r="L1331" s="16">
        <f t="shared" si="55"/>
        <v>-2.8386732810744696E-3</v>
      </c>
    </row>
    <row r="1332" spans="1:12" x14ac:dyDescent="0.35">
      <c r="A1332" s="18">
        <v>44183</v>
      </c>
      <c r="B1332" s="15">
        <v>346.59732055664063</v>
      </c>
      <c r="C1332" s="15">
        <v>76.390998840332031</v>
      </c>
      <c r="D1332" s="15">
        <v>176.44000244140619</v>
      </c>
      <c r="E1332" s="15">
        <v>301.08212280273438</v>
      </c>
      <c r="F1332" s="15">
        <v>180.5801086425781</v>
      </c>
      <c r="H1332" s="16">
        <f t="shared" si="54"/>
        <v>-3.5818163860085895E-3</v>
      </c>
      <c r="I1332" s="16">
        <f t="shared" si="54"/>
        <v>1.1374882225069636E-4</v>
      </c>
      <c r="J1332" s="16">
        <f t="shared" si="54"/>
        <v>-3.1789169989818091E-3</v>
      </c>
      <c r="K1332" s="16">
        <f t="shared" si="54"/>
        <v>-1.8726487038737689E-3</v>
      </c>
      <c r="L1332" s="16">
        <f t="shared" si="55"/>
        <v>-2.8987010253709593E-3</v>
      </c>
    </row>
    <row r="1333" spans="1:12" x14ac:dyDescent="0.35">
      <c r="A1333" s="18">
        <v>44186</v>
      </c>
      <c r="B1333" s="15">
        <v>345.35809326171881</v>
      </c>
      <c r="C1333" s="15">
        <v>76.399688720703125</v>
      </c>
      <c r="D1333" s="15">
        <v>175.8800048828125</v>
      </c>
      <c r="E1333" s="15">
        <v>300.51882934570313</v>
      </c>
      <c r="F1333" s="15">
        <v>180.05741882324219</v>
      </c>
      <c r="H1333" s="16">
        <f t="shared" si="54"/>
        <v>-1.686719556027227E-3</v>
      </c>
      <c r="I1333" s="16">
        <f t="shared" si="54"/>
        <v>1.5875371219148807E-3</v>
      </c>
      <c r="J1333" s="16">
        <f t="shared" si="54"/>
        <v>-7.934507183397976E-3</v>
      </c>
      <c r="K1333" s="16">
        <f t="shared" si="54"/>
        <v>2.7154030425499019E-3</v>
      </c>
      <c r="L1333" s="16">
        <f t="shared" si="55"/>
        <v>2.0743183951440358E-4</v>
      </c>
    </row>
    <row r="1334" spans="1:12" x14ac:dyDescent="0.35">
      <c r="A1334" s="18">
        <v>44187</v>
      </c>
      <c r="B1334" s="15">
        <v>344.77606201171881</v>
      </c>
      <c r="C1334" s="15">
        <v>76.521072387695313</v>
      </c>
      <c r="D1334" s="15">
        <v>174.49000549316409</v>
      </c>
      <c r="E1334" s="15">
        <v>301.33596801757813</v>
      </c>
      <c r="F1334" s="15">
        <v>180.09477233886719</v>
      </c>
      <c r="H1334" s="16">
        <f t="shared" si="54"/>
        <v>8.9810425186627539E-4</v>
      </c>
      <c r="I1334" s="16">
        <f t="shared" si="54"/>
        <v>-1.1261831461649916E-3</v>
      </c>
      <c r="J1334" s="16">
        <f t="shared" si="54"/>
        <v>6.6258790722755851E-3</v>
      </c>
      <c r="K1334" s="16">
        <f t="shared" si="54"/>
        <v>-5.0487889972751516E-3</v>
      </c>
      <c r="L1334" s="16">
        <f t="shared" si="55"/>
        <v>1.708827056524413E-3</v>
      </c>
    </row>
    <row r="1335" spans="1:12" x14ac:dyDescent="0.35">
      <c r="A1335" s="18">
        <v>44188</v>
      </c>
      <c r="B1335" s="15">
        <v>345.08584594726563</v>
      </c>
      <c r="C1335" s="15">
        <v>76.434944152832031</v>
      </c>
      <c r="D1335" s="15">
        <v>175.6499938964844</v>
      </c>
      <c r="E1335" s="15">
        <v>299.81842041015619</v>
      </c>
      <c r="F1335" s="15">
        <v>180.40278625488281</v>
      </c>
      <c r="H1335" s="16">
        <f t="shared" si="54"/>
        <v>3.8828730992821678E-3</v>
      </c>
      <c r="I1335" s="16">
        <f t="shared" si="54"/>
        <v>1.705789154909178E-3</v>
      </c>
      <c r="J1335" s="16">
        <f t="shared" si="54"/>
        <v>3.9773473286309367E-3</v>
      </c>
      <c r="K1335" s="16">
        <f t="shared" si="54"/>
        <v>4.4033624237474018E-3</v>
      </c>
      <c r="L1335" s="16">
        <f t="shared" si="55"/>
        <v>1.671123044609454E-3</v>
      </c>
    </row>
    <row r="1336" spans="1:12" x14ac:dyDescent="0.35">
      <c r="A1336" s="18">
        <v>44189</v>
      </c>
      <c r="B1336" s="15">
        <v>346.42837524414063</v>
      </c>
      <c r="C1336" s="15">
        <v>76.565437316894531</v>
      </c>
      <c r="D1336" s="15">
        <v>176.3500061035156</v>
      </c>
      <c r="E1336" s="15">
        <v>301.14154052734381</v>
      </c>
      <c r="F1336" s="15">
        <v>180.70451354980469</v>
      </c>
      <c r="H1336" s="16">
        <f t="shared" si="54"/>
        <v>8.5541315318584075E-3</v>
      </c>
      <c r="I1336" s="16">
        <f t="shared" si="54"/>
        <v>-3.4084538955387803E-4</v>
      </c>
      <c r="J1336" s="16">
        <f t="shared" si="54"/>
        <v>-3.6357443125669851E-3</v>
      </c>
      <c r="K1336" s="16">
        <f t="shared" si="54"/>
        <v>1.0027982103801774E-2</v>
      </c>
      <c r="L1336" s="16">
        <f t="shared" si="55"/>
        <v>6.3071144710298635E-3</v>
      </c>
    </row>
    <row r="1337" spans="1:12" x14ac:dyDescent="0.35">
      <c r="A1337" s="18">
        <v>44193</v>
      </c>
      <c r="B1337" s="15">
        <v>349.40447998046881</v>
      </c>
      <c r="C1337" s="15">
        <v>76.539344787597656</v>
      </c>
      <c r="D1337" s="15">
        <v>175.71000671386719</v>
      </c>
      <c r="E1337" s="15">
        <v>304.17657470703119</v>
      </c>
      <c r="F1337" s="15">
        <v>181.84783935546881</v>
      </c>
      <c r="H1337" s="16">
        <f t="shared" si="54"/>
        <v>-1.9094517163344461E-3</v>
      </c>
      <c r="I1337" s="16">
        <f t="shared" si="54"/>
        <v>3.4084538955388421E-4</v>
      </c>
      <c r="J1337" s="16">
        <f t="shared" si="54"/>
        <v>3.6357443125669409E-3</v>
      </c>
      <c r="K1337" s="16">
        <f t="shared" si="54"/>
        <v>8.9523164041488672E-4</v>
      </c>
      <c r="L1337" s="16">
        <f t="shared" si="55"/>
        <v>-4.1829900146726773E-3</v>
      </c>
    </row>
    <row r="1338" spans="1:12" x14ac:dyDescent="0.35">
      <c r="A1338" s="18">
        <v>44194</v>
      </c>
      <c r="B1338" s="15">
        <v>348.73794555664063</v>
      </c>
      <c r="C1338" s="15">
        <v>76.565437316894531</v>
      </c>
      <c r="D1338" s="15">
        <v>176.3500061035156</v>
      </c>
      <c r="E1338" s="15">
        <v>304.44900512695313</v>
      </c>
      <c r="F1338" s="15">
        <v>181.08876037597659</v>
      </c>
      <c r="H1338" s="16">
        <f t="shared" si="54"/>
        <v>1.4257237957709457E-3</v>
      </c>
      <c r="I1338" s="16">
        <f t="shared" si="54"/>
        <v>6.812428726866754E-4</v>
      </c>
      <c r="J1338" s="16">
        <f t="shared" si="54"/>
        <v>7.6260266946551322E-3</v>
      </c>
      <c r="K1338" s="16">
        <f t="shared" si="54"/>
        <v>3.1975639977757988E-5</v>
      </c>
      <c r="L1338" s="16">
        <f t="shared" si="55"/>
        <v>2.6873572874411894E-3</v>
      </c>
    </row>
    <row r="1339" spans="1:12" x14ac:dyDescent="0.35">
      <c r="A1339" s="18">
        <v>44195</v>
      </c>
      <c r="B1339" s="15">
        <v>349.23550415039063</v>
      </c>
      <c r="C1339" s="15">
        <v>76.61761474609375</v>
      </c>
      <c r="D1339" s="15">
        <v>177.69999694824219</v>
      </c>
      <c r="E1339" s="15">
        <v>304.458740234375</v>
      </c>
      <c r="F1339" s="15">
        <v>181.57606506347659</v>
      </c>
      <c r="H1339" s="16">
        <f t="shared" si="54"/>
        <v>5.0680754038015842E-3</v>
      </c>
      <c r="I1339" s="16">
        <f t="shared" si="54"/>
        <v>1.361890585187619E-3</v>
      </c>
      <c r="J1339" s="16">
        <f t="shared" si="54"/>
        <v>3.7072651943421209E-3</v>
      </c>
      <c r="K1339" s="16">
        <f t="shared" si="54"/>
        <v>2.457259139843009E-3</v>
      </c>
      <c r="L1339" s="16">
        <f t="shared" si="55"/>
        <v>4.5829328137680647E-3</v>
      </c>
    </row>
    <row r="1340" spans="1:12" x14ac:dyDescent="0.35">
      <c r="A1340" s="18">
        <v>44196</v>
      </c>
      <c r="B1340" s="15">
        <v>351.00994873046881</v>
      </c>
      <c r="C1340" s="15">
        <v>76.722030639648438</v>
      </c>
      <c r="D1340" s="15">
        <v>178.36000061035159</v>
      </c>
      <c r="E1340" s="15">
        <v>305.20779418945313</v>
      </c>
      <c r="F1340" s="15">
        <v>182.4101257324219</v>
      </c>
      <c r="H1340" s="16">
        <f t="shared" si="54"/>
        <v>-1.3707803642387942E-2</v>
      </c>
      <c r="I1340" s="16">
        <f t="shared" si="54"/>
        <v>-1.3618905851877324E-3</v>
      </c>
      <c r="J1340" s="16">
        <f t="shared" si="54"/>
        <v>2.2014258912347765E-2</v>
      </c>
      <c r="K1340" s="16">
        <f t="shared" si="54"/>
        <v>-1.4220756140991431E-2</v>
      </c>
      <c r="L1340" s="16">
        <f t="shared" si="55"/>
        <v>-1.4333359600139768E-2</v>
      </c>
    </row>
    <row r="1341" spans="1:12" x14ac:dyDescent="0.35">
      <c r="A1341" s="18">
        <v>44200</v>
      </c>
      <c r="B1341" s="15">
        <v>346.231201171875</v>
      </c>
      <c r="C1341" s="15">
        <v>76.61761474609375</v>
      </c>
      <c r="D1341" s="15">
        <v>182.33000183105469</v>
      </c>
      <c r="E1341" s="15">
        <v>300.89822387695313</v>
      </c>
      <c r="F1341" s="15">
        <v>179.81422424316409</v>
      </c>
      <c r="H1341" s="16">
        <f t="shared" si="54"/>
        <v>6.8637335876157585E-3</v>
      </c>
      <c r="I1341" s="16">
        <f t="shared" si="54"/>
        <v>-1.7041277662015377E-3</v>
      </c>
      <c r="J1341" s="16">
        <f t="shared" si="54"/>
        <v>2.9572490918935946E-3</v>
      </c>
      <c r="K1341" s="16">
        <f t="shared" si="54"/>
        <v>8.2104590259167356E-3</v>
      </c>
      <c r="L1341" s="16">
        <f t="shared" si="55"/>
        <v>8.0458324859505239E-3</v>
      </c>
    </row>
    <row r="1342" spans="1:12" x14ac:dyDescent="0.35">
      <c r="A1342" s="18">
        <v>44201</v>
      </c>
      <c r="B1342" s="15">
        <v>348.61581420898438</v>
      </c>
      <c r="C1342" s="15">
        <v>76.487159729003906</v>
      </c>
      <c r="D1342" s="15">
        <v>182.8699951171875</v>
      </c>
      <c r="E1342" s="15">
        <v>303.37890625</v>
      </c>
      <c r="F1342" s="15">
        <v>181.2668151855469</v>
      </c>
      <c r="H1342" s="16">
        <f t="shared" si="54"/>
        <v>5.960869020951446E-3</v>
      </c>
      <c r="I1342" s="16">
        <f t="shared" si="54"/>
        <v>-4.4462347743744381E-3</v>
      </c>
      <c r="J1342" s="16">
        <f t="shared" si="54"/>
        <v>-1.6374384156319408E-2</v>
      </c>
      <c r="K1342" s="16">
        <f t="shared" si="54"/>
        <v>-1.3949100024987122E-2</v>
      </c>
      <c r="L1342" s="16">
        <f t="shared" si="55"/>
        <v>8.9558604712615501E-3</v>
      </c>
    </row>
    <row r="1343" spans="1:12" x14ac:dyDescent="0.35">
      <c r="A1343" s="18">
        <v>44202</v>
      </c>
      <c r="B1343" s="15">
        <v>350.7000732421875</v>
      </c>
      <c r="C1343" s="15">
        <v>76.147834777832031</v>
      </c>
      <c r="D1343" s="15">
        <v>179.8999938964844</v>
      </c>
      <c r="E1343" s="15">
        <v>299.17642211914063</v>
      </c>
      <c r="F1343" s="15">
        <v>182.89750671386719</v>
      </c>
      <c r="H1343" s="16">
        <f t="shared" si="54"/>
        <v>1.4748163356969853E-2</v>
      </c>
      <c r="I1343" s="16">
        <f t="shared" si="54"/>
        <v>-2.0585556574980561E-3</v>
      </c>
      <c r="J1343" s="16">
        <f t="shared" si="54"/>
        <v>-2.3373497260989994E-3</v>
      </c>
      <c r="K1343" s="16">
        <f t="shared" si="54"/>
        <v>2.3904091975262158E-2</v>
      </c>
      <c r="L1343" s="16">
        <f t="shared" si="55"/>
        <v>1.5910715701147961E-2</v>
      </c>
    </row>
    <row r="1344" spans="1:12" x14ac:dyDescent="0.35">
      <c r="A1344" s="18">
        <v>44203</v>
      </c>
      <c r="B1344" s="15">
        <v>355.91058349609381</v>
      </c>
      <c r="C1344" s="15">
        <v>75.991241455078125</v>
      </c>
      <c r="D1344" s="15">
        <v>179.47999572753909</v>
      </c>
      <c r="E1344" s="15">
        <v>306.41412353515619</v>
      </c>
      <c r="F1344" s="15">
        <v>185.830810546875</v>
      </c>
      <c r="H1344" s="16">
        <f t="shared" si="54"/>
        <v>5.68124806890178E-3</v>
      </c>
      <c r="I1344" s="16">
        <f t="shared" si="54"/>
        <v>-9.1645427427803348E-4</v>
      </c>
      <c r="J1344" s="16">
        <f t="shared" si="54"/>
        <v>-3.4808794723662377E-2</v>
      </c>
      <c r="K1344" s="16">
        <f t="shared" si="54"/>
        <v>1.277616047590055E-2</v>
      </c>
      <c r="L1344" s="16">
        <f t="shared" si="55"/>
        <v>4.8297579264873786E-3</v>
      </c>
    </row>
    <row r="1345" spans="1:12" x14ac:dyDescent="0.35">
      <c r="A1345" s="18">
        <v>44204</v>
      </c>
      <c r="B1345" s="15">
        <v>357.9383544921875</v>
      </c>
      <c r="C1345" s="15">
        <v>75.921630859375</v>
      </c>
      <c r="D1345" s="15">
        <v>173.3399963378906</v>
      </c>
      <c r="E1345" s="15">
        <v>310.35403442382813</v>
      </c>
      <c r="F1345" s="15">
        <v>186.7304992675781</v>
      </c>
      <c r="H1345" s="16">
        <f t="shared" si="54"/>
        <v>-6.7635075666773355E-3</v>
      </c>
      <c r="I1345" s="16">
        <f t="shared" si="54"/>
        <v>-1.0310603415062021E-3</v>
      </c>
      <c r="J1345" s="16">
        <f t="shared" si="54"/>
        <v>-1.9633680816779756E-3</v>
      </c>
      <c r="K1345" s="16">
        <f t="shared" si="54"/>
        <v>-1.4555428939355361E-2</v>
      </c>
      <c r="L1345" s="16">
        <f t="shared" si="55"/>
        <v>-5.9902516029257495E-3</v>
      </c>
    </row>
    <row r="1346" spans="1:12" x14ac:dyDescent="0.35">
      <c r="A1346" s="18">
        <v>44207</v>
      </c>
      <c r="B1346" s="15">
        <v>355.52560424804688</v>
      </c>
      <c r="C1346" s="15">
        <v>75.843391418457031</v>
      </c>
      <c r="D1346" s="15">
        <v>173</v>
      </c>
      <c r="E1346" s="15">
        <v>305.86941528320313</v>
      </c>
      <c r="F1346" s="15">
        <v>185.61528015136719</v>
      </c>
      <c r="H1346" s="16">
        <f t="shared" si="54"/>
        <v>2.1148226919297567E-4</v>
      </c>
      <c r="I1346" s="16">
        <f t="shared" si="54"/>
        <v>-2.2968260992644319E-4</v>
      </c>
      <c r="J1346" s="16">
        <f t="shared" si="54"/>
        <v>6.4530941435164682E-3</v>
      </c>
      <c r="K1346" s="16">
        <f t="shared" si="54"/>
        <v>-1.5915512863292221E-3</v>
      </c>
      <c r="L1346" s="16">
        <f t="shared" si="55"/>
        <v>3.5279107532787779E-3</v>
      </c>
    </row>
    <row r="1347" spans="1:12" x14ac:dyDescent="0.35">
      <c r="A1347" s="18">
        <v>44208</v>
      </c>
      <c r="B1347" s="15">
        <v>355.60079956054688</v>
      </c>
      <c r="C1347" s="15">
        <v>75.825973510742188</v>
      </c>
      <c r="D1347" s="15">
        <v>174.1199951171875</v>
      </c>
      <c r="E1347" s="15">
        <v>305.38299560546881</v>
      </c>
      <c r="F1347" s="15">
        <v>186.2712707519531</v>
      </c>
      <c r="H1347" s="16">
        <f t="shared" si="54"/>
        <v>2.6892334489781386E-3</v>
      </c>
      <c r="I1347" s="16">
        <f t="shared" si="54"/>
        <v>2.6355110064234378E-3</v>
      </c>
      <c r="J1347" s="16">
        <f t="shared" si="54"/>
        <v>-4.3166778076138591E-3</v>
      </c>
      <c r="K1347" s="16">
        <f t="shared" si="54"/>
        <v>6.7300174496178113E-3</v>
      </c>
      <c r="L1347" s="16">
        <f t="shared" si="55"/>
        <v>1.106496252253703E-3</v>
      </c>
    </row>
    <row r="1348" spans="1:12" x14ac:dyDescent="0.35">
      <c r="A1348" s="18">
        <v>44209</v>
      </c>
      <c r="B1348" s="15">
        <v>356.55838012695313</v>
      </c>
      <c r="C1348" s="15">
        <v>76.026077270507813</v>
      </c>
      <c r="D1348" s="15">
        <v>173.3699951171875</v>
      </c>
      <c r="E1348" s="15">
        <v>307.44515991210938</v>
      </c>
      <c r="F1348" s="15">
        <v>186.47749328613281</v>
      </c>
      <c r="H1348" s="16">
        <f t="shared" si="54"/>
        <v>-3.508203480519913E-3</v>
      </c>
      <c r="I1348" s="16">
        <f t="shared" si="54"/>
        <v>-1.2600146104778439E-3</v>
      </c>
      <c r="J1348" s="16">
        <f t="shared" si="54"/>
        <v>-5.1923462568655252E-4</v>
      </c>
      <c r="K1348" s="16">
        <f t="shared" si="54"/>
        <v>-5.3614841888089907E-3</v>
      </c>
      <c r="L1348" s="16">
        <f t="shared" si="55"/>
        <v>-9.5561646801556072E-4</v>
      </c>
    </row>
    <row r="1349" spans="1:12" x14ac:dyDescent="0.35">
      <c r="A1349" s="18">
        <v>44210</v>
      </c>
      <c r="B1349" s="15">
        <v>355.3096923828125</v>
      </c>
      <c r="C1349" s="15">
        <v>75.930343627929688</v>
      </c>
      <c r="D1349" s="15">
        <v>173.2799987792969</v>
      </c>
      <c r="E1349" s="15">
        <v>305.80120849609381</v>
      </c>
      <c r="F1349" s="15">
        <v>186.29937744140619</v>
      </c>
      <c r="H1349" s="16">
        <f t="shared" si="54"/>
        <v>-7.3195636220394628E-3</v>
      </c>
      <c r="I1349" s="16">
        <f t="shared" si="54"/>
        <v>8.0170082976517988E-4</v>
      </c>
      <c r="J1349" s="16">
        <f t="shared" si="54"/>
        <v>-1.2485246085867529E-2</v>
      </c>
      <c r="K1349" s="16">
        <f t="shared" si="54"/>
        <v>-7.9527054612999384E-3</v>
      </c>
      <c r="L1349" s="16">
        <f t="shared" si="55"/>
        <v>-8.7405405861080733E-3</v>
      </c>
    </row>
    <row r="1350" spans="1:12" x14ac:dyDescent="0.35">
      <c r="A1350" s="18">
        <v>44211</v>
      </c>
      <c r="B1350" s="15">
        <v>352.71847534179688</v>
      </c>
      <c r="C1350" s="15">
        <v>75.991241455078125</v>
      </c>
      <c r="D1350" s="15">
        <v>171.1300048828125</v>
      </c>
      <c r="E1350" s="15">
        <v>303.37890625</v>
      </c>
      <c r="F1350" s="15">
        <v>184.67811584472659</v>
      </c>
      <c r="H1350" s="16">
        <f t="shared" si="54"/>
        <v>7.8215510166056122E-3</v>
      </c>
      <c r="I1350" s="16">
        <f t="shared" si="54"/>
        <v>1.37330906344439E-3</v>
      </c>
      <c r="J1350" s="16">
        <f t="shared" si="54"/>
        <v>8.4373775679232078E-3</v>
      </c>
      <c r="K1350" s="16">
        <f t="shared" si="54"/>
        <v>1.4484595870382862E-2</v>
      </c>
      <c r="L1350" s="16">
        <f t="shared" si="55"/>
        <v>9.0928324151319639E-3</v>
      </c>
    </row>
    <row r="1351" spans="1:12" x14ac:dyDescent="0.35">
      <c r="A1351" s="18">
        <v>44215</v>
      </c>
      <c r="B1351" s="15">
        <v>355.48809814453119</v>
      </c>
      <c r="C1351" s="15">
        <v>76.095672607421875</v>
      </c>
      <c r="D1351" s="15">
        <v>172.58000183105469</v>
      </c>
      <c r="E1351" s="15">
        <v>307.80520629882813</v>
      </c>
      <c r="F1351" s="15">
        <v>186.3650207519531</v>
      </c>
      <c r="H1351" s="16">
        <f t="shared" si="54"/>
        <v>1.3743654307513245E-2</v>
      </c>
      <c r="I1351" s="16">
        <f t="shared" si="54"/>
        <v>-1.1430356753876175E-4</v>
      </c>
      <c r="J1351" s="16">
        <f t="shared" si="54"/>
        <v>1.6151154600027778E-2</v>
      </c>
      <c r="K1351" s="16">
        <f t="shared" si="54"/>
        <v>2.2994374101361147E-2</v>
      </c>
      <c r="L1351" s="16">
        <f t="shared" si="55"/>
        <v>1.2542821699746326E-2</v>
      </c>
    </row>
    <row r="1352" spans="1:12" x14ac:dyDescent="0.35">
      <c r="A1352" s="18">
        <v>44216</v>
      </c>
      <c r="B1352" s="15">
        <v>360.40753173828119</v>
      </c>
      <c r="C1352" s="15">
        <v>76.08697509765625</v>
      </c>
      <c r="D1352" s="15">
        <v>175.38999938964841</v>
      </c>
      <c r="E1352" s="15">
        <v>314.96499633789063</v>
      </c>
      <c r="F1352" s="15">
        <v>188.71728515625</v>
      </c>
      <c r="H1352" s="16">
        <f t="shared" si="54"/>
        <v>9.1128248338291575E-4</v>
      </c>
      <c r="I1352" s="16">
        <f t="shared" si="54"/>
        <v>-1.3730645151456388E-3</v>
      </c>
      <c r="J1352" s="16">
        <f t="shared" si="54"/>
        <v>-6.2737396717078549E-4</v>
      </c>
      <c r="K1352" s="16">
        <f t="shared" si="54"/>
        <v>7.9677674705332883E-3</v>
      </c>
      <c r="L1352" s="16">
        <f t="shared" si="55"/>
        <v>-7.4527820710746707E-4</v>
      </c>
    </row>
    <row r="1353" spans="1:12" x14ac:dyDescent="0.35">
      <c r="A1353" s="18">
        <v>44217</v>
      </c>
      <c r="B1353" s="15">
        <v>360.73611450195313</v>
      </c>
      <c r="C1353" s="15">
        <v>75.982574462890625</v>
      </c>
      <c r="D1353" s="15">
        <v>175.2799987792969</v>
      </c>
      <c r="E1353" s="15">
        <v>317.48458862304688</v>
      </c>
      <c r="F1353" s="15">
        <v>188.5766906738281</v>
      </c>
      <c r="H1353" s="16">
        <f t="shared" si="54"/>
        <v>-3.5457773868889137E-3</v>
      </c>
      <c r="I1353" s="16">
        <f t="shared" si="54"/>
        <v>4.5786422751627881E-4</v>
      </c>
      <c r="J1353" s="16">
        <f t="shared" si="54"/>
        <v>-7.9043020605179277E-3</v>
      </c>
      <c r="K1353" s="16">
        <f t="shared" si="54"/>
        <v>-2.8843860787408629E-3</v>
      </c>
      <c r="L1353" s="16">
        <f t="shared" si="55"/>
        <v>-1.6410997486078474E-3</v>
      </c>
    </row>
    <row r="1354" spans="1:12" x14ac:dyDescent="0.35">
      <c r="A1354" s="18">
        <v>44218</v>
      </c>
      <c r="B1354" s="15">
        <v>359.45928955078119</v>
      </c>
      <c r="C1354" s="15">
        <v>76.017372131347656</v>
      </c>
      <c r="D1354" s="15">
        <v>173.8999938964844</v>
      </c>
      <c r="E1354" s="15">
        <v>316.57015991210938</v>
      </c>
      <c r="F1354" s="15">
        <v>188.26747131347659</v>
      </c>
      <c r="H1354" s="16">
        <f t="shared" si="54"/>
        <v>3.9362904038982892E-3</v>
      </c>
      <c r="I1354" s="16">
        <f t="shared" si="54"/>
        <v>2.2861818121527591E-3</v>
      </c>
      <c r="J1354" s="16">
        <f t="shared" si="54"/>
        <v>8.6224552885768029E-4</v>
      </c>
      <c r="K1354" s="16">
        <f t="shared" si="54"/>
        <v>8.2322833376407209E-3</v>
      </c>
      <c r="L1354" s="16">
        <f t="shared" si="55"/>
        <v>2.8332460869360128E-3</v>
      </c>
    </row>
    <row r="1355" spans="1:12" x14ac:dyDescent="0.35">
      <c r="A1355" s="18">
        <v>44221</v>
      </c>
      <c r="B1355" s="15">
        <v>360.87701416015619</v>
      </c>
      <c r="C1355" s="15">
        <v>76.191360473632813</v>
      </c>
      <c r="D1355" s="15">
        <v>174.05000305175781</v>
      </c>
      <c r="E1355" s="15">
        <v>319.18701171875</v>
      </c>
      <c r="F1355" s="15">
        <v>188.8016357421875</v>
      </c>
      <c r="H1355" s="16">
        <f t="shared" si="54"/>
        <v>-1.5621209323625302E-3</v>
      </c>
      <c r="I1355" s="16">
        <f t="shared" si="54"/>
        <v>-1.1416000678931415E-4</v>
      </c>
      <c r="J1355" s="16">
        <f t="shared" si="54"/>
        <v>-2.4736569511458828E-3</v>
      </c>
      <c r="K1355" s="16">
        <f t="shared" si="54"/>
        <v>1.4617692683015458E-3</v>
      </c>
      <c r="L1355" s="16">
        <f t="shared" si="55"/>
        <v>-3.6301077849841615E-3</v>
      </c>
    </row>
    <row r="1356" spans="1:12" x14ac:dyDescent="0.35">
      <c r="A1356" s="18">
        <v>44222</v>
      </c>
      <c r="B1356" s="15">
        <v>360.313720703125</v>
      </c>
      <c r="C1356" s="15">
        <v>76.182662963867188</v>
      </c>
      <c r="D1356" s="15">
        <v>173.6199951171875</v>
      </c>
      <c r="E1356" s="15">
        <v>319.6539306640625</v>
      </c>
      <c r="F1356" s="15">
        <v>188.11750793457031</v>
      </c>
      <c r="H1356" s="16">
        <f t="shared" si="54"/>
        <v>-2.4744203010774578E-2</v>
      </c>
      <c r="I1356" s="16">
        <f t="shared" si="54"/>
        <v>0</v>
      </c>
      <c r="J1356" s="16">
        <f t="shared" si="54"/>
        <v>-6.3557782954413175E-3</v>
      </c>
      <c r="K1356" s="16">
        <f t="shared" si="54"/>
        <v>-2.8272702994876605E-2</v>
      </c>
      <c r="L1356" s="16">
        <f t="shared" si="55"/>
        <v>-2.4305386845465089E-2</v>
      </c>
    </row>
    <row r="1357" spans="1:12" x14ac:dyDescent="0.35">
      <c r="A1357" s="18">
        <v>44223</v>
      </c>
      <c r="B1357" s="15">
        <v>351.5074462890625</v>
      </c>
      <c r="C1357" s="15">
        <v>76.182662963867188</v>
      </c>
      <c r="D1357" s="15">
        <v>172.52000427246091</v>
      </c>
      <c r="E1357" s="15">
        <v>310.74301147460938</v>
      </c>
      <c r="F1357" s="15">
        <v>183.60035705566409</v>
      </c>
      <c r="H1357" s="16">
        <f t="shared" si="54"/>
        <v>8.5635331760330145E-3</v>
      </c>
      <c r="I1357" s="16">
        <f t="shared" si="54"/>
        <v>-7.9948516614983549E-4</v>
      </c>
      <c r="J1357" s="16">
        <f t="shared" si="54"/>
        <v>9.2693172763537001E-4</v>
      </c>
      <c r="K1357" s="16">
        <f t="shared" si="54"/>
        <v>5.8995222441621965E-3</v>
      </c>
      <c r="L1357" s="16">
        <f t="shared" si="55"/>
        <v>7.8301020378283466E-3</v>
      </c>
    </row>
    <row r="1358" spans="1:12" x14ac:dyDescent="0.35">
      <c r="A1358" s="18">
        <v>44224</v>
      </c>
      <c r="B1358" s="15">
        <v>354.530517578125</v>
      </c>
      <c r="C1358" s="15">
        <v>76.121780395507813</v>
      </c>
      <c r="D1358" s="15">
        <v>172.67999267578119</v>
      </c>
      <c r="E1358" s="15">
        <v>312.5816650390625</v>
      </c>
      <c r="F1358" s="15">
        <v>185.0436096191406</v>
      </c>
      <c r="H1358" s="16">
        <f t="shared" si="54"/>
        <v>-2.0222723484800097E-2</v>
      </c>
      <c r="I1358" s="16">
        <f t="shared" si="54"/>
        <v>-8.0042577336894322E-4</v>
      </c>
      <c r="J1358" s="16">
        <f t="shared" si="54"/>
        <v>-4.0541033768240725E-4</v>
      </c>
      <c r="K1358" s="16">
        <f t="shared" si="54"/>
        <v>-2.1262709853411117E-2</v>
      </c>
      <c r="L1358" s="16">
        <f t="shared" si="55"/>
        <v>-1.7678703030021888E-2</v>
      </c>
    </row>
    <row r="1359" spans="1:12" x14ac:dyDescent="0.35">
      <c r="A1359" s="18">
        <v>44225</v>
      </c>
      <c r="B1359" s="15">
        <v>347.43295288085938</v>
      </c>
      <c r="C1359" s="15">
        <v>76.060874938964844</v>
      </c>
      <c r="D1359" s="15">
        <v>172.61000061035159</v>
      </c>
      <c r="E1359" s="15">
        <v>306.0054931640625</v>
      </c>
      <c r="F1359" s="15">
        <v>181.801025390625</v>
      </c>
      <c r="H1359" s="16">
        <f t="shared" si="54"/>
        <v>1.6508418051238292E-2</v>
      </c>
      <c r="I1359" s="16">
        <f t="shared" si="54"/>
        <v>3.320594389823438E-4</v>
      </c>
      <c r="J1359" s="16">
        <f t="shared" si="54"/>
        <v>9.3415229782414892E-3</v>
      </c>
      <c r="K1359" s="16">
        <f t="shared" si="54"/>
        <v>2.468018775702515E-2</v>
      </c>
      <c r="L1359" s="16">
        <f t="shared" si="55"/>
        <v>1.691862317102448E-2</v>
      </c>
    </row>
    <row r="1360" spans="1:12" x14ac:dyDescent="0.35">
      <c r="A1360" s="18">
        <v>44228</v>
      </c>
      <c r="B1360" s="15">
        <v>353.21612548828119</v>
      </c>
      <c r="C1360" s="15">
        <v>76.086135864257813</v>
      </c>
      <c r="D1360" s="15">
        <v>174.22999572753909</v>
      </c>
      <c r="E1360" s="15">
        <v>313.6517333984375</v>
      </c>
      <c r="F1360" s="15">
        <v>184.90301513671881</v>
      </c>
      <c r="H1360" s="16">
        <f t="shared" si="54"/>
        <v>1.4041219131802818E-2</v>
      </c>
      <c r="I1360" s="16">
        <f t="shared" si="54"/>
        <v>-1.2604249848140248E-3</v>
      </c>
      <c r="J1360" s="16">
        <f t="shared" si="54"/>
        <v>-1.2242430084677477E-2</v>
      </c>
      <c r="K1360" s="16">
        <f t="shared" si="54"/>
        <v>1.6182830384440381E-2</v>
      </c>
      <c r="L1360" s="16">
        <f t="shared" si="55"/>
        <v>1.4241871912446608E-2</v>
      </c>
    </row>
    <row r="1361" spans="1:12" x14ac:dyDescent="0.35">
      <c r="A1361" s="18">
        <v>44229</v>
      </c>
      <c r="B1361" s="15">
        <v>358.210693359375</v>
      </c>
      <c r="C1361" s="15">
        <v>75.99029541015625</v>
      </c>
      <c r="D1361" s="15">
        <v>172.11000061035159</v>
      </c>
      <c r="E1361" s="15">
        <v>318.768798828125</v>
      </c>
      <c r="F1361" s="15">
        <v>187.55522155761719</v>
      </c>
      <c r="H1361" s="16">
        <f t="shared" si="54"/>
        <v>7.8612128327129333E-4</v>
      </c>
      <c r="I1361" s="16">
        <f t="shared" si="54"/>
        <v>-1.7216273320206196E-3</v>
      </c>
      <c r="J1361" s="16">
        <f t="shared" si="54"/>
        <v>-1.5117720158053817E-3</v>
      </c>
      <c r="K1361" s="16">
        <f t="shared" si="54"/>
        <v>-3.9752772226046094E-3</v>
      </c>
      <c r="L1361" s="16">
        <f t="shared" si="55"/>
        <v>1.4978665015344334E-3</v>
      </c>
    </row>
    <row r="1362" spans="1:12" x14ac:dyDescent="0.35">
      <c r="A1362" s="18">
        <v>44230</v>
      </c>
      <c r="B1362" s="15">
        <v>358.49240112304688</v>
      </c>
      <c r="C1362" s="15">
        <v>75.859580993652344</v>
      </c>
      <c r="D1362" s="15">
        <v>171.8500061035156</v>
      </c>
      <c r="E1362" s="15">
        <v>317.50411987304688</v>
      </c>
      <c r="F1362" s="15">
        <v>187.83636474609381</v>
      </c>
      <c r="H1362" s="16">
        <f t="shared" si="54"/>
        <v>1.1301614573218363E-2</v>
      </c>
      <c r="I1362" s="16">
        <f t="shared" si="54"/>
        <v>2.3008361448614397E-4</v>
      </c>
      <c r="J1362" s="16">
        <f t="shared" si="54"/>
        <v>-2.1765636924134794E-2</v>
      </c>
      <c r="K1362" s="16">
        <f t="shared" si="54"/>
        <v>1.175696050767411E-2</v>
      </c>
      <c r="L1362" s="16">
        <f t="shared" si="55"/>
        <v>1.2593194114857459E-2</v>
      </c>
    </row>
    <row r="1363" spans="1:12" x14ac:dyDescent="0.35">
      <c r="A1363" s="18">
        <v>44231</v>
      </c>
      <c r="B1363" s="15">
        <v>362.56692504882813</v>
      </c>
      <c r="C1363" s="15">
        <v>75.877037048339844</v>
      </c>
      <c r="D1363" s="15">
        <v>168.1499938964844</v>
      </c>
      <c r="E1363" s="15">
        <v>321.259033203125</v>
      </c>
      <c r="F1363" s="15">
        <v>190.21678161621091</v>
      </c>
      <c r="H1363" s="16">
        <f t="shared" si="54"/>
        <v>3.9280215173332746E-3</v>
      </c>
      <c r="I1363" s="16">
        <f t="shared" si="54"/>
        <v>-1.3795847325470498E-3</v>
      </c>
      <c r="J1363" s="16">
        <f t="shared" si="54"/>
        <v>9.8237486926911356E-3</v>
      </c>
      <c r="K1363" s="16">
        <f t="shared" ref="K1363:L1426" si="56">LN(E1364/E1363)</f>
        <v>3.3857263543254131E-3</v>
      </c>
      <c r="L1363" s="16">
        <f t="shared" si="55"/>
        <v>5.6008219329302953E-3</v>
      </c>
    </row>
    <row r="1364" spans="1:12" x14ac:dyDescent="0.35">
      <c r="A1364" s="18">
        <v>44232</v>
      </c>
      <c r="B1364" s="15">
        <v>363.993896484375</v>
      </c>
      <c r="C1364" s="15">
        <v>75.772430419921875</v>
      </c>
      <c r="D1364" s="15">
        <v>169.80999755859381</v>
      </c>
      <c r="E1364" s="15">
        <v>322.34857177734381</v>
      </c>
      <c r="F1364" s="15">
        <v>191.28514099121091</v>
      </c>
      <c r="H1364" s="16">
        <f t="shared" ref="H1364:L1427" si="57">LN(B1365/B1364)</f>
        <v>7.1958517817201501E-3</v>
      </c>
      <c r="I1364" s="16">
        <f t="shared" si="57"/>
        <v>1.1495011180608472E-3</v>
      </c>
      <c r="J1364" s="16">
        <f t="shared" si="57"/>
        <v>1.001975221091248E-2</v>
      </c>
      <c r="K1364" s="16">
        <f t="shared" si="56"/>
        <v>6.6775409053624534E-3</v>
      </c>
      <c r="L1364" s="16">
        <f t="shared" si="56"/>
        <v>8.9258590036983068E-3</v>
      </c>
    </row>
    <row r="1365" spans="1:12" x14ac:dyDescent="0.35">
      <c r="A1365" s="18">
        <v>44235</v>
      </c>
      <c r="B1365" s="15">
        <v>366.62258911132813</v>
      </c>
      <c r="C1365" s="15">
        <v>75.859580993652344</v>
      </c>
      <c r="D1365" s="15">
        <v>171.52000427246091</v>
      </c>
      <c r="E1365" s="15">
        <v>324.50827026367188</v>
      </c>
      <c r="F1365" s="15">
        <v>193.00016784667969</v>
      </c>
      <c r="H1365" s="16">
        <f t="shared" si="57"/>
        <v>-6.6580676028525469E-4</v>
      </c>
      <c r="I1365" s="16">
        <f t="shared" si="57"/>
        <v>-4.596217732793318E-4</v>
      </c>
      <c r="J1365" s="16">
        <f t="shared" si="57"/>
        <v>3.2595928083516256E-3</v>
      </c>
      <c r="K1365" s="16">
        <f t="shared" si="56"/>
        <v>-2.0992495542118531E-4</v>
      </c>
      <c r="L1365" s="16">
        <f t="shared" si="56"/>
        <v>3.8827231561577364E-4</v>
      </c>
    </row>
    <row r="1366" spans="1:12" x14ac:dyDescent="0.35">
      <c r="A1366" s="18">
        <v>44236</v>
      </c>
      <c r="B1366" s="15">
        <v>366.37857055664063</v>
      </c>
      <c r="C1366" s="15">
        <v>75.824722290039063</v>
      </c>
      <c r="D1366" s="15">
        <v>172.08000183105469</v>
      </c>
      <c r="E1366" s="15">
        <v>324.44015502929688</v>
      </c>
      <c r="F1366" s="15">
        <v>193.07511901855469</v>
      </c>
      <c r="H1366" s="16">
        <f t="shared" si="57"/>
        <v>-4.3581216943955315E-4</v>
      </c>
      <c r="I1366" s="16">
        <f t="shared" si="57"/>
        <v>1.6078030555274094E-3</v>
      </c>
      <c r="J1366" s="16">
        <f t="shared" si="57"/>
        <v>3.654430629279855E-3</v>
      </c>
      <c r="K1366" s="16">
        <f t="shared" si="56"/>
        <v>-2.2812586332518776E-3</v>
      </c>
      <c r="L1366" s="16">
        <f t="shared" si="56"/>
        <v>-4.3689602162729001E-4</v>
      </c>
    </row>
    <row r="1367" spans="1:12" x14ac:dyDescent="0.35">
      <c r="A1367" s="18">
        <v>44237</v>
      </c>
      <c r="B1367" s="15">
        <v>366.21893310546881</v>
      </c>
      <c r="C1367" s="15">
        <v>75.946731567382813</v>
      </c>
      <c r="D1367" s="15">
        <v>172.71000671386719</v>
      </c>
      <c r="E1367" s="15">
        <v>323.70086669921881</v>
      </c>
      <c r="F1367" s="15">
        <v>192.99078369140619</v>
      </c>
      <c r="H1367" s="16">
        <f t="shared" si="57"/>
        <v>1.6138284809779357E-3</v>
      </c>
      <c r="I1367" s="16">
        <f t="shared" si="57"/>
        <v>-1.0331328576961495E-3</v>
      </c>
      <c r="J1367" s="16">
        <f t="shared" si="57"/>
        <v>-8.7230137985228658E-3</v>
      </c>
      <c r="K1367" s="16">
        <f t="shared" si="56"/>
        <v>5.4842115491065546E-3</v>
      </c>
      <c r="L1367" s="16">
        <f t="shared" si="56"/>
        <v>2.3767882550114754E-3</v>
      </c>
    </row>
    <row r="1368" spans="1:12" x14ac:dyDescent="0.35">
      <c r="A1368" s="18">
        <v>44238</v>
      </c>
      <c r="B1368" s="15">
        <v>366.8104248046875</v>
      </c>
      <c r="C1368" s="15">
        <v>75.868309020996094</v>
      </c>
      <c r="D1368" s="15">
        <v>171.21000671386719</v>
      </c>
      <c r="E1368" s="15">
        <v>325.48098754882813</v>
      </c>
      <c r="F1368" s="15">
        <v>193.45002746582031</v>
      </c>
      <c r="H1368" s="16">
        <f t="shared" si="57"/>
        <v>4.9275036594578336E-3</v>
      </c>
      <c r="I1368" s="16">
        <f t="shared" si="57"/>
        <v>-2.6452335394641295E-3</v>
      </c>
      <c r="J1368" s="16">
        <f t="shared" si="57"/>
        <v>-3.0418523515486247E-3</v>
      </c>
      <c r="K1368" s="16">
        <f t="shared" si="56"/>
        <v>5.5737469390339774E-3</v>
      </c>
      <c r="L1368" s="16">
        <f t="shared" si="56"/>
        <v>5.1699465579438152E-3</v>
      </c>
    </row>
    <row r="1369" spans="1:12" x14ac:dyDescent="0.35">
      <c r="A1369" s="18">
        <v>44239</v>
      </c>
      <c r="B1369" s="15">
        <v>368.62234497070313</v>
      </c>
      <c r="C1369" s="15">
        <v>75.667884826660156</v>
      </c>
      <c r="D1369" s="15">
        <v>170.69000244140619</v>
      </c>
      <c r="E1369" s="15">
        <v>327.30020141601563</v>
      </c>
      <c r="F1369" s="15">
        <v>194.45274353027341</v>
      </c>
      <c r="H1369" s="16">
        <f t="shared" si="57"/>
        <v>-8.6625681080067934E-4</v>
      </c>
      <c r="I1369" s="16">
        <f t="shared" si="57"/>
        <v>-4.7327262240176764E-3</v>
      </c>
      <c r="J1369" s="16">
        <f t="shared" si="57"/>
        <v>-1.4457496034195237E-2</v>
      </c>
      <c r="K1369" s="16">
        <f t="shared" si="56"/>
        <v>-2.7083797854150289E-3</v>
      </c>
      <c r="L1369" s="16">
        <f t="shared" si="56"/>
        <v>-1.7846750101375474E-3</v>
      </c>
    </row>
    <row r="1370" spans="1:12" x14ac:dyDescent="0.35">
      <c r="A1370" s="18">
        <v>44243</v>
      </c>
      <c r="B1370" s="15">
        <v>368.30316162109381</v>
      </c>
      <c r="C1370" s="15">
        <v>75.310615539550781</v>
      </c>
      <c r="D1370" s="15">
        <v>168.24000549316409</v>
      </c>
      <c r="E1370" s="15">
        <v>326.41494750976563</v>
      </c>
      <c r="F1370" s="15">
        <v>194.10601806640619</v>
      </c>
      <c r="H1370" s="16">
        <f t="shared" si="57"/>
        <v>2.2933001766966754E-4</v>
      </c>
      <c r="I1370" s="16">
        <f t="shared" si="57"/>
        <v>2.0805779566314942E-3</v>
      </c>
      <c r="J1370" s="16">
        <f t="shared" si="57"/>
        <v>-1.1417786234196228E-2</v>
      </c>
      <c r="K1370" s="16">
        <f t="shared" si="56"/>
        <v>-4.8097126877173005E-3</v>
      </c>
      <c r="L1370" s="16">
        <f t="shared" si="56"/>
        <v>-2.078263839457202E-3</v>
      </c>
    </row>
    <row r="1371" spans="1:12" x14ac:dyDescent="0.35">
      <c r="A1371" s="18">
        <v>44244</v>
      </c>
      <c r="B1371" s="15">
        <v>368.38763427734381</v>
      </c>
      <c r="C1371" s="15">
        <v>75.46746826171875</v>
      </c>
      <c r="D1371" s="15">
        <v>166.33000183105469</v>
      </c>
      <c r="E1371" s="15">
        <v>324.8487548828125</v>
      </c>
      <c r="F1371" s="15">
        <v>193.7030334472656</v>
      </c>
      <c r="H1371" s="16">
        <f t="shared" si="57"/>
        <v>-4.2651188656619597E-3</v>
      </c>
      <c r="I1371" s="16">
        <f t="shared" si="57"/>
        <v>-5.7731879049907359E-4</v>
      </c>
      <c r="J1371" s="16">
        <f t="shared" si="57"/>
        <v>-6.0090224342803478E-5</v>
      </c>
      <c r="K1371" s="16">
        <f t="shared" si="56"/>
        <v>-4.3818320170483389E-3</v>
      </c>
      <c r="L1371" s="16">
        <f t="shared" si="56"/>
        <v>-5.7742404714082362E-3</v>
      </c>
    </row>
    <row r="1372" spans="1:12" x14ac:dyDescent="0.35">
      <c r="A1372" s="18">
        <v>44245</v>
      </c>
      <c r="B1372" s="15">
        <v>366.81976318359381</v>
      </c>
      <c r="C1372" s="15">
        <v>75.423912048339844</v>
      </c>
      <c r="D1372" s="15">
        <v>166.32000732421881</v>
      </c>
      <c r="E1372" s="15">
        <v>323.42843627929688</v>
      </c>
      <c r="F1372" s="15">
        <v>192.5877685546875</v>
      </c>
      <c r="H1372" s="16">
        <f t="shared" si="57"/>
        <v>-1.7673752215636867E-3</v>
      </c>
      <c r="I1372" s="16">
        <f t="shared" si="57"/>
        <v>-3.4721476026393482E-3</v>
      </c>
      <c r="J1372" s="16">
        <f t="shared" si="57"/>
        <v>4.139970385630797E-3</v>
      </c>
      <c r="K1372" s="16">
        <f t="shared" si="56"/>
        <v>-4.3709797395705598E-3</v>
      </c>
      <c r="L1372" s="16">
        <f t="shared" si="56"/>
        <v>2.2846089501291039E-3</v>
      </c>
    </row>
    <row r="1373" spans="1:12" x14ac:dyDescent="0.35">
      <c r="A1373" s="18">
        <v>44246</v>
      </c>
      <c r="B1373" s="15">
        <v>366.17202758789063</v>
      </c>
      <c r="C1373" s="15">
        <v>75.162483215332031</v>
      </c>
      <c r="D1373" s="15">
        <v>167.00999450683591</v>
      </c>
      <c r="E1373" s="15">
        <v>322.017822265625</v>
      </c>
      <c r="F1373" s="15">
        <v>193.02825927734381</v>
      </c>
      <c r="H1373" s="16">
        <f t="shared" si="57"/>
        <v>-7.7214678672664107E-3</v>
      </c>
      <c r="I1373" s="16">
        <f t="shared" si="57"/>
        <v>-2.7857323071390216E-3</v>
      </c>
      <c r="J1373" s="16">
        <f t="shared" si="57"/>
        <v>1.4858231751961605E-2</v>
      </c>
      <c r="K1373" s="16">
        <f t="shared" si="56"/>
        <v>-2.6261674913316827E-2</v>
      </c>
      <c r="L1373" s="16">
        <f t="shared" si="56"/>
        <v>-9.5616259054968466E-3</v>
      </c>
    </row>
    <row r="1374" spans="1:12" x14ac:dyDescent="0.35">
      <c r="A1374" s="18">
        <v>44249</v>
      </c>
      <c r="B1374" s="15">
        <v>363.35552978515619</v>
      </c>
      <c r="C1374" s="15">
        <v>74.953392028808594</v>
      </c>
      <c r="D1374" s="15">
        <v>169.50999450683591</v>
      </c>
      <c r="E1374" s="15">
        <v>313.67117309570313</v>
      </c>
      <c r="F1374" s="15">
        <v>191.19139099121091</v>
      </c>
      <c r="H1374" s="16">
        <f t="shared" si="57"/>
        <v>1.2135647763755555E-3</v>
      </c>
      <c r="I1374" s="16">
        <f t="shared" si="57"/>
        <v>-2.3261381117303833E-4</v>
      </c>
      <c r="J1374" s="16">
        <f t="shared" si="57"/>
        <v>-2.3033964742124077E-3</v>
      </c>
      <c r="K1374" s="16">
        <f t="shared" si="56"/>
        <v>-2.9816617532783321E-3</v>
      </c>
      <c r="L1374" s="16">
        <f t="shared" si="56"/>
        <v>-1.4701893984782742E-4</v>
      </c>
    </row>
    <row r="1375" spans="1:12" x14ac:dyDescent="0.35">
      <c r="A1375" s="18">
        <v>44250</v>
      </c>
      <c r="B1375" s="15">
        <v>363.7967529296875</v>
      </c>
      <c r="C1375" s="15">
        <v>74.935958862304688</v>
      </c>
      <c r="D1375" s="15">
        <v>169.1199951171875</v>
      </c>
      <c r="E1375" s="15">
        <v>312.7373046875</v>
      </c>
      <c r="F1375" s="15">
        <v>191.16328430175781</v>
      </c>
      <c r="H1375" s="16">
        <f t="shared" si="57"/>
        <v>1.0959039389910046E-2</v>
      </c>
      <c r="I1375" s="16">
        <f t="shared" si="57"/>
        <v>-5.8172043008588952E-4</v>
      </c>
      <c r="J1375" s="16">
        <f t="shared" si="57"/>
        <v>-7.0977832697273512E-4</v>
      </c>
      <c r="K1375" s="16">
        <f t="shared" si="56"/>
        <v>8.2093651793494447E-3</v>
      </c>
      <c r="L1375" s="16">
        <f t="shared" si="56"/>
        <v>1.1164072394582695E-2</v>
      </c>
    </row>
    <row r="1376" spans="1:12" x14ac:dyDescent="0.35">
      <c r="A1376" s="18">
        <v>44251</v>
      </c>
      <c r="B1376" s="15">
        <v>367.8055419921875</v>
      </c>
      <c r="C1376" s="15">
        <v>74.892379760742188</v>
      </c>
      <c r="D1376" s="15">
        <v>169</v>
      </c>
      <c r="E1376" s="15">
        <v>315.31524658203119</v>
      </c>
      <c r="F1376" s="15">
        <v>193.30940246582031</v>
      </c>
      <c r="H1376" s="16">
        <f t="shared" si="57"/>
        <v>-2.4390882563466585E-2</v>
      </c>
      <c r="I1376" s="16">
        <f t="shared" si="57"/>
        <v>-8.764604684060439E-3</v>
      </c>
      <c r="J1376" s="16">
        <f t="shared" si="57"/>
        <v>-1.8995808065306947E-2</v>
      </c>
      <c r="K1376" s="16">
        <f t="shared" si="56"/>
        <v>-3.5484593885576197E-2</v>
      </c>
      <c r="L1376" s="16">
        <f t="shared" si="56"/>
        <v>-2.6478282485243497E-2</v>
      </c>
    </row>
    <row r="1377" spans="1:12" x14ac:dyDescent="0.35">
      <c r="A1377" s="18">
        <v>44252</v>
      </c>
      <c r="B1377" s="15">
        <v>358.94296264648438</v>
      </c>
      <c r="C1377" s="15">
        <v>74.238845825195313</v>
      </c>
      <c r="D1377" s="15">
        <v>165.82000732421881</v>
      </c>
      <c r="E1377" s="15">
        <v>304.32260131835938</v>
      </c>
      <c r="F1377" s="15">
        <v>188.25807189941409</v>
      </c>
      <c r="H1377" s="16">
        <f t="shared" si="57"/>
        <v>-5.165914245751661E-3</v>
      </c>
      <c r="I1377" s="16">
        <f t="shared" si="57"/>
        <v>8.6484644990590907E-3</v>
      </c>
      <c r="J1377" s="16">
        <f t="shared" si="57"/>
        <v>-2.4480114534154506E-2</v>
      </c>
      <c r="K1377" s="16">
        <f t="shared" si="56"/>
        <v>4.1785640811476598E-3</v>
      </c>
      <c r="L1377" s="16">
        <f t="shared" si="56"/>
        <v>-3.9906291126124904E-3</v>
      </c>
    </row>
    <row r="1378" spans="1:12" x14ac:dyDescent="0.35">
      <c r="A1378" s="18">
        <v>44253</v>
      </c>
      <c r="B1378" s="15">
        <v>357.09347534179688</v>
      </c>
      <c r="C1378" s="15">
        <v>74.883682250976563</v>
      </c>
      <c r="D1378" s="15">
        <v>161.80999755859381</v>
      </c>
      <c r="E1378" s="15">
        <v>305.59689331054688</v>
      </c>
      <c r="F1378" s="15">
        <v>187.50830078125</v>
      </c>
      <c r="H1378" s="16">
        <f t="shared" si="57"/>
        <v>2.3951121687707369E-2</v>
      </c>
      <c r="I1378" s="16">
        <f t="shared" si="57"/>
        <v>-1.2943473214277524E-3</v>
      </c>
      <c r="J1378" s="16">
        <f t="shared" si="57"/>
        <v>-1.7319159550747208E-3</v>
      </c>
      <c r="K1378" s="16">
        <f t="shared" si="56"/>
        <v>2.9638594773171097E-2</v>
      </c>
      <c r="L1378" s="16">
        <f t="shared" si="56"/>
        <v>2.5365581013945437E-2</v>
      </c>
    </row>
    <row r="1379" spans="1:12" x14ac:dyDescent="0.35">
      <c r="A1379" s="18">
        <v>44256</v>
      </c>
      <c r="B1379" s="15">
        <v>365.74951171875</v>
      </c>
      <c r="C1379" s="15">
        <v>74.786819458007813</v>
      </c>
      <c r="D1379" s="15">
        <v>161.5299987792969</v>
      </c>
      <c r="E1379" s="15">
        <v>314.7899169921875</v>
      </c>
      <c r="F1379" s="15">
        <v>192.32539367675781</v>
      </c>
      <c r="H1379" s="16">
        <f t="shared" si="57"/>
        <v>-7.8338534201906791E-3</v>
      </c>
      <c r="I1379" s="16">
        <f t="shared" si="57"/>
        <v>-1.1661020572879063E-4</v>
      </c>
      <c r="J1379" s="16">
        <f t="shared" si="57"/>
        <v>5.4331483665202643E-3</v>
      </c>
      <c r="K1379" s="16">
        <f t="shared" si="56"/>
        <v>-1.6168833366261258E-2</v>
      </c>
      <c r="L1379" s="16">
        <f t="shared" si="56"/>
        <v>-9.4489577402869767E-3</v>
      </c>
    </row>
    <row r="1380" spans="1:12" x14ac:dyDescent="0.35">
      <c r="A1380" s="18">
        <v>44257</v>
      </c>
      <c r="B1380" s="15">
        <v>362.89547729492188</v>
      </c>
      <c r="C1380" s="15">
        <v>74.778099060058594</v>
      </c>
      <c r="D1380" s="15">
        <v>162.4100036621094</v>
      </c>
      <c r="E1380" s="15">
        <v>309.74105834960938</v>
      </c>
      <c r="F1380" s="15">
        <v>190.51667785644531</v>
      </c>
      <c r="H1380" s="16">
        <f t="shared" si="57"/>
        <v>-1.3334345290062681E-2</v>
      </c>
      <c r="I1380" s="16">
        <f t="shared" si="57"/>
        <v>-3.1559806298595617E-3</v>
      </c>
      <c r="J1380" s="16">
        <f t="shared" si="57"/>
        <v>-1.1082728374520845E-2</v>
      </c>
      <c r="K1380" s="16">
        <f t="shared" si="56"/>
        <v>-2.9449586113729734E-2</v>
      </c>
      <c r="L1380" s="16">
        <f t="shared" si="56"/>
        <v>-1.4518005553728399E-2</v>
      </c>
    </row>
    <row r="1381" spans="1:12" x14ac:dyDescent="0.35">
      <c r="A1381" s="18">
        <v>44258</v>
      </c>
      <c r="B1381" s="15">
        <v>358.088623046875</v>
      </c>
      <c r="C1381" s="15">
        <v>74.542472839355469</v>
      </c>
      <c r="D1381" s="15">
        <v>160.6199951171875</v>
      </c>
      <c r="E1381" s="15">
        <v>300.7523193359375</v>
      </c>
      <c r="F1381" s="15">
        <v>187.77073669433591</v>
      </c>
      <c r="H1381" s="16">
        <f t="shared" si="57"/>
        <v>-1.2451917223587518E-2</v>
      </c>
      <c r="I1381" s="16">
        <f t="shared" si="57"/>
        <v>-3.1659723857030615E-3</v>
      </c>
      <c r="J1381" s="16">
        <f t="shared" si="57"/>
        <v>-9.8855956672333697E-3</v>
      </c>
      <c r="K1381" s="16">
        <f t="shared" si="56"/>
        <v>-1.650214704293302E-2</v>
      </c>
      <c r="L1381" s="16">
        <f t="shared" si="56"/>
        <v>-1.5947887539248421E-2</v>
      </c>
    </row>
    <row r="1382" spans="1:12" x14ac:dyDescent="0.35">
      <c r="A1382" s="18">
        <v>44259</v>
      </c>
      <c r="B1382" s="15">
        <v>353.65737915039063</v>
      </c>
      <c r="C1382" s="15">
        <v>74.306846618652344</v>
      </c>
      <c r="D1382" s="15">
        <v>159.03999328613281</v>
      </c>
      <c r="E1382" s="15">
        <v>295.82998657226563</v>
      </c>
      <c r="F1382" s="15">
        <v>184.79994201660159</v>
      </c>
      <c r="H1382" s="16">
        <f t="shared" si="57"/>
        <v>1.8229373201851719E-2</v>
      </c>
      <c r="I1382" s="16">
        <f t="shared" si="57"/>
        <v>-5.8746883457451589E-4</v>
      </c>
      <c r="J1382" s="16">
        <f t="shared" si="57"/>
        <v>6.2861342077316651E-4</v>
      </c>
      <c r="K1382" s="16">
        <f t="shared" si="56"/>
        <v>1.4948437437306351E-2</v>
      </c>
      <c r="L1382" s="16">
        <f t="shared" si="56"/>
        <v>1.7892566225649418E-2</v>
      </c>
    </row>
    <row r="1383" spans="1:12" x14ac:dyDescent="0.35">
      <c r="A1383" s="18">
        <v>44260</v>
      </c>
      <c r="B1383" s="15">
        <v>360.1634521484375</v>
      </c>
      <c r="C1383" s="15">
        <v>74.263206481933594</v>
      </c>
      <c r="D1383" s="15">
        <v>159.13999938964841</v>
      </c>
      <c r="E1383" s="15">
        <v>300.285400390625</v>
      </c>
      <c r="F1383" s="15">
        <v>188.13624572753909</v>
      </c>
      <c r="H1383" s="16">
        <f t="shared" si="57"/>
        <v>-4.9910668161980039E-3</v>
      </c>
      <c r="I1383" s="16">
        <f t="shared" si="57"/>
        <v>-4.5934176063074815E-3</v>
      </c>
      <c r="J1383" s="16">
        <f t="shared" si="57"/>
        <v>-1.0422315048140897E-2</v>
      </c>
      <c r="K1383" s="16">
        <f t="shared" si="56"/>
        <v>-2.8722599368726696E-2</v>
      </c>
      <c r="L1383" s="16">
        <f t="shared" si="56"/>
        <v>-4.893582545686029E-3</v>
      </c>
    </row>
    <row r="1384" spans="1:12" x14ac:dyDescent="0.35">
      <c r="A1384" s="18">
        <v>44263</v>
      </c>
      <c r="B1384" s="15">
        <v>358.37033081054688</v>
      </c>
      <c r="C1384" s="15">
        <v>73.922866821289063</v>
      </c>
      <c r="D1384" s="15">
        <v>157.49000549316409</v>
      </c>
      <c r="E1384" s="15">
        <v>291.78311157226563</v>
      </c>
      <c r="F1384" s="15">
        <v>187.21783447265619</v>
      </c>
      <c r="H1384" s="16">
        <f t="shared" si="57"/>
        <v>1.4176384368450114E-2</v>
      </c>
      <c r="I1384" s="16">
        <f t="shared" si="57"/>
        <v>3.2998729305208428E-3</v>
      </c>
      <c r="J1384" s="16">
        <f t="shared" si="57"/>
        <v>2.1048060194489036E-2</v>
      </c>
      <c r="K1384" s="16">
        <f t="shared" si="56"/>
        <v>3.8683141326254361E-2</v>
      </c>
      <c r="L1384" s="16">
        <f t="shared" si="56"/>
        <v>1.5398728812797033E-2</v>
      </c>
    </row>
    <row r="1385" spans="1:12" x14ac:dyDescent="0.35">
      <c r="A1385" s="18">
        <v>44264</v>
      </c>
      <c r="B1385" s="15">
        <v>363.48690795898438</v>
      </c>
      <c r="C1385" s="15">
        <v>74.167205810546875</v>
      </c>
      <c r="D1385" s="15">
        <v>160.8399963378906</v>
      </c>
      <c r="E1385" s="15">
        <v>303.29135131835938</v>
      </c>
      <c r="F1385" s="15">
        <v>190.12306213378909</v>
      </c>
      <c r="H1385" s="16">
        <f t="shared" si="57"/>
        <v>6.2054251797369836E-3</v>
      </c>
      <c r="I1385" s="16">
        <f t="shared" si="57"/>
        <v>1.8810135103610696E-3</v>
      </c>
      <c r="J1385" s="16">
        <f t="shared" si="57"/>
        <v>5.0853276984307149E-3</v>
      </c>
      <c r="K1385" s="16">
        <f t="shared" si="56"/>
        <v>-2.8588101642950036E-3</v>
      </c>
      <c r="L1385" s="16">
        <f t="shared" si="56"/>
        <v>7.121904685942957E-3</v>
      </c>
    </row>
    <row r="1386" spans="1:12" x14ac:dyDescent="0.35">
      <c r="A1386" s="18">
        <v>44265</v>
      </c>
      <c r="B1386" s="15">
        <v>365.74951171875</v>
      </c>
      <c r="C1386" s="15">
        <v>74.306846618652344</v>
      </c>
      <c r="D1386" s="15">
        <v>161.6600036621094</v>
      </c>
      <c r="E1386" s="15">
        <v>302.425537109375</v>
      </c>
      <c r="F1386" s="15">
        <v>191.48193359375</v>
      </c>
      <c r="H1386" s="16">
        <f t="shared" si="57"/>
        <v>1.0088135267256113E-2</v>
      </c>
      <c r="I1386" s="16">
        <f t="shared" si="57"/>
        <v>1.1734970178360641E-4</v>
      </c>
      <c r="J1386" s="16">
        <f t="shared" si="57"/>
        <v>-8.6638650268309233E-4</v>
      </c>
      <c r="K1386" s="16">
        <f t="shared" si="56"/>
        <v>2.2770337346522448E-2</v>
      </c>
      <c r="L1386" s="16">
        <f t="shared" si="56"/>
        <v>1.298328670020161E-2</v>
      </c>
    </row>
    <row r="1387" spans="1:12" x14ac:dyDescent="0.35">
      <c r="A1387" s="18">
        <v>44266</v>
      </c>
      <c r="B1387" s="15">
        <v>369.45791625976563</v>
      </c>
      <c r="C1387" s="15">
        <v>74.315567016601563</v>
      </c>
      <c r="D1387" s="15">
        <v>161.52000427246091</v>
      </c>
      <c r="E1387" s="15">
        <v>309.390869140625</v>
      </c>
      <c r="F1387" s="15">
        <v>193.98420715332031</v>
      </c>
      <c r="H1387" s="16">
        <f t="shared" si="57"/>
        <v>1.3458200103742362E-3</v>
      </c>
      <c r="I1387" s="16">
        <f t="shared" si="57"/>
        <v>-6.0064903690394203E-3</v>
      </c>
      <c r="J1387" s="16">
        <f t="shared" si="57"/>
        <v>-1.8574519969108674E-4</v>
      </c>
      <c r="K1387" s="16">
        <f t="shared" si="56"/>
        <v>-8.145436369056373E-3</v>
      </c>
      <c r="L1387" s="16">
        <f t="shared" si="56"/>
        <v>1.978698758103492E-3</v>
      </c>
    </row>
    <row r="1388" spans="1:12" x14ac:dyDescent="0.35">
      <c r="A1388" s="18">
        <v>44267</v>
      </c>
      <c r="B1388" s="15">
        <v>369.95547485351563</v>
      </c>
      <c r="C1388" s="15">
        <v>73.870529174804688</v>
      </c>
      <c r="D1388" s="15">
        <v>161.49000549316409</v>
      </c>
      <c r="E1388" s="15">
        <v>306.8809814453125</v>
      </c>
      <c r="F1388" s="15">
        <v>194.36842346191409</v>
      </c>
      <c r="H1388" s="16">
        <f t="shared" si="57"/>
        <v>5.9458930663418719E-3</v>
      </c>
      <c r="I1388" s="16">
        <f t="shared" si="57"/>
        <v>1.1803171153605715E-3</v>
      </c>
      <c r="J1388" s="16">
        <f t="shared" si="57"/>
        <v>4.3868676100480824E-3</v>
      </c>
      <c r="K1388" s="16">
        <f t="shared" si="56"/>
        <v>1.0626249084054826E-2</v>
      </c>
      <c r="L1388" s="16">
        <f t="shared" si="56"/>
        <v>6.9670457988289967E-3</v>
      </c>
    </row>
    <row r="1389" spans="1:12" x14ac:dyDescent="0.35">
      <c r="A1389" s="18">
        <v>44270</v>
      </c>
      <c r="B1389" s="15">
        <v>372.1617431640625</v>
      </c>
      <c r="C1389" s="15">
        <v>73.957771301269531</v>
      </c>
      <c r="D1389" s="15">
        <v>162.19999694824219</v>
      </c>
      <c r="E1389" s="15">
        <v>310.15936279296881</v>
      </c>
      <c r="F1389" s="15">
        <v>195.7273254394531</v>
      </c>
      <c r="H1389" s="16">
        <f t="shared" si="57"/>
        <v>-1.2621331821869445E-3</v>
      </c>
      <c r="I1389" s="16">
        <f t="shared" si="57"/>
        <v>-1.1771111220420358E-4</v>
      </c>
      <c r="J1389" s="16">
        <f t="shared" si="57"/>
        <v>9.244132771237376E-4</v>
      </c>
      <c r="K1389" s="16">
        <f t="shared" si="56"/>
        <v>5.4737589416366658E-3</v>
      </c>
      <c r="L1389" s="16">
        <f t="shared" si="56"/>
        <v>-4.0301928018523885E-3</v>
      </c>
    </row>
    <row r="1390" spans="1:12" x14ac:dyDescent="0.35">
      <c r="A1390" s="18">
        <v>44271</v>
      </c>
      <c r="B1390" s="15">
        <v>371.69232177734381</v>
      </c>
      <c r="C1390" s="15">
        <v>73.949066162109375</v>
      </c>
      <c r="D1390" s="15">
        <v>162.3500061035156</v>
      </c>
      <c r="E1390" s="15">
        <v>311.86175537109381</v>
      </c>
      <c r="F1390" s="15">
        <v>194.9400939941406</v>
      </c>
      <c r="H1390" s="16">
        <f t="shared" si="57"/>
        <v>3.4040777259600735E-3</v>
      </c>
      <c r="I1390" s="16">
        <f t="shared" si="57"/>
        <v>-3.5435177678241517E-4</v>
      </c>
      <c r="J1390" s="16">
        <f t="shared" si="57"/>
        <v>7.1195808075622735E-3</v>
      </c>
      <c r="K1390" s="16">
        <f t="shared" si="56"/>
        <v>4.109330218753468E-3</v>
      </c>
      <c r="L1390" s="16">
        <f t="shared" si="56"/>
        <v>3.7905947982816179E-3</v>
      </c>
    </row>
    <row r="1391" spans="1:12" x14ac:dyDescent="0.35">
      <c r="A1391" s="18">
        <v>44272</v>
      </c>
      <c r="B1391" s="15">
        <v>372.95974731445313</v>
      </c>
      <c r="C1391" s="15">
        <v>73.922866821289063</v>
      </c>
      <c r="D1391" s="15">
        <v>163.50999450683591</v>
      </c>
      <c r="E1391" s="15">
        <v>313.14593505859381</v>
      </c>
      <c r="F1391" s="15">
        <v>195.68043518066409</v>
      </c>
      <c r="H1391" s="16">
        <f t="shared" si="57"/>
        <v>-1.4656668495222779E-2</v>
      </c>
      <c r="I1391" s="16">
        <f t="shared" si="57"/>
        <v>-4.1403687016880542E-3</v>
      </c>
      <c r="J1391" s="16">
        <f t="shared" si="57"/>
        <v>-5.8269675795912298E-3</v>
      </c>
      <c r="K1391" s="16">
        <f t="shared" si="56"/>
        <v>-3.1109555033792462E-2</v>
      </c>
      <c r="L1391" s="16">
        <f t="shared" si="56"/>
        <v>-1.8366795088166469E-2</v>
      </c>
    </row>
    <row r="1392" spans="1:12" x14ac:dyDescent="0.35">
      <c r="A1392" s="18">
        <v>44273</v>
      </c>
      <c r="B1392" s="15">
        <v>367.53326416015619</v>
      </c>
      <c r="C1392" s="15">
        <v>73.617431640625</v>
      </c>
      <c r="D1392" s="15">
        <v>162.55999755859381</v>
      </c>
      <c r="E1392" s="15">
        <v>303.5540771484375</v>
      </c>
      <c r="F1392" s="15">
        <v>192.11921691894531</v>
      </c>
      <c r="H1392" s="16">
        <f t="shared" si="57"/>
        <v>-1.8520327615852588E-3</v>
      </c>
      <c r="I1392" s="16">
        <f t="shared" si="57"/>
        <v>8.2967409777841479E-4</v>
      </c>
      <c r="J1392" s="16">
        <f t="shared" si="57"/>
        <v>4.1743948168261368E-3</v>
      </c>
      <c r="K1392" s="16">
        <f t="shared" si="56"/>
        <v>3.5188336567989775E-3</v>
      </c>
      <c r="L1392" s="16">
        <f t="shared" si="56"/>
        <v>1.2675109413359243E-3</v>
      </c>
    </row>
    <row r="1393" spans="1:12" x14ac:dyDescent="0.35">
      <c r="A1393" s="18">
        <v>44274</v>
      </c>
      <c r="B1393" s="15">
        <v>366.85321044921881</v>
      </c>
      <c r="C1393" s="15">
        <v>73.678535461425781</v>
      </c>
      <c r="D1393" s="15">
        <v>163.24000549316409</v>
      </c>
      <c r="E1393" s="15">
        <v>304.62411499023438</v>
      </c>
      <c r="F1393" s="15">
        <v>192.3628845214844</v>
      </c>
      <c r="H1393" s="16">
        <f t="shared" si="57"/>
        <v>7.9533667974539882E-3</v>
      </c>
      <c r="I1393" s="16">
        <f t="shared" si="57"/>
        <v>2.8389250474607965E-3</v>
      </c>
      <c r="J1393" s="16">
        <f t="shared" si="57"/>
        <v>-1.4713433816879551E-3</v>
      </c>
      <c r="K1393" s="16">
        <f t="shared" si="56"/>
        <v>1.8579526829281757E-2</v>
      </c>
      <c r="L1393" s="16">
        <f t="shared" si="56"/>
        <v>5.3931924969915683E-3</v>
      </c>
    </row>
    <row r="1394" spans="1:12" x14ac:dyDescent="0.35">
      <c r="A1394" s="18">
        <v>44277</v>
      </c>
      <c r="B1394" s="15">
        <v>369.78256225585938</v>
      </c>
      <c r="C1394" s="15">
        <v>73.88800048828125</v>
      </c>
      <c r="D1394" s="15">
        <v>163</v>
      </c>
      <c r="E1394" s="15">
        <v>310.3367919921875</v>
      </c>
      <c r="F1394" s="15">
        <v>193.40313720703119</v>
      </c>
      <c r="H1394" s="16">
        <f t="shared" si="57"/>
        <v>-7.9019582831780164E-3</v>
      </c>
      <c r="I1394" s="16">
        <f t="shared" si="57"/>
        <v>2.2406257214529399E-3</v>
      </c>
      <c r="J1394" s="16">
        <f t="shared" si="57"/>
        <v>-7.3274084831503215E-3</v>
      </c>
      <c r="K1394" s="16">
        <f t="shared" si="56"/>
        <v>-4.3721650964905039E-3</v>
      </c>
      <c r="L1394" s="16">
        <f t="shared" si="56"/>
        <v>-1.145274950448894E-2</v>
      </c>
    </row>
    <row r="1395" spans="1:12" x14ac:dyDescent="0.35">
      <c r="A1395" s="18">
        <v>44278</v>
      </c>
      <c r="B1395" s="15">
        <v>366.8720703125</v>
      </c>
      <c r="C1395" s="15">
        <v>74.053741455078125</v>
      </c>
      <c r="D1395" s="15">
        <v>161.80999755859381</v>
      </c>
      <c r="E1395" s="15">
        <v>308.98291015625</v>
      </c>
      <c r="F1395" s="15">
        <v>191.2007751464844</v>
      </c>
      <c r="H1395" s="16">
        <f t="shared" si="57"/>
        <v>-5.0963705540295647E-3</v>
      </c>
      <c r="I1395" s="16">
        <f t="shared" si="57"/>
        <v>1.5310167655168947E-3</v>
      </c>
      <c r="J1395" s="16">
        <f t="shared" si="57"/>
        <v>3.4548592032759679E-3</v>
      </c>
      <c r="K1395" s="16">
        <f t="shared" si="56"/>
        <v>-1.7009140739856286E-2</v>
      </c>
      <c r="L1395" s="16">
        <f t="shared" si="56"/>
        <v>-8.3180247128375323E-3</v>
      </c>
    </row>
    <row r="1396" spans="1:12" x14ac:dyDescent="0.35">
      <c r="A1396" s="18">
        <v>44279</v>
      </c>
      <c r="B1396" s="15">
        <v>365.00711059570313</v>
      </c>
      <c r="C1396" s="15">
        <v>74.167205810546875</v>
      </c>
      <c r="D1396" s="15">
        <v>162.3699951171875</v>
      </c>
      <c r="E1396" s="15">
        <v>303.77182006835938</v>
      </c>
      <c r="F1396" s="15">
        <v>189.61695861816409</v>
      </c>
      <c r="H1396" s="16">
        <f t="shared" si="57"/>
        <v>5.6099778313991574E-3</v>
      </c>
      <c r="I1396" s="16">
        <f t="shared" si="57"/>
        <v>-7.0622892603131482E-4</v>
      </c>
      <c r="J1396" s="16">
        <f t="shared" si="57"/>
        <v>-3.6402714825326571E-3</v>
      </c>
      <c r="K1396" s="16">
        <f t="shared" si="56"/>
        <v>-1.7330669630781805E-3</v>
      </c>
      <c r="L1396" s="16">
        <f t="shared" si="56"/>
        <v>7.3714080380032155E-3</v>
      </c>
    </row>
    <row r="1397" spans="1:12" x14ac:dyDescent="0.35">
      <c r="A1397" s="18">
        <v>44280</v>
      </c>
      <c r="B1397" s="15">
        <v>367.060546875</v>
      </c>
      <c r="C1397" s="15">
        <v>74.114845275878906</v>
      </c>
      <c r="D1397" s="15">
        <v>161.7799987792969</v>
      </c>
      <c r="E1397" s="15">
        <v>303.24581909179688</v>
      </c>
      <c r="F1397" s="15">
        <v>191.0198669433594</v>
      </c>
      <c r="H1397" s="16">
        <f t="shared" si="57"/>
        <v>1.5986315586557109E-2</v>
      </c>
      <c r="I1397" s="16">
        <f t="shared" si="57"/>
        <v>-1.7673965459548699E-3</v>
      </c>
      <c r="J1397" s="16">
        <f t="shared" si="57"/>
        <v>2.8393742167224689E-3</v>
      </c>
      <c r="K1397" s="16">
        <f t="shared" si="56"/>
        <v>1.488897091803356E-2</v>
      </c>
      <c r="L1397" s="16">
        <f t="shared" si="56"/>
        <v>1.621059551445651E-2</v>
      </c>
    </row>
    <row r="1398" spans="1:12" x14ac:dyDescent="0.35">
      <c r="A1398" s="18">
        <v>44281</v>
      </c>
      <c r="B1398" s="15">
        <v>372.97564697265619</v>
      </c>
      <c r="C1398" s="15">
        <v>73.983970642089844</v>
      </c>
      <c r="D1398" s="15">
        <v>162.24000549316409</v>
      </c>
      <c r="E1398" s="15">
        <v>307.79461669921881</v>
      </c>
      <c r="F1398" s="15">
        <v>194.14164733886719</v>
      </c>
      <c r="H1398" s="16">
        <f t="shared" si="57"/>
        <v>-5.0529608486895596E-4</v>
      </c>
      <c r="I1398" s="16">
        <f t="shared" si="57"/>
        <v>-1.2980170149835047E-3</v>
      </c>
      <c r="J1398" s="16">
        <f t="shared" si="57"/>
        <v>-1.196732878877753E-2</v>
      </c>
      <c r="K1398" s="16">
        <f t="shared" si="56"/>
        <v>-2.8479694230143862E-4</v>
      </c>
      <c r="L1398" s="16">
        <f t="shared" si="56"/>
        <v>-4.7090775238256243E-3</v>
      </c>
    </row>
    <row r="1399" spans="1:12" x14ac:dyDescent="0.35">
      <c r="A1399" s="18">
        <v>44284</v>
      </c>
      <c r="B1399" s="15">
        <v>372.7872314453125</v>
      </c>
      <c r="C1399" s="15">
        <v>73.88800048828125</v>
      </c>
      <c r="D1399" s="15">
        <v>160.30999755859381</v>
      </c>
      <c r="E1399" s="15">
        <v>307.70697021484381</v>
      </c>
      <c r="F1399" s="15">
        <v>193.22956848144531</v>
      </c>
      <c r="H1399" s="16">
        <f t="shared" si="57"/>
        <v>-2.6563858808301257E-3</v>
      </c>
      <c r="I1399" s="16">
        <f t="shared" si="57"/>
        <v>1.0615297033646099E-3</v>
      </c>
      <c r="J1399" s="16">
        <f t="shared" si="57"/>
        <v>-1.723957501602924E-2</v>
      </c>
      <c r="K1399" s="16">
        <f t="shared" si="56"/>
        <v>-5.0460623539771102E-3</v>
      </c>
      <c r="L1399" s="16">
        <f t="shared" si="56"/>
        <v>-2.9198419101637049E-4</v>
      </c>
    </row>
    <row r="1400" spans="1:12" x14ac:dyDescent="0.35">
      <c r="A1400" s="18">
        <v>44285</v>
      </c>
      <c r="B1400" s="15">
        <v>371.79827880859381</v>
      </c>
      <c r="C1400" s="15">
        <v>73.966476440429688</v>
      </c>
      <c r="D1400" s="15">
        <v>157.57000732421881</v>
      </c>
      <c r="E1400" s="15">
        <v>306.15817260742188</v>
      </c>
      <c r="F1400" s="15">
        <v>193.17315673828119</v>
      </c>
      <c r="H1400" s="16">
        <f t="shared" si="57"/>
        <v>4.0451318316863574E-3</v>
      </c>
      <c r="I1400" s="16">
        <f t="shared" si="57"/>
        <v>-4.7180092795366413E-4</v>
      </c>
      <c r="J1400" s="16">
        <f t="shared" si="57"/>
        <v>1.5053975494508926E-2</v>
      </c>
      <c r="K1400" s="16">
        <f t="shared" si="56"/>
        <v>1.5187029353435886E-2</v>
      </c>
      <c r="L1400" s="16">
        <f t="shared" si="56"/>
        <v>6.0661011720113808E-3</v>
      </c>
    </row>
    <row r="1401" spans="1:12" x14ac:dyDescent="0.35">
      <c r="A1401" s="18">
        <v>44286</v>
      </c>
      <c r="B1401" s="15">
        <v>373.3052978515625</v>
      </c>
      <c r="C1401" s="15">
        <v>73.931587219238281</v>
      </c>
      <c r="D1401" s="15">
        <v>159.96000671386719</v>
      </c>
      <c r="E1401" s="15">
        <v>310.84329223632813</v>
      </c>
      <c r="F1401" s="15">
        <v>194.34852600097659</v>
      </c>
      <c r="H1401" s="16">
        <f t="shared" si="57"/>
        <v>1.0741073091732617E-2</v>
      </c>
      <c r="I1401" s="16">
        <f t="shared" si="57"/>
        <v>3.2128763476318317E-3</v>
      </c>
      <c r="J1401" s="16">
        <f t="shared" si="57"/>
        <v>1.2549018493591996E-2</v>
      </c>
      <c r="K1401" s="16">
        <f t="shared" si="56"/>
        <v>1.6902862225471268E-2</v>
      </c>
      <c r="L1401" s="16">
        <f t="shared" si="56"/>
        <v>1.2452892244159968E-2</v>
      </c>
    </row>
    <row r="1402" spans="1:12" x14ac:dyDescent="0.35">
      <c r="A1402" s="18">
        <v>44287</v>
      </c>
      <c r="B1402" s="15">
        <v>377.33660888671881</v>
      </c>
      <c r="C1402" s="15">
        <v>74.169502258300781</v>
      </c>
      <c r="D1402" s="15">
        <v>161.97999572753909</v>
      </c>
      <c r="E1402" s="15">
        <v>316.14208984375</v>
      </c>
      <c r="F1402" s="15">
        <v>196.78385925292969</v>
      </c>
      <c r="H1402" s="16">
        <f t="shared" si="57"/>
        <v>1.4251240648607508E-2</v>
      </c>
      <c r="I1402" s="16">
        <f t="shared" si="57"/>
        <v>-1.5339569655069291E-3</v>
      </c>
      <c r="J1402" s="16">
        <f t="shared" si="57"/>
        <v>-3.7046965366204789E-4</v>
      </c>
      <c r="K1402" s="16">
        <f t="shared" si="56"/>
        <v>1.9767905742481131E-2</v>
      </c>
      <c r="L1402" s="16">
        <f t="shared" si="56"/>
        <v>1.1591600299959237E-2</v>
      </c>
    </row>
    <row r="1403" spans="1:12" x14ac:dyDescent="0.35">
      <c r="A1403" s="18">
        <v>44291</v>
      </c>
      <c r="B1403" s="15">
        <v>382.75262451171881</v>
      </c>
      <c r="C1403" s="15">
        <v>74.055816650390625</v>
      </c>
      <c r="D1403" s="15">
        <v>161.91999816894531</v>
      </c>
      <c r="E1403" s="15">
        <v>322.4537353515625</v>
      </c>
      <c r="F1403" s="15">
        <v>199.07817077636719</v>
      </c>
      <c r="H1403" s="16">
        <f t="shared" si="57"/>
        <v>-5.9098767082306893E-4</v>
      </c>
      <c r="I1403" s="16">
        <f t="shared" si="57"/>
        <v>3.536980666780775E-3</v>
      </c>
      <c r="J1403" s="16">
        <f t="shared" si="57"/>
        <v>7.9966167292690685E-3</v>
      </c>
      <c r="K1403" s="16">
        <f t="shared" si="56"/>
        <v>-6.9481695779863338E-4</v>
      </c>
      <c r="L1403" s="16">
        <f t="shared" si="56"/>
        <v>3.7772281870723231E-4</v>
      </c>
    </row>
    <row r="1404" spans="1:12" x14ac:dyDescent="0.35">
      <c r="A1404" s="18">
        <v>44292</v>
      </c>
      <c r="B1404" s="15">
        <v>382.5264892578125</v>
      </c>
      <c r="C1404" s="15">
        <v>74.318214416503906</v>
      </c>
      <c r="D1404" s="15">
        <v>163.2200012207031</v>
      </c>
      <c r="E1404" s="15">
        <v>322.22976684570313</v>
      </c>
      <c r="F1404" s="15">
        <v>199.15338134765619</v>
      </c>
      <c r="H1404" s="16">
        <f t="shared" si="57"/>
        <v>1.1566846343933881E-3</v>
      </c>
      <c r="I1404" s="16">
        <f t="shared" si="57"/>
        <v>-1.1778781550850356E-3</v>
      </c>
      <c r="J1404" s="16">
        <f t="shared" si="57"/>
        <v>-2.8223021365765604E-3</v>
      </c>
      <c r="K1404" s="16">
        <f t="shared" si="56"/>
        <v>2.4152477337082302E-3</v>
      </c>
      <c r="L1404" s="16">
        <f t="shared" si="56"/>
        <v>-8.5021126262794068E-4</v>
      </c>
    </row>
    <row r="1405" spans="1:12" x14ac:dyDescent="0.35">
      <c r="A1405" s="18">
        <v>44293</v>
      </c>
      <c r="B1405" s="15">
        <v>382.96920776367188</v>
      </c>
      <c r="C1405" s="15">
        <v>74.230728149414063</v>
      </c>
      <c r="D1405" s="15">
        <v>162.75999450683591</v>
      </c>
      <c r="E1405" s="15">
        <v>323.00897216796881</v>
      </c>
      <c r="F1405" s="15">
        <v>198.984130859375</v>
      </c>
      <c r="H1405" s="16">
        <f t="shared" si="57"/>
        <v>4.7357095307903998E-3</v>
      </c>
      <c r="I1405" s="16">
        <f t="shared" si="57"/>
        <v>2.2362400585792578E-3</v>
      </c>
      <c r="J1405" s="16">
        <f t="shared" si="57"/>
        <v>1.0694635856861524E-2</v>
      </c>
      <c r="K1405" s="16">
        <f t="shared" si="56"/>
        <v>1.0379549619860543E-2</v>
      </c>
      <c r="L1405" s="16">
        <f t="shared" si="56"/>
        <v>5.795548553600355E-3</v>
      </c>
    </row>
    <row r="1406" spans="1:12" x14ac:dyDescent="0.35">
      <c r="A1406" s="18">
        <v>44294</v>
      </c>
      <c r="B1406" s="15">
        <v>384.78713989257813</v>
      </c>
      <c r="C1406" s="15">
        <v>74.39691162109375</v>
      </c>
      <c r="D1406" s="15">
        <v>164.50999450683591</v>
      </c>
      <c r="E1406" s="15">
        <v>326.37911987304688</v>
      </c>
      <c r="F1406" s="15">
        <v>200.14070129394531</v>
      </c>
      <c r="H1406" s="16">
        <f t="shared" si="57"/>
        <v>7.2437572058856583E-3</v>
      </c>
      <c r="I1406" s="16">
        <f t="shared" si="57"/>
        <v>-1.2938881784937076E-3</v>
      </c>
      <c r="J1406" s="16">
        <f t="shared" si="57"/>
        <v>-7.5660269341201441E-3</v>
      </c>
      <c r="K1406" s="16">
        <f t="shared" si="56"/>
        <v>6.0398129535480429E-3</v>
      </c>
      <c r="L1406" s="16">
        <f t="shared" si="56"/>
        <v>6.0422795507598902E-3</v>
      </c>
    </row>
    <row r="1407" spans="1:12" x14ac:dyDescent="0.35">
      <c r="A1407" s="18">
        <v>44295</v>
      </c>
      <c r="B1407" s="15">
        <v>387.58456420898438</v>
      </c>
      <c r="C1407" s="15">
        <v>74.300712585449219</v>
      </c>
      <c r="D1407" s="15">
        <v>163.27000427246091</v>
      </c>
      <c r="E1407" s="15">
        <v>328.35635375976563</v>
      </c>
      <c r="F1407" s="15">
        <v>201.3536682128906</v>
      </c>
      <c r="H1407" s="16">
        <f t="shared" si="57"/>
        <v>3.6456855416305936E-4</v>
      </c>
      <c r="I1407" s="16">
        <f t="shared" si="57"/>
        <v>-2.3599258817582109E-4</v>
      </c>
      <c r="J1407" s="16">
        <f t="shared" si="57"/>
        <v>-6.0820674900999286E-3</v>
      </c>
      <c r="K1407" s="16">
        <f t="shared" si="56"/>
        <v>-1.3056425665975997E-3</v>
      </c>
      <c r="L1407" s="16">
        <f t="shared" si="56"/>
        <v>2.8027476202444496E-4</v>
      </c>
    </row>
    <row r="1408" spans="1:12" x14ac:dyDescent="0.35">
      <c r="A1408" s="18">
        <v>44298</v>
      </c>
      <c r="B1408" s="15">
        <v>387.72589111328119</v>
      </c>
      <c r="C1408" s="15">
        <v>74.283180236816406</v>
      </c>
      <c r="D1408" s="15">
        <v>162.2799987792969</v>
      </c>
      <c r="E1408" s="15">
        <v>327.92791748046881</v>
      </c>
      <c r="F1408" s="15">
        <v>201.41011047363281</v>
      </c>
      <c r="H1408" s="16">
        <f t="shared" si="57"/>
        <v>2.959409938824467E-3</v>
      </c>
      <c r="I1408" s="16">
        <f t="shared" si="57"/>
        <v>2.5875334903841312E-3</v>
      </c>
      <c r="J1408" s="16">
        <f t="shared" si="57"/>
        <v>7.0614884732896942E-3</v>
      </c>
      <c r="K1408" s="16">
        <f t="shared" si="56"/>
        <v>1.1605330646312827E-2</v>
      </c>
      <c r="L1408" s="16">
        <f t="shared" si="56"/>
        <v>2.7972268411130515E-3</v>
      </c>
    </row>
    <row r="1409" spans="1:12" x14ac:dyDescent="0.35">
      <c r="A1409" s="18">
        <v>44299</v>
      </c>
      <c r="B1409" s="15">
        <v>388.87503051757813</v>
      </c>
      <c r="C1409" s="15">
        <v>74.475639343261719</v>
      </c>
      <c r="D1409" s="15">
        <v>163.42999267578119</v>
      </c>
      <c r="E1409" s="15">
        <v>331.75579833984381</v>
      </c>
      <c r="F1409" s="15">
        <v>201.97428894042969</v>
      </c>
      <c r="H1409" s="16">
        <f t="shared" si="57"/>
        <v>-3.421145729531695E-3</v>
      </c>
      <c r="I1409" s="16">
        <f t="shared" si="57"/>
        <v>-7.0504585154815367E-4</v>
      </c>
      <c r="J1409" s="16">
        <f t="shared" si="57"/>
        <v>-4.3537794872207224E-3</v>
      </c>
      <c r="K1409" s="16">
        <f t="shared" si="56"/>
        <v>-1.2080803587010082E-2</v>
      </c>
      <c r="L1409" s="16">
        <f t="shared" si="56"/>
        <v>-2.2373671731253479E-3</v>
      </c>
    </row>
    <row r="1410" spans="1:12" x14ac:dyDescent="0.35">
      <c r="A1410" s="18">
        <v>44300</v>
      </c>
      <c r="B1410" s="15">
        <v>387.54690551757813</v>
      </c>
      <c r="C1410" s="15">
        <v>74.423149108886719</v>
      </c>
      <c r="D1410" s="15">
        <v>162.7200012207031</v>
      </c>
      <c r="E1410" s="15">
        <v>327.77203369140619</v>
      </c>
      <c r="F1410" s="15">
        <v>201.52290344238281</v>
      </c>
      <c r="H1410" s="16">
        <f t="shared" si="57"/>
        <v>1.0685094034587972E-2</v>
      </c>
      <c r="I1410" s="16">
        <f t="shared" si="57"/>
        <v>4.2222254940239776E-3</v>
      </c>
      <c r="J1410" s="16">
        <f t="shared" si="57"/>
        <v>1.6033536538392502E-2</v>
      </c>
      <c r="K1410" s="16">
        <f t="shared" si="56"/>
        <v>1.504183506108905E-2</v>
      </c>
      <c r="L1410" s="16">
        <f t="shared" si="56"/>
        <v>1.0582180265776958E-2</v>
      </c>
    </row>
    <row r="1411" spans="1:12" x14ac:dyDescent="0.35">
      <c r="A1411" s="18">
        <v>44301</v>
      </c>
      <c r="B1411" s="15">
        <v>391.7100830078125</v>
      </c>
      <c r="C1411" s="15">
        <v>74.738044738769531</v>
      </c>
      <c r="D1411" s="15">
        <v>165.3500061035156</v>
      </c>
      <c r="E1411" s="15">
        <v>332.73959350585938</v>
      </c>
      <c r="F1411" s="15">
        <v>203.6667785644531</v>
      </c>
      <c r="H1411" s="16">
        <f t="shared" si="57"/>
        <v>3.3368605779074191E-3</v>
      </c>
      <c r="I1411" s="16">
        <f t="shared" si="57"/>
        <v>-2.6957315909124074E-3</v>
      </c>
      <c r="J1411" s="16">
        <f t="shared" si="57"/>
        <v>6.0295628147861114E-3</v>
      </c>
      <c r="K1411" s="16">
        <f t="shared" si="56"/>
        <v>1.1701628361867563E-3</v>
      </c>
      <c r="L1411" s="16">
        <f t="shared" si="56"/>
        <v>2.5360573630292585E-3</v>
      </c>
    </row>
    <row r="1412" spans="1:12" x14ac:dyDescent="0.35">
      <c r="A1412" s="18">
        <v>44302</v>
      </c>
      <c r="B1412" s="15">
        <v>393.01934814453119</v>
      </c>
      <c r="C1412" s="15">
        <v>74.536842346191406</v>
      </c>
      <c r="D1412" s="15">
        <v>166.3500061035156</v>
      </c>
      <c r="E1412" s="15">
        <v>333.12918090820313</v>
      </c>
      <c r="F1412" s="15">
        <v>204.18394470214841</v>
      </c>
      <c r="H1412" s="16">
        <f t="shared" si="57"/>
        <v>-4.9251190604148488E-3</v>
      </c>
      <c r="I1412" s="16">
        <f t="shared" si="57"/>
        <v>-5.868845802760854E-4</v>
      </c>
      <c r="J1412" s="16">
        <f t="shared" si="57"/>
        <v>-2.7691247303623773E-3</v>
      </c>
      <c r="K1412" s="16">
        <f t="shared" si="56"/>
        <v>-9.1939499418310141E-3</v>
      </c>
      <c r="L1412" s="16">
        <f t="shared" si="56"/>
        <v>-6.5607762118027593E-3</v>
      </c>
    </row>
    <row r="1413" spans="1:12" x14ac:dyDescent="0.35">
      <c r="A1413" s="18">
        <v>44305</v>
      </c>
      <c r="B1413" s="15">
        <v>391.08843994140619</v>
      </c>
      <c r="C1413" s="15">
        <v>74.493110656738281</v>
      </c>
      <c r="D1413" s="15">
        <v>165.88999938964841</v>
      </c>
      <c r="E1413" s="15">
        <v>330.0804443359375</v>
      </c>
      <c r="F1413" s="15">
        <v>202.8487243652344</v>
      </c>
      <c r="H1413" s="16">
        <f t="shared" si="57"/>
        <v>-7.3484035162051254E-3</v>
      </c>
      <c r="I1413" s="16">
        <f t="shared" si="57"/>
        <v>1.6425527817473969E-3</v>
      </c>
      <c r="J1413" s="16">
        <f t="shared" si="57"/>
        <v>3.5502419969411954E-3</v>
      </c>
      <c r="K1413" s="16">
        <f t="shared" si="56"/>
        <v>-7.3152868209070653E-3</v>
      </c>
      <c r="L1413" s="16">
        <f t="shared" si="56"/>
        <v>-9.2205778269218511E-3</v>
      </c>
    </row>
    <row r="1414" spans="1:12" x14ac:dyDescent="0.35">
      <c r="A1414" s="18">
        <v>44306</v>
      </c>
      <c r="B1414" s="15">
        <v>388.22509765625</v>
      </c>
      <c r="C1414" s="15">
        <v>74.615570068359375</v>
      </c>
      <c r="D1414" s="15">
        <v>166.47999572753909</v>
      </c>
      <c r="E1414" s="15">
        <v>327.67462158203119</v>
      </c>
      <c r="F1414" s="15">
        <v>200.9869384765625</v>
      </c>
      <c r="H1414" s="16">
        <f t="shared" si="57"/>
        <v>9.4175539527127719E-3</v>
      </c>
      <c r="I1414" s="16">
        <f t="shared" si="57"/>
        <v>1.0545549412497915E-3</v>
      </c>
      <c r="J1414" s="16">
        <f t="shared" si="57"/>
        <v>9.862362310853667E-3</v>
      </c>
      <c r="K1414" s="16">
        <f t="shared" si="56"/>
        <v>8.5246983119053356E-3</v>
      </c>
      <c r="L1414" s="16">
        <f t="shared" si="56"/>
        <v>1.1859358869624161E-2</v>
      </c>
    </row>
    <row r="1415" spans="1:12" x14ac:dyDescent="0.35">
      <c r="A1415" s="18">
        <v>44307</v>
      </c>
      <c r="B1415" s="15">
        <v>391.89849853515619</v>
      </c>
      <c r="C1415" s="15">
        <v>74.694297790527344</v>
      </c>
      <c r="D1415" s="15">
        <v>168.1300048828125</v>
      </c>
      <c r="E1415" s="15">
        <v>330.47988891601563</v>
      </c>
      <c r="F1415" s="15">
        <v>203.38470458984381</v>
      </c>
      <c r="H1415" s="16">
        <f t="shared" si="57"/>
        <v>-9.174999245258629E-3</v>
      </c>
      <c r="I1415" s="16">
        <f t="shared" si="57"/>
        <v>4.681074808767451E-4</v>
      </c>
      <c r="J1415" s="16">
        <f t="shared" si="57"/>
        <v>-6.5042542316209404E-3</v>
      </c>
      <c r="K1415" s="16">
        <f t="shared" si="56"/>
        <v>-1.2128009266513412E-2</v>
      </c>
      <c r="L1415" s="16">
        <f t="shared" si="56"/>
        <v>-7.843784744280902E-3</v>
      </c>
    </row>
    <row r="1416" spans="1:12" x14ac:dyDescent="0.35">
      <c r="A1416" s="18">
        <v>44308</v>
      </c>
      <c r="B1416" s="15">
        <v>388.31927490234381</v>
      </c>
      <c r="C1416" s="15">
        <v>74.729270935058594</v>
      </c>
      <c r="D1416" s="15">
        <v>167.03999328613281</v>
      </c>
      <c r="E1416" s="15">
        <v>326.49603271484381</v>
      </c>
      <c r="F1416" s="15">
        <v>201.79563903808591</v>
      </c>
      <c r="H1416" s="16">
        <f t="shared" si="57"/>
        <v>1.0784001162132854E-2</v>
      </c>
      <c r="I1416" s="16">
        <f t="shared" si="57"/>
        <v>1.1740096731472876E-4</v>
      </c>
      <c r="J1416" s="16">
        <f t="shared" si="57"/>
        <v>-3.8387727937763318E-3</v>
      </c>
      <c r="K1416" s="16">
        <f t="shared" si="56"/>
        <v>1.2510883307248415E-2</v>
      </c>
      <c r="L1416" s="16">
        <f t="shared" si="56"/>
        <v>1.2042095500115988E-2</v>
      </c>
    </row>
    <row r="1417" spans="1:12" x14ac:dyDescent="0.35">
      <c r="A1417" s="18">
        <v>44309</v>
      </c>
      <c r="B1417" s="15">
        <v>392.52957153320313</v>
      </c>
      <c r="C1417" s="15">
        <v>74.738044738769531</v>
      </c>
      <c r="D1417" s="15">
        <v>166.3999938964844</v>
      </c>
      <c r="E1417" s="15">
        <v>330.6064453125</v>
      </c>
      <c r="F1417" s="15">
        <v>204.24037170410159</v>
      </c>
      <c r="H1417" s="16">
        <f t="shared" si="57"/>
        <v>2.085457737840819E-3</v>
      </c>
      <c r="I1417" s="16">
        <f t="shared" si="57"/>
        <v>-7.0256956464679406E-4</v>
      </c>
      <c r="J1417" s="16">
        <f t="shared" si="57"/>
        <v>2.6407556715892554E-3</v>
      </c>
      <c r="K1417" s="16">
        <f t="shared" si="56"/>
        <v>6.490106445074556E-3</v>
      </c>
      <c r="L1417" s="16">
        <f t="shared" si="56"/>
        <v>3.6304320486211994E-3</v>
      </c>
    </row>
    <row r="1418" spans="1:12" x14ac:dyDescent="0.35">
      <c r="A1418" s="18">
        <v>44312</v>
      </c>
      <c r="B1418" s="15">
        <v>393.34902954101563</v>
      </c>
      <c r="C1418" s="15">
        <v>74.685554504394531</v>
      </c>
      <c r="D1418" s="15">
        <v>166.8399963378906</v>
      </c>
      <c r="E1418" s="15">
        <v>332.75909423828119</v>
      </c>
      <c r="F1418" s="15">
        <v>204.98320007324219</v>
      </c>
      <c r="H1418" s="16">
        <f t="shared" si="57"/>
        <v>-2.1555148986243401E-4</v>
      </c>
      <c r="I1418" s="16">
        <f t="shared" si="57"/>
        <v>-2.5800466065416532E-3</v>
      </c>
      <c r="J1418" s="16">
        <f t="shared" si="57"/>
        <v>-2.5205449092438651E-3</v>
      </c>
      <c r="K1418" s="16">
        <f t="shared" si="56"/>
        <v>-4.3416425811593279E-3</v>
      </c>
      <c r="L1418" s="16">
        <f t="shared" si="56"/>
        <v>-4.5902311233422875E-4</v>
      </c>
    </row>
    <row r="1419" spans="1:12" x14ac:dyDescent="0.35">
      <c r="A1419" s="18">
        <v>44313</v>
      </c>
      <c r="B1419" s="15">
        <v>393.26425170898438</v>
      </c>
      <c r="C1419" s="15">
        <v>74.493110656738281</v>
      </c>
      <c r="D1419" s="15">
        <v>166.41999816894531</v>
      </c>
      <c r="E1419" s="15">
        <v>331.3175048828125</v>
      </c>
      <c r="F1419" s="15">
        <v>204.8891296386719</v>
      </c>
      <c r="H1419" s="16">
        <f t="shared" si="57"/>
        <v>-2.8739665744326501E-4</v>
      </c>
      <c r="I1419" s="16">
        <f t="shared" si="57"/>
        <v>4.6967853278081817E-4</v>
      </c>
      <c r="J1419" s="16">
        <f t="shared" si="57"/>
        <v>2.9400644612772864E-3</v>
      </c>
      <c r="K1419" s="16">
        <f t="shared" si="56"/>
        <v>-3.3867095337181082E-3</v>
      </c>
      <c r="L1419" s="16">
        <f t="shared" si="56"/>
        <v>-1.375618215759155E-4</v>
      </c>
    </row>
    <row r="1420" spans="1:12" x14ac:dyDescent="0.35">
      <c r="A1420" s="18">
        <v>44314</v>
      </c>
      <c r="B1420" s="15">
        <v>393.1512451171875</v>
      </c>
      <c r="C1420" s="15">
        <v>74.528106689453125</v>
      </c>
      <c r="D1420" s="15">
        <v>166.9100036621094</v>
      </c>
      <c r="E1420" s="15">
        <v>330.19732666015619</v>
      </c>
      <c r="F1420" s="15">
        <v>204.86094665527341</v>
      </c>
      <c r="H1420" s="16">
        <f t="shared" si="57"/>
        <v>6.3524731007445889E-3</v>
      </c>
      <c r="I1420" s="16">
        <f t="shared" si="57"/>
        <v>-8.2164682894707319E-4</v>
      </c>
      <c r="J1420" s="16">
        <f t="shared" si="57"/>
        <v>-4.1425474621685021E-3</v>
      </c>
      <c r="K1420" s="16">
        <f t="shared" si="56"/>
        <v>3.5923694936139923E-3</v>
      </c>
      <c r="L1420" s="16">
        <f t="shared" si="56"/>
        <v>3.8024507465459338E-3</v>
      </c>
    </row>
    <row r="1421" spans="1:12" x14ac:dyDescent="0.35">
      <c r="A1421" s="18">
        <v>44315</v>
      </c>
      <c r="B1421" s="15">
        <v>395.65667724609381</v>
      </c>
      <c r="C1421" s="15">
        <v>74.466896057128906</v>
      </c>
      <c r="D1421" s="15">
        <v>166.2200012207031</v>
      </c>
      <c r="E1421" s="15">
        <v>331.38565063476563</v>
      </c>
      <c r="F1421" s="15">
        <v>205.64140319824219</v>
      </c>
      <c r="H1421" s="16">
        <f t="shared" si="57"/>
        <v>-6.5921240080758616E-3</v>
      </c>
      <c r="I1421" s="16">
        <f t="shared" si="57"/>
        <v>1.408051288997753E-3</v>
      </c>
      <c r="J1421" s="16">
        <f t="shared" si="57"/>
        <v>-3.3747021924849215E-3</v>
      </c>
      <c r="K1421" s="16">
        <f t="shared" si="56"/>
        <v>-6.5760472945897942E-3</v>
      </c>
      <c r="L1421" s="16">
        <f t="shared" si="56"/>
        <v>-7.3428101947285518E-3</v>
      </c>
    </row>
    <row r="1422" spans="1:12" x14ac:dyDescent="0.35">
      <c r="A1422" s="18">
        <v>44316</v>
      </c>
      <c r="B1422" s="15">
        <v>393.05703735351563</v>
      </c>
      <c r="C1422" s="15">
        <v>74.571823120117188</v>
      </c>
      <c r="D1422" s="15">
        <v>165.6600036621094</v>
      </c>
      <c r="E1422" s="15">
        <v>329.21359252929688</v>
      </c>
      <c r="F1422" s="15">
        <v>204.13694763183591</v>
      </c>
      <c r="H1422" s="16">
        <f t="shared" si="57"/>
        <v>2.154406024967893E-3</v>
      </c>
      <c r="I1422" s="16">
        <f t="shared" si="57"/>
        <v>2.4684198642556371E-4</v>
      </c>
      <c r="J1422" s="16">
        <f t="shared" si="57"/>
        <v>1.2894855188141189E-2</v>
      </c>
      <c r="K1422" s="16">
        <f t="shared" si="56"/>
        <v>-5.339755075064706E-3</v>
      </c>
      <c r="L1422" s="16">
        <f t="shared" si="56"/>
        <v>1.7487646565257002E-3</v>
      </c>
    </row>
    <row r="1423" spans="1:12" x14ac:dyDescent="0.35">
      <c r="A1423" s="18">
        <v>44319</v>
      </c>
      <c r="B1423" s="15">
        <v>393.90475463867188</v>
      </c>
      <c r="C1423" s="15">
        <v>74.590232849121094</v>
      </c>
      <c r="D1423" s="15">
        <v>167.80999755859381</v>
      </c>
      <c r="E1423" s="15">
        <v>327.46035766601563</v>
      </c>
      <c r="F1423" s="15">
        <v>204.49424743652341</v>
      </c>
      <c r="H1423" s="16">
        <f t="shared" si="57"/>
        <v>-6.1884040207475094E-3</v>
      </c>
      <c r="I1423" s="16">
        <f t="shared" si="57"/>
        <v>1.291320869934039E-3</v>
      </c>
      <c r="J1423" s="16">
        <f t="shared" si="57"/>
        <v>-7.356686965198359E-3</v>
      </c>
      <c r="K1423" s="16">
        <f t="shared" si="56"/>
        <v>-1.8159796993167578E-2</v>
      </c>
      <c r="L1423" s="16">
        <f t="shared" si="56"/>
        <v>-7.5232283625394272E-3</v>
      </c>
    </row>
    <row r="1424" spans="1:12" x14ac:dyDescent="0.35">
      <c r="A1424" s="18">
        <v>44320</v>
      </c>
      <c r="B1424" s="15">
        <v>391.47463989257813</v>
      </c>
      <c r="C1424" s="15">
        <v>74.686614990234375</v>
      </c>
      <c r="D1424" s="15">
        <v>166.58000183105469</v>
      </c>
      <c r="E1424" s="15">
        <v>321.56741333007813</v>
      </c>
      <c r="F1424" s="15">
        <v>202.96156311035159</v>
      </c>
      <c r="H1424" s="16">
        <f t="shared" si="57"/>
        <v>3.1270833024695281E-4</v>
      </c>
      <c r="I1424" s="16">
        <f t="shared" si="57"/>
        <v>5.8607912152400287E-4</v>
      </c>
      <c r="J1424" s="16">
        <f t="shared" si="57"/>
        <v>4.1336133669810189E-3</v>
      </c>
      <c r="K1424" s="16">
        <f t="shared" si="56"/>
        <v>-3.3675879664273947E-3</v>
      </c>
      <c r="L1424" s="16">
        <f t="shared" si="56"/>
        <v>-1.8533755905904148E-4</v>
      </c>
    </row>
    <row r="1425" spans="1:12" x14ac:dyDescent="0.35">
      <c r="A1425" s="18">
        <v>44321</v>
      </c>
      <c r="B1425" s="15">
        <v>391.59707641601563</v>
      </c>
      <c r="C1425" s="15">
        <v>74.730400085449219</v>
      </c>
      <c r="D1425" s="15">
        <v>167.27000427246091</v>
      </c>
      <c r="E1425" s="15">
        <v>320.486328125</v>
      </c>
      <c r="F1425" s="15">
        <v>202.9239501953125</v>
      </c>
      <c r="H1425" s="16">
        <f t="shared" si="57"/>
        <v>7.9540349565722489E-3</v>
      </c>
      <c r="I1425" s="16">
        <f t="shared" si="57"/>
        <v>4.687997908128894E-4</v>
      </c>
      <c r="J1425" s="16">
        <f t="shared" si="57"/>
        <v>1.6542002735281041E-2</v>
      </c>
      <c r="K1425" s="16">
        <f t="shared" si="56"/>
        <v>7.5090900486227356E-3</v>
      </c>
      <c r="L1425" s="16">
        <f t="shared" si="56"/>
        <v>5.0841959682264475E-3</v>
      </c>
    </row>
    <row r="1426" spans="1:12" x14ac:dyDescent="0.35">
      <c r="A1426" s="18">
        <v>44322</v>
      </c>
      <c r="B1426" s="15">
        <v>394.72427368164063</v>
      </c>
      <c r="C1426" s="15">
        <v>74.76544189453125</v>
      </c>
      <c r="D1426" s="15">
        <v>170.05999755859381</v>
      </c>
      <c r="E1426" s="15">
        <v>322.90194702148438</v>
      </c>
      <c r="F1426" s="15">
        <v>203.9582824707031</v>
      </c>
      <c r="H1426" s="16">
        <f t="shared" si="57"/>
        <v>7.2514883223214208E-3</v>
      </c>
      <c r="I1426" s="16">
        <f t="shared" si="57"/>
        <v>1.1703807561943705E-4</v>
      </c>
      <c r="J1426" s="16">
        <f t="shared" si="57"/>
        <v>8.9565873538214897E-3</v>
      </c>
      <c r="K1426" s="16">
        <f t="shared" si="56"/>
        <v>8.0811623977572866E-3</v>
      </c>
      <c r="L1426" s="16">
        <f t="shared" si="56"/>
        <v>8.4469283302797682E-3</v>
      </c>
    </row>
    <row r="1427" spans="1:12" x14ac:dyDescent="0.35">
      <c r="A1427" s="18">
        <v>44323</v>
      </c>
      <c r="B1427" s="15">
        <v>397.59701538085938</v>
      </c>
      <c r="C1427" s="15">
        <v>74.774192810058594</v>
      </c>
      <c r="D1427" s="15">
        <v>171.5899963378906</v>
      </c>
      <c r="E1427" s="15">
        <v>325.52194213867188</v>
      </c>
      <c r="F1427" s="15">
        <v>205.68840026855469</v>
      </c>
      <c r="H1427" s="16">
        <f t="shared" si="57"/>
        <v>-9.951753892776154E-3</v>
      </c>
      <c r="I1427" s="16">
        <f t="shared" si="57"/>
        <v>-2.3458226092171585E-3</v>
      </c>
      <c r="J1427" s="16">
        <f t="shared" si="57"/>
        <v>3.0259218728554381E-3</v>
      </c>
      <c r="K1427" s="16">
        <f t="shared" si="57"/>
        <v>-2.5578651208698514E-2</v>
      </c>
      <c r="L1427" s="16">
        <f t="shared" si="57"/>
        <v>-1.1818305093776269E-2</v>
      </c>
    </row>
    <row r="1428" spans="1:12" x14ac:dyDescent="0.35">
      <c r="A1428" s="18">
        <v>44326</v>
      </c>
      <c r="B1428" s="15">
        <v>393.65985107421881</v>
      </c>
      <c r="C1428" s="15">
        <v>74.598991394042969</v>
      </c>
      <c r="D1428" s="15">
        <v>172.11000061035159</v>
      </c>
      <c r="E1428" s="15">
        <v>317.30111694335938</v>
      </c>
      <c r="F1428" s="15">
        <v>203.2718200683594</v>
      </c>
      <c r="H1428" s="16">
        <f t="shared" ref="H1428:K1491" si="58">LN(B1429/B1428)</f>
        <v>-8.9646318260121292E-3</v>
      </c>
      <c r="I1428" s="16">
        <f t="shared" si="58"/>
        <v>-1.9985514548419982E-3</v>
      </c>
      <c r="J1428" s="16">
        <f t="shared" si="58"/>
        <v>1.7428484748157458E-4</v>
      </c>
      <c r="K1428" s="16">
        <f t="shared" si="58"/>
        <v>-1.3822719926985126E-3</v>
      </c>
      <c r="L1428" s="16">
        <f t="shared" ref="L1428:L1491" si="59">LN(F1429/F1428)</f>
        <v>-8.0810583710813535E-3</v>
      </c>
    </row>
    <row r="1429" spans="1:12" x14ac:dyDescent="0.35">
      <c r="A1429" s="18">
        <v>44327</v>
      </c>
      <c r="B1429" s="15">
        <v>390.1466064453125</v>
      </c>
      <c r="C1429" s="15">
        <v>74.450050354003906</v>
      </c>
      <c r="D1429" s="15">
        <v>172.13999938964841</v>
      </c>
      <c r="E1429" s="15">
        <v>316.86282348632813</v>
      </c>
      <c r="F1429" s="15">
        <v>201.63578796386719</v>
      </c>
      <c r="H1429" s="16">
        <f t="shared" si="58"/>
        <v>-2.1474325653383471E-2</v>
      </c>
      <c r="I1429" s="16">
        <f t="shared" si="58"/>
        <v>-3.5358482918577245E-3</v>
      </c>
      <c r="J1429" s="16">
        <f t="shared" si="58"/>
        <v>-9.9834834134531272E-3</v>
      </c>
      <c r="K1429" s="16">
        <f t="shared" si="58"/>
        <v>-2.6223742726305812E-2</v>
      </c>
      <c r="L1429" s="16">
        <f t="shared" si="59"/>
        <v>-2.2781368512627392E-2</v>
      </c>
    </row>
    <row r="1430" spans="1:12" x14ac:dyDescent="0.35">
      <c r="A1430" s="18">
        <v>44328</v>
      </c>
      <c r="B1430" s="15">
        <v>381.8577880859375</v>
      </c>
      <c r="C1430" s="15">
        <v>74.187271118164063</v>
      </c>
      <c r="D1430" s="15">
        <v>170.42999267578119</v>
      </c>
      <c r="E1430" s="15">
        <v>308.6614990234375</v>
      </c>
      <c r="F1430" s="15">
        <v>197.09417724609381</v>
      </c>
      <c r="H1430" s="16">
        <f t="shared" si="58"/>
        <v>1.1940922492625693E-2</v>
      </c>
      <c r="I1430" s="16">
        <f t="shared" si="58"/>
        <v>2.0055208096187486E-3</v>
      </c>
      <c r="J1430" s="16">
        <f t="shared" si="58"/>
        <v>4.0989178599218174E-3</v>
      </c>
      <c r="K1430" s="16">
        <f t="shared" si="58"/>
        <v>7.7016579874219946E-3</v>
      </c>
      <c r="L1430" s="16">
        <f t="shared" si="59"/>
        <v>1.0959895350763667E-2</v>
      </c>
    </row>
    <row r="1431" spans="1:12" x14ac:dyDescent="0.35">
      <c r="A1431" s="18">
        <v>44329</v>
      </c>
      <c r="B1431" s="15">
        <v>386.44485473632813</v>
      </c>
      <c r="C1431" s="15">
        <v>74.336204528808594</v>
      </c>
      <c r="D1431" s="15">
        <v>171.1300048828125</v>
      </c>
      <c r="E1431" s="15">
        <v>311.04788208007813</v>
      </c>
      <c r="F1431" s="15">
        <v>199.26618957519531</v>
      </c>
      <c r="H1431" s="16">
        <f t="shared" si="58"/>
        <v>1.5238635673463926E-2</v>
      </c>
      <c r="I1431" s="16">
        <f t="shared" si="58"/>
        <v>2.3540032109886479E-3</v>
      </c>
      <c r="J1431" s="16">
        <f t="shared" si="58"/>
        <v>9.0745636119588073E-3</v>
      </c>
      <c r="K1431" s="16">
        <f t="shared" si="58"/>
        <v>2.1836544379830933E-2</v>
      </c>
      <c r="L1431" s="16">
        <f t="shared" si="59"/>
        <v>1.6937690420416845E-2</v>
      </c>
    </row>
    <row r="1432" spans="1:12" x14ac:dyDescent="0.35">
      <c r="A1432" s="18">
        <v>44330</v>
      </c>
      <c r="B1432" s="15">
        <v>392.37884521484381</v>
      </c>
      <c r="C1432" s="15">
        <v>74.511398315429688</v>
      </c>
      <c r="D1432" s="15">
        <v>172.69000244140619</v>
      </c>
      <c r="E1432" s="15">
        <v>317.914794921875</v>
      </c>
      <c r="F1432" s="15">
        <v>202.6700439453125</v>
      </c>
      <c r="H1432" s="16">
        <f t="shared" si="58"/>
        <v>-2.547911757794257E-3</v>
      </c>
      <c r="I1432" s="16">
        <f t="shared" si="58"/>
        <v>-9.4071095402641016E-4</v>
      </c>
      <c r="J1432" s="16">
        <f t="shared" si="58"/>
        <v>1.157210593736235E-2</v>
      </c>
      <c r="K1432" s="16">
        <f t="shared" si="58"/>
        <v>-6.0849420508195962E-3</v>
      </c>
      <c r="L1432" s="16">
        <f t="shared" si="59"/>
        <v>-2.1361911422801334E-3</v>
      </c>
    </row>
    <row r="1433" spans="1:12" x14ac:dyDescent="0.35">
      <c r="A1433" s="18">
        <v>44333</v>
      </c>
      <c r="B1433" s="15">
        <v>391.38037109375</v>
      </c>
      <c r="C1433" s="15">
        <v>74.441337585449219</v>
      </c>
      <c r="D1433" s="15">
        <v>174.69999694824219</v>
      </c>
      <c r="E1433" s="15">
        <v>315.98617553710938</v>
      </c>
      <c r="F1433" s="15">
        <v>202.23756408691409</v>
      </c>
      <c r="H1433" s="16">
        <f t="shared" si="58"/>
        <v>-8.6530127387279953E-3</v>
      </c>
      <c r="I1433" s="16">
        <f t="shared" si="58"/>
        <v>-1.0599870875664789E-3</v>
      </c>
      <c r="J1433" s="16">
        <f t="shared" si="58"/>
        <v>1.9442812059788442E-3</v>
      </c>
      <c r="K1433" s="16">
        <f t="shared" si="58"/>
        <v>-6.7733620768934549E-3</v>
      </c>
      <c r="L1433" s="16">
        <f t="shared" si="59"/>
        <v>-7.8419886814001978E-3</v>
      </c>
    </row>
    <row r="1434" spans="1:12" x14ac:dyDescent="0.35">
      <c r="A1434" s="18">
        <v>44334</v>
      </c>
      <c r="B1434" s="15">
        <v>388.00836181640619</v>
      </c>
      <c r="C1434" s="15">
        <v>74.362472534179688</v>
      </c>
      <c r="D1434" s="15">
        <v>175.03999328613281</v>
      </c>
      <c r="E1434" s="15">
        <v>313.85311889648438</v>
      </c>
      <c r="F1434" s="15">
        <v>200.65782165527341</v>
      </c>
      <c r="H1434" s="16">
        <f t="shared" si="58"/>
        <v>-2.6252238825670844E-3</v>
      </c>
      <c r="I1434" s="16">
        <f t="shared" si="58"/>
        <v>-1.0605983211620868E-3</v>
      </c>
      <c r="J1434" s="16">
        <f t="shared" si="58"/>
        <v>6.8538196299433509E-4</v>
      </c>
      <c r="K1434" s="16">
        <f t="shared" si="58"/>
        <v>1.1476891409314149E-3</v>
      </c>
      <c r="L1434" s="16">
        <f t="shared" si="59"/>
        <v>-2.909406662296595E-3</v>
      </c>
    </row>
    <row r="1435" spans="1:12" x14ac:dyDescent="0.35">
      <c r="A1435" s="18">
        <v>44335</v>
      </c>
      <c r="B1435" s="15">
        <v>386.9910888671875</v>
      </c>
      <c r="C1435" s="15">
        <v>74.283645629882813</v>
      </c>
      <c r="D1435" s="15">
        <v>175.1600036621094</v>
      </c>
      <c r="E1435" s="15">
        <v>314.21353149414063</v>
      </c>
      <c r="F1435" s="15">
        <v>200.07487487792969</v>
      </c>
      <c r="H1435" s="16">
        <f t="shared" si="58"/>
        <v>1.0700670782722571E-2</v>
      </c>
      <c r="I1435" s="16">
        <f t="shared" si="58"/>
        <v>3.296361486909833E-3</v>
      </c>
      <c r="J1435" s="16">
        <f t="shared" si="58"/>
        <v>4.5568717957409979E-3</v>
      </c>
      <c r="K1435" s="16">
        <f t="shared" si="58"/>
        <v>1.9158358321630584E-2</v>
      </c>
      <c r="L1435" s="16">
        <f t="shared" si="59"/>
        <v>1.0797871356612606E-2</v>
      </c>
    </row>
    <row r="1436" spans="1:12" x14ac:dyDescent="0.35">
      <c r="A1436" s="18">
        <v>44336</v>
      </c>
      <c r="B1436" s="15">
        <v>391.15438842773438</v>
      </c>
      <c r="C1436" s="15">
        <v>74.528915405273438</v>
      </c>
      <c r="D1436" s="15">
        <v>175.96000671386719</v>
      </c>
      <c r="E1436" s="15">
        <v>320.2913818359375</v>
      </c>
      <c r="F1436" s="15">
        <v>202.24696350097659</v>
      </c>
      <c r="H1436" s="16">
        <f t="shared" si="58"/>
        <v>-8.1899143598749278E-4</v>
      </c>
      <c r="I1436" s="16">
        <f t="shared" si="58"/>
        <v>2.3480519311899048E-4</v>
      </c>
      <c r="J1436" s="16">
        <f t="shared" si="58"/>
        <v>4.5446916842239933E-4</v>
      </c>
      <c r="K1436" s="16">
        <f t="shared" si="58"/>
        <v>-5.5500366803789237E-3</v>
      </c>
      <c r="L1436" s="16">
        <f t="shared" si="59"/>
        <v>-5.5815672083493046E-4</v>
      </c>
    </row>
    <row r="1437" spans="1:12" x14ac:dyDescent="0.35">
      <c r="A1437" s="18">
        <v>44337</v>
      </c>
      <c r="B1437" s="15">
        <v>390.83416748046881</v>
      </c>
      <c r="C1437" s="15">
        <v>74.546417236328125</v>
      </c>
      <c r="D1437" s="15">
        <v>176.03999328613281</v>
      </c>
      <c r="E1437" s="15">
        <v>318.5186767578125</v>
      </c>
      <c r="F1437" s="15">
        <v>202.13410949707031</v>
      </c>
      <c r="H1437" s="16">
        <f t="shared" si="58"/>
        <v>1.0142695411535056E-2</v>
      </c>
      <c r="I1437" s="16">
        <f t="shared" si="58"/>
        <v>1.1746308127217572E-3</v>
      </c>
      <c r="J1437" s="16">
        <f t="shared" si="58"/>
        <v>1.7594874877140244E-3</v>
      </c>
      <c r="K1437" s="16">
        <f t="shared" si="58"/>
        <v>1.6679069957143196E-2</v>
      </c>
      <c r="L1437" s="16">
        <f t="shared" si="59"/>
        <v>1.0043931393547883E-2</v>
      </c>
    </row>
    <row r="1438" spans="1:12" x14ac:dyDescent="0.35">
      <c r="A1438" s="18">
        <v>44340</v>
      </c>
      <c r="B1438" s="15">
        <v>394.81845092773438</v>
      </c>
      <c r="C1438" s="15">
        <v>74.634033203125</v>
      </c>
      <c r="D1438" s="15">
        <v>176.3500061035156</v>
      </c>
      <c r="E1438" s="15">
        <v>323.87582397460938</v>
      </c>
      <c r="F1438" s="15">
        <v>204.174560546875</v>
      </c>
      <c r="H1438" s="16">
        <f t="shared" si="58"/>
        <v>-2.2212243179237428E-3</v>
      </c>
      <c r="I1438" s="16">
        <f t="shared" si="58"/>
        <v>2.5785459920608465E-3</v>
      </c>
      <c r="J1438" s="16">
        <f t="shared" si="58"/>
        <v>9.0319035143782683E-3</v>
      </c>
      <c r="K1438" s="16">
        <f t="shared" si="58"/>
        <v>1.3825666535455562E-3</v>
      </c>
      <c r="L1438" s="16">
        <f t="shared" si="59"/>
        <v>-2.7671908775880418E-3</v>
      </c>
    </row>
    <row r="1439" spans="1:12" x14ac:dyDescent="0.35">
      <c r="A1439" s="18">
        <v>44341</v>
      </c>
      <c r="B1439" s="15">
        <v>393.94244384765619</v>
      </c>
      <c r="C1439" s="15">
        <v>74.826728820800781</v>
      </c>
      <c r="D1439" s="15">
        <v>177.94999694824219</v>
      </c>
      <c r="E1439" s="15">
        <v>324.32391357421881</v>
      </c>
      <c r="F1439" s="15">
        <v>203.6103515625</v>
      </c>
      <c r="H1439" s="16">
        <f t="shared" si="58"/>
        <v>1.9826628225036937E-3</v>
      </c>
      <c r="I1439" s="16">
        <f t="shared" si="58"/>
        <v>-3.5101073502794759E-4</v>
      </c>
      <c r="J1439" s="16">
        <f t="shared" si="58"/>
        <v>-1.7435678186664507E-3</v>
      </c>
      <c r="K1439" s="16">
        <f t="shared" si="58"/>
        <v>3.4778491123598331E-3</v>
      </c>
      <c r="L1439" s="16">
        <f t="shared" si="59"/>
        <v>3.595573404889846E-3</v>
      </c>
    </row>
    <row r="1440" spans="1:12" x14ac:dyDescent="0.35">
      <c r="A1440" s="18">
        <v>44342</v>
      </c>
      <c r="B1440" s="15">
        <v>394.72427368164063</v>
      </c>
      <c r="C1440" s="15">
        <v>74.800468444824219</v>
      </c>
      <c r="D1440" s="15">
        <v>177.63999938964841</v>
      </c>
      <c r="E1440" s="15">
        <v>325.45382690429688</v>
      </c>
      <c r="F1440" s="15">
        <v>204.34376525878909</v>
      </c>
      <c r="H1440" s="16">
        <f t="shared" si="58"/>
        <v>5.2482200541140557E-4</v>
      </c>
      <c r="I1440" s="16">
        <f t="shared" si="58"/>
        <v>-1.4063998655957236E-3</v>
      </c>
      <c r="J1440" s="16">
        <f t="shared" si="58"/>
        <v>3.9401898928976273E-4</v>
      </c>
      <c r="K1440" s="16">
        <f t="shared" si="58"/>
        <v>-3.7481293038414188E-3</v>
      </c>
      <c r="L1440" s="16">
        <f t="shared" si="59"/>
        <v>1.8392002408938258E-3</v>
      </c>
    </row>
    <row r="1441" spans="1:12" x14ac:dyDescent="0.35">
      <c r="A1441" s="18">
        <v>44343</v>
      </c>
      <c r="B1441" s="15">
        <v>394.93148803710938</v>
      </c>
      <c r="C1441" s="15">
        <v>74.695343017578125</v>
      </c>
      <c r="D1441" s="15">
        <v>177.71000671386719</v>
      </c>
      <c r="E1441" s="15">
        <v>324.23626708984381</v>
      </c>
      <c r="F1441" s="15">
        <v>204.7199401855469</v>
      </c>
      <c r="H1441" s="16">
        <f t="shared" si="58"/>
        <v>1.7867340614507012E-3</v>
      </c>
      <c r="I1441" s="16">
        <f t="shared" si="58"/>
        <v>-1.1685517407963568E-4</v>
      </c>
      <c r="J1441" s="16">
        <f t="shared" si="58"/>
        <v>3.7630876338542248E-3</v>
      </c>
      <c r="K1441" s="16">
        <f t="shared" si="58"/>
        <v>3.1494206600368464E-3</v>
      </c>
      <c r="L1441" s="16">
        <f t="shared" si="59"/>
        <v>1.6978799500393397E-3</v>
      </c>
    </row>
    <row r="1442" spans="1:12" x14ac:dyDescent="0.35">
      <c r="A1442" s="18">
        <v>44344</v>
      </c>
      <c r="B1442" s="15">
        <v>395.63775634765619</v>
      </c>
      <c r="C1442" s="15">
        <v>74.686614990234375</v>
      </c>
      <c r="D1442" s="15">
        <v>178.3800048828125</v>
      </c>
      <c r="E1442" s="15">
        <v>325.259033203125</v>
      </c>
      <c r="F1442" s="15">
        <v>205.06782531738281</v>
      </c>
      <c r="H1442" s="16">
        <f t="shared" si="58"/>
        <v>-8.8096281901334E-4</v>
      </c>
      <c r="I1442" s="16">
        <f t="shared" si="58"/>
        <v>-7.0691751507531692E-5</v>
      </c>
      <c r="J1442" s="16">
        <f t="shared" si="58"/>
        <v>-2.6945732480539906E-3</v>
      </c>
      <c r="K1442" s="16">
        <f t="shared" si="58"/>
        <v>-3.3295852880706389E-3</v>
      </c>
      <c r="L1442" s="16">
        <f t="shared" si="59"/>
        <v>4.1251003265157897E-4</v>
      </c>
    </row>
    <row r="1443" spans="1:12" x14ac:dyDescent="0.35">
      <c r="A1443" s="18">
        <v>44348</v>
      </c>
      <c r="B1443" s="15">
        <v>395.28936767578119</v>
      </c>
      <c r="C1443" s="15">
        <v>74.68133544921875</v>
      </c>
      <c r="D1443" s="15">
        <v>177.8999938964844</v>
      </c>
      <c r="E1443" s="15">
        <v>324.1778564453125</v>
      </c>
      <c r="F1443" s="15">
        <v>205.1524353027344</v>
      </c>
      <c r="H1443" s="16">
        <f t="shared" si="58"/>
        <v>1.5712383968342367E-3</v>
      </c>
      <c r="I1443" s="16">
        <f t="shared" si="58"/>
        <v>1.0567903740849724E-3</v>
      </c>
      <c r="J1443" s="16">
        <f t="shared" si="58"/>
        <v>4.8785269631013558E-3</v>
      </c>
      <c r="K1443" s="16">
        <f t="shared" si="58"/>
        <v>1.9509962543884252E-3</v>
      </c>
      <c r="L1443" s="16">
        <f t="shared" si="59"/>
        <v>1.3283232485925924E-3</v>
      </c>
    </row>
    <row r="1444" spans="1:12" x14ac:dyDescent="0.35">
      <c r="A1444" s="18">
        <v>44349</v>
      </c>
      <c r="B1444" s="15">
        <v>395.91094970703119</v>
      </c>
      <c r="C1444" s="15">
        <v>74.760299682617188</v>
      </c>
      <c r="D1444" s="15">
        <v>178.77000427246091</v>
      </c>
      <c r="E1444" s="15">
        <v>324.81094360351563</v>
      </c>
      <c r="F1444" s="15">
        <v>205.42512512207031</v>
      </c>
      <c r="H1444" s="16">
        <f t="shared" si="58"/>
        <v>-3.7180898978016598E-3</v>
      </c>
      <c r="I1444" s="16">
        <f t="shared" si="58"/>
        <v>-1.879613494691293E-3</v>
      </c>
      <c r="J1444" s="16">
        <f t="shared" si="58"/>
        <v>-1.9772420864664846E-2</v>
      </c>
      <c r="K1444" s="16">
        <f t="shared" si="58"/>
        <v>-1.0460400169869873E-2</v>
      </c>
      <c r="L1444" s="16">
        <f t="shared" si="59"/>
        <v>-4.4498435427486899E-3</v>
      </c>
    </row>
    <row r="1445" spans="1:12" x14ac:dyDescent="0.35">
      <c r="A1445" s="18">
        <v>44350</v>
      </c>
      <c r="B1445" s="15">
        <v>394.441650390625</v>
      </c>
      <c r="C1445" s="15">
        <v>74.619911193847656</v>
      </c>
      <c r="D1445" s="15">
        <v>175.27000427246091</v>
      </c>
      <c r="E1445" s="15">
        <v>321.43099975585938</v>
      </c>
      <c r="F1445" s="15">
        <v>204.51304626464841</v>
      </c>
      <c r="H1445" s="16">
        <f t="shared" si="58"/>
        <v>9.1043032459625656E-3</v>
      </c>
      <c r="I1445" s="16">
        <f t="shared" si="58"/>
        <v>3.9895442058907491E-3</v>
      </c>
      <c r="J1445" s="16">
        <f t="shared" si="58"/>
        <v>1.0725633264657794E-2</v>
      </c>
      <c r="K1445" s="16">
        <f t="shared" si="58"/>
        <v>1.6827703298746114E-2</v>
      </c>
      <c r="L1445" s="16">
        <f t="shared" si="59"/>
        <v>8.6521054751891608E-3</v>
      </c>
    </row>
    <row r="1446" spans="1:12" x14ac:dyDescent="0.35">
      <c r="A1446" s="18">
        <v>44351</v>
      </c>
      <c r="B1446" s="15">
        <v>398.04916381835938</v>
      </c>
      <c r="C1446" s="15">
        <v>74.918205261230469</v>
      </c>
      <c r="D1446" s="15">
        <v>177.1600036621094</v>
      </c>
      <c r="E1446" s="15">
        <v>326.88571166992188</v>
      </c>
      <c r="F1446" s="15">
        <v>206.2901916503906</v>
      </c>
      <c r="H1446" s="16">
        <f t="shared" si="58"/>
        <v>-9.7054928100866384E-4</v>
      </c>
      <c r="I1446" s="16">
        <f t="shared" si="58"/>
        <v>-7.0261189198167083E-4</v>
      </c>
      <c r="J1446" s="16">
        <f t="shared" si="58"/>
        <v>3.9996192096107578E-3</v>
      </c>
      <c r="K1446" s="16">
        <f t="shared" si="58"/>
        <v>2.9752013794736932E-3</v>
      </c>
      <c r="L1446" s="16">
        <f t="shared" si="59"/>
        <v>8.2011216443169223E-4</v>
      </c>
    </row>
    <row r="1447" spans="1:12" x14ac:dyDescent="0.35">
      <c r="A1447" s="18">
        <v>44354</v>
      </c>
      <c r="B1447" s="15">
        <v>397.66302490234381</v>
      </c>
      <c r="C1447" s="15">
        <v>74.865585327148438</v>
      </c>
      <c r="D1447" s="15">
        <v>177.8699951171875</v>
      </c>
      <c r="E1447" s="15">
        <v>327.85971069335938</v>
      </c>
      <c r="F1447" s="15">
        <v>206.4594421386719</v>
      </c>
      <c r="H1447" s="16">
        <f t="shared" si="58"/>
        <v>2.1301395644236632E-4</v>
      </c>
      <c r="I1447" s="16">
        <f t="shared" si="58"/>
        <v>1.8736546832694117E-3</v>
      </c>
      <c r="J1447" s="16">
        <f t="shared" si="58"/>
        <v>-3.0968677538624613E-3</v>
      </c>
      <c r="K1447" s="16">
        <f t="shared" si="58"/>
        <v>4.7506670788060153E-4</v>
      </c>
      <c r="L1447" s="16">
        <f t="shared" si="59"/>
        <v>2.0475639412588418E-3</v>
      </c>
    </row>
    <row r="1448" spans="1:12" x14ac:dyDescent="0.35">
      <c r="A1448" s="18">
        <v>44355</v>
      </c>
      <c r="B1448" s="15">
        <v>397.74774169921881</v>
      </c>
      <c r="C1448" s="15">
        <v>75.005989074707031</v>
      </c>
      <c r="D1448" s="15">
        <v>177.32000732421881</v>
      </c>
      <c r="E1448" s="15">
        <v>328.0155029296875</v>
      </c>
      <c r="F1448" s="15">
        <v>206.88261413574219</v>
      </c>
      <c r="H1448" s="16">
        <f t="shared" si="58"/>
        <v>-1.4932040579905715E-3</v>
      </c>
      <c r="I1448" s="16">
        <f t="shared" si="58"/>
        <v>1.9860878806435426E-3</v>
      </c>
      <c r="J1448" s="16">
        <f t="shared" si="58"/>
        <v>-1.9193434836645017E-3</v>
      </c>
      <c r="K1448" s="16">
        <f t="shared" si="58"/>
        <v>2.3758826995057879E-4</v>
      </c>
      <c r="L1448" s="16">
        <f t="shared" si="59"/>
        <v>-2.8221131060336322E-3</v>
      </c>
    </row>
    <row r="1449" spans="1:12" x14ac:dyDescent="0.35">
      <c r="A1449" s="18">
        <v>44356</v>
      </c>
      <c r="B1449" s="15">
        <v>397.15426635742188</v>
      </c>
      <c r="C1449" s="15">
        <v>75.155105590820313</v>
      </c>
      <c r="D1449" s="15">
        <v>176.97999572753909</v>
      </c>
      <c r="E1449" s="15">
        <v>328.09344482421881</v>
      </c>
      <c r="F1449" s="15">
        <v>206.2995910644531</v>
      </c>
      <c r="H1449" s="16">
        <f t="shared" si="58"/>
        <v>4.6378551968117481E-3</v>
      </c>
      <c r="I1449" s="16">
        <f t="shared" si="58"/>
        <v>2.0990610206601148E-3</v>
      </c>
      <c r="J1449" s="16">
        <f t="shared" si="58"/>
        <v>4.2851315176653387E-3</v>
      </c>
      <c r="K1449" s="16">
        <f t="shared" si="58"/>
        <v>1.0366632283192491E-2</v>
      </c>
      <c r="L1449" s="16">
        <f t="shared" si="59"/>
        <v>4.4113193394335762E-3</v>
      </c>
    </row>
    <row r="1450" spans="1:12" x14ac:dyDescent="0.35">
      <c r="A1450" s="18">
        <v>44357</v>
      </c>
      <c r="B1450" s="15">
        <v>399.00048828125</v>
      </c>
      <c r="C1450" s="15">
        <v>75.313026428222656</v>
      </c>
      <c r="D1450" s="15">
        <v>177.74000549316409</v>
      </c>
      <c r="E1450" s="15">
        <v>331.51235961914063</v>
      </c>
      <c r="F1450" s="15">
        <v>207.21165466308591</v>
      </c>
      <c r="H1450" s="16">
        <f t="shared" si="58"/>
        <v>1.6510196524688317E-3</v>
      </c>
      <c r="I1450" s="16">
        <f t="shared" si="58"/>
        <v>-2.3282014394530829E-4</v>
      </c>
      <c r="J1450" s="16">
        <f t="shared" si="58"/>
        <v>-1.1316177890912231E-2</v>
      </c>
      <c r="K1450" s="16">
        <f t="shared" si="58"/>
        <v>2.6114273386680584E-3</v>
      </c>
      <c r="L1450" s="16">
        <f t="shared" si="59"/>
        <v>2.9454019376005908E-3</v>
      </c>
    </row>
    <row r="1451" spans="1:12" x14ac:dyDescent="0.35">
      <c r="A1451" s="18">
        <v>44358</v>
      </c>
      <c r="B1451" s="15">
        <v>399.6597900390625</v>
      </c>
      <c r="C1451" s="15">
        <v>75.295494079589844</v>
      </c>
      <c r="D1451" s="15">
        <v>175.74000549316409</v>
      </c>
      <c r="E1451" s="15">
        <v>332.37921142578119</v>
      </c>
      <c r="F1451" s="15">
        <v>207.8228759765625</v>
      </c>
      <c r="H1451" s="16">
        <f t="shared" si="58"/>
        <v>2.2363401941587532E-3</v>
      </c>
      <c r="I1451" s="16">
        <f t="shared" si="58"/>
        <v>-2.5670435991761841E-3</v>
      </c>
      <c r="J1451" s="16">
        <f t="shared" si="58"/>
        <v>-5.8781664100423089E-3</v>
      </c>
      <c r="K1451" s="16">
        <f t="shared" si="58"/>
        <v>9.537073707881337E-3</v>
      </c>
      <c r="L1451" s="16">
        <f t="shared" si="59"/>
        <v>1.5370842033392593E-3</v>
      </c>
    </row>
    <row r="1452" spans="1:12" x14ac:dyDescent="0.35">
      <c r="A1452" s="18">
        <v>44361</v>
      </c>
      <c r="B1452" s="15">
        <v>400.5545654296875</v>
      </c>
      <c r="C1452" s="15">
        <v>75.102455139160156</v>
      </c>
      <c r="D1452" s="15">
        <v>174.71000671386719</v>
      </c>
      <c r="E1452" s="15">
        <v>335.56430053710938</v>
      </c>
      <c r="F1452" s="15">
        <v>208.14256286621091</v>
      </c>
      <c r="H1452" s="16">
        <f t="shared" si="58"/>
        <v>-1.8358416650999887E-3</v>
      </c>
      <c r="I1452" s="16">
        <f t="shared" si="58"/>
        <v>0</v>
      </c>
      <c r="J1452" s="16">
        <f t="shared" si="58"/>
        <v>-3.7848631237422004E-3</v>
      </c>
      <c r="K1452" s="16">
        <f t="shared" si="58"/>
        <v>-6.5524770146833016E-3</v>
      </c>
      <c r="L1452" s="16">
        <f t="shared" si="59"/>
        <v>-2.6236603867865502E-3</v>
      </c>
    </row>
    <row r="1453" spans="1:12" x14ac:dyDescent="0.35">
      <c r="A1453" s="18">
        <v>44362</v>
      </c>
      <c r="B1453" s="15">
        <v>399.81988525390619</v>
      </c>
      <c r="C1453" s="15">
        <v>75.102455139160156</v>
      </c>
      <c r="D1453" s="15">
        <v>174.05000305175781</v>
      </c>
      <c r="E1453" s="15">
        <v>333.37271118164063</v>
      </c>
      <c r="F1453" s="15">
        <v>207.59718322753909</v>
      </c>
      <c r="H1453" s="16">
        <f t="shared" si="58"/>
        <v>-5.5989850143655564E-3</v>
      </c>
      <c r="I1453" s="16">
        <f t="shared" si="58"/>
        <v>-2.8074193793920935E-3</v>
      </c>
      <c r="J1453" s="16">
        <f t="shared" si="58"/>
        <v>-1.7036003680355336E-2</v>
      </c>
      <c r="K1453" s="16">
        <f t="shared" si="58"/>
        <v>-3.6586580992692698E-3</v>
      </c>
      <c r="L1453" s="16">
        <f t="shared" si="59"/>
        <v>-4.9948538750918866E-3</v>
      </c>
    </row>
    <row r="1454" spans="1:12" x14ac:dyDescent="0.35">
      <c r="A1454" s="18">
        <v>44363</v>
      </c>
      <c r="B1454" s="15">
        <v>397.58755493164063</v>
      </c>
      <c r="C1454" s="15">
        <v>74.89190673828125</v>
      </c>
      <c r="D1454" s="15">
        <v>171.11000061035159</v>
      </c>
      <c r="E1454" s="15">
        <v>332.15524291992188</v>
      </c>
      <c r="F1454" s="15">
        <v>206.56285095214841</v>
      </c>
      <c r="H1454" s="16">
        <f t="shared" si="58"/>
        <v>-3.3164468660279239E-4</v>
      </c>
      <c r="I1454" s="16">
        <f t="shared" si="58"/>
        <v>3.3914726698591161E-3</v>
      </c>
      <c r="J1454" s="16">
        <f t="shared" si="58"/>
        <v>-3.1222825916410724E-2</v>
      </c>
      <c r="K1454" s="16">
        <f t="shared" si="58"/>
        <v>1.2617436601695944E-2</v>
      </c>
      <c r="L1454" s="16">
        <f t="shared" si="59"/>
        <v>-9.5626045402023765E-4</v>
      </c>
    </row>
    <row r="1455" spans="1:12" x14ac:dyDescent="0.35">
      <c r="A1455" s="18">
        <v>44364</v>
      </c>
      <c r="B1455" s="15">
        <v>397.45571899414063</v>
      </c>
      <c r="C1455" s="15">
        <v>75.146331787109375</v>
      </c>
      <c r="D1455" s="15">
        <v>165.8500061035156</v>
      </c>
      <c r="E1455" s="15">
        <v>336.37274169921881</v>
      </c>
      <c r="F1455" s="15">
        <v>206.36541748046881</v>
      </c>
      <c r="H1455" s="16">
        <f t="shared" si="58"/>
        <v>-1.3582170610556013E-2</v>
      </c>
      <c r="I1455" s="16">
        <f t="shared" si="58"/>
        <v>3.1475614361704957E-3</v>
      </c>
      <c r="J1455" s="16">
        <f t="shared" si="58"/>
        <v>-5.5627051424660184E-3</v>
      </c>
      <c r="K1455" s="16">
        <f t="shared" si="58"/>
        <v>-7.8781609604088535E-3</v>
      </c>
      <c r="L1455" s="16">
        <f t="shared" si="59"/>
        <v>-1.247099942373354E-2</v>
      </c>
    </row>
    <row r="1456" spans="1:12" x14ac:dyDescent="0.35">
      <c r="A1456" s="18">
        <v>44365</v>
      </c>
      <c r="B1456" s="15">
        <v>392.09390258789063</v>
      </c>
      <c r="C1456" s="15">
        <v>75.383232116699219</v>
      </c>
      <c r="D1456" s="15">
        <v>164.92999267578119</v>
      </c>
      <c r="E1456" s="15">
        <v>333.733154296875</v>
      </c>
      <c r="F1456" s="15">
        <v>203.80781555175781</v>
      </c>
      <c r="H1456" s="16">
        <f t="shared" si="58"/>
        <v>1.4214196585647796E-2</v>
      </c>
      <c r="I1456" s="16">
        <f t="shared" si="58"/>
        <v>-3.4977899742775465E-3</v>
      </c>
      <c r="J1456" s="16">
        <f t="shared" si="58"/>
        <v>1.2173251058176317E-2</v>
      </c>
      <c r="K1456" s="16">
        <f t="shared" si="58"/>
        <v>6.1956940052650122E-3</v>
      </c>
      <c r="L1456" s="16">
        <f t="shared" si="59"/>
        <v>1.3700467526682213E-2</v>
      </c>
    </row>
    <row r="1457" spans="1:12" x14ac:dyDescent="0.35">
      <c r="A1457" s="18">
        <v>44368</v>
      </c>
      <c r="B1457" s="15">
        <v>397.70700073242188</v>
      </c>
      <c r="C1457" s="15">
        <v>75.120018005371094</v>
      </c>
      <c r="D1457" s="15">
        <v>166.94999694824219</v>
      </c>
      <c r="E1457" s="15">
        <v>335.80728149414063</v>
      </c>
      <c r="F1457" s="15">
        <v>206.6192932128906</v>
      </c>
      <c r="H1457" s="16">
        <f t="shared" si="58"/>
        <v>5.3321876205090985E-3</v>
      </c>
      <c r="I1457" s="16">
        <f t="shared" si="58"/>
        <v>1.400178793132711E-3</v>
      </c>
      <c r="J1457" s="16">
        <f t="shared" si="58"/>
        <v>-4.20166857422807E-3</v>
      </c>
      <c r="K1457" s="16">
        <f t="shared" si="58"/>
        <v>9.278476250157569E-3</v>
      </c>
      <c r="L1457" s="16">
        <f t="shared" si="59"/>
        <v>5.6725291888650303E-3</v>
      </c>
    </row>
    <row r="1458" spans="1:12" x14ac:dyDescent="0.35">
      <c r="A1458" s="18">
        <v>44369</v>
      </c>
      <c r="B1458" s="15">
        <v>399.83331298828119</v>
      </c>
      <c r="C1458" s="15">
        <v>75.225273132324219</v>
      </c>
      <c r="D1458" s="15">
        <v>166.25</v>
      </c>
      <c r="E1458" s="15">
        <v>338.93756103515619</v>
      </c>
      <c r="F1458" s="15">
        <v>207.794677734375</v>
      </c>
      <c r="H1458" s="16">
        <f t="shared" si="58"/>
        <v>-1.2059868532764591E-3</v>
      </c>
      <c r="I1458" s="16">
        <f t="shared" si="58"/>
        <v>-6.9964135076011559E-4</v>
      </c>
      <c r="J1458" s="16">
        <f t="shared" si="58"/>
        <v>-6.6187679875651269E-4</v>
      </c>
      <c r="K1458" s="16">
        <f t="shared" si="58"/>
        <v>4.8897194624602949E-4</v>
      </c>
      <c r="L1458" s="16">
        <f t="shared" si="59"/>
        <v>-4.0763094496509643E-4</v>
      </c>
    </row>
    <row r="1459" spans="1:12" x14ac:dyDescent="0.35">
      <c r="A1459" s="18">
        <v>44370</v>
      </c>
      <c r="B1459" s="15">
        <v>399.35140991210938</v>
      </c>
      <c r="C1459" s="15">
        <v>75.172660827636719</v>
      </c>
      <c r="D1459" s="15">
        <v>166.13999938964841</v>
      </c>
      <c r="E1459" s="15">
        <v>339.10333251953119</v>
      </c>
      <c r="F1459" s="15">
        <v>207.7099914550781</v>
      </c>
      <c r="H1459" s="16">
        <f t="shared" si="58"/>
        <v>5.8982301798361433E-3</v>
      </c>
      <c r="I1459" s="16">
        <f t="shared" si="58"/>
        <v>4.6695535813714187E-4</v>
      </c>
      <c r="J1459" s="16">
        <f t="shared" si="58"/>
        <v>-6.0211998760938959E-4</v>
      </c>
      <c r="K1459" s="16">
        <f t="shared" si="58"/>
        <v>6.1637958850472505E-3</v>
      </c>
      <c r="L1459" s="16">
        <f t="shared" si="59"/>
        <v>6.7657564105433315E-3</v>
      </c>
    </row>
    <row r="1460" spans="1:12" x14ac:dyDescent="0.35">
      <c r="A1460" s="18">
        <v>44371</v>
      </c>
      <c r="B1460" s="15">
        <v>401.71383666992188</v>
      </c>
      <c r="C1460" s="15">
        <v>75.207771301269531</v>
      </c>
      <c r="D1460" s="15">
        <v>166.03999328613281</v>
      </c>
      <c r="E1460" s="15">
        <v>341.199951171875</v>
      </c>
      <c r="F1460" s="15">
        <v>209.12007141113281</v>
      </c>
      <c r="H1460" s="16">
        <f t="shared" si="58"/>
        <v>3.5459146318645922E-3</v>
      </c>
      <c r="I1460" s="16">
        <f t="shared" si="58"/>
        <v>-1.8687246075811893E-3</v>
      </c>
      <c r="J1460" s="16">
        <f t="shared" si="58"/>
        <v>3.306999189259128E-3</v>
      </c>
      <c r="K1460" s="16">
        <f t="shared" si="58"/>
        <v>-1.2298668162472721E-3</v>
      </c>
      <c r="L1460" s="16">
        <f t="shared" si="59"/>
        <v>3.7365638308373274E-3</v>
      </c>
    </row>
    <row r="1461" spans="1:12" x14ac:dyDescent="0.35">
      <c r="A1461" s="18">
        <v>44372</v>
      </c>
      <c r="B1461" s="15">
        <v>403.14080810546881</v>
      </c>
      <c r="C1461" s="15">
        <v>75.067359924316406</v>
      </c>
      <c r="D1461" s="15">
        <v>166.5899963378906</v>
      </c>
      <c r="E1461" s="15">
        <v>340.78057861328119</v>
      </c>
      <c r="F1461" s="15">
        <v>209.9029235839844</v>
      </c>
      <c r="H1461" s="16">
        <f t="shared" si="58"/>
        <v>2.0136987884840623E-3</v>
      </c>
      <c r="I1461" s="16">
        <f t="shared" si="58"/>
        <v>2.6845106027588261E-3</v>
      </c>
      <c r="J1461" s="16">
        <f t="shared" si="58"/>
        <v>-5.9996439618445481E-5</v>
      </c>
      <c r="K1461" s="16">
        <f t="shared" si="58"/>
        <v>1.2088249485467075E-2</v>
      </c>
      <c r="L1461" s="16">
        <f t="shared" si="59"/>
        <v>1.1227176974996931E-3</v>
      </c>
    </row>
    <row r="1462" spans="1:12" x14ac:dyDescent="0.35">
      <c r="A1462" s="18">
        <v>44375</v>
      </c>
      <c r="B1462" s="15">
        <v>403.95343017578119</v>
      </c>
      <c r="C1462" s="15">
        <v>75.269149780273438</v>
      </c>
      <c r="D1462" s="15">
        <v>166.58000183105469</v>
      </c>
      <c r="E1462" s="15">
        <v>344.92501831054688</v>
      </c>
      <c r="F1462" s="15">
        <v>210.13871765136719</v>
      </c>
      <c r="H1462" s="16">
        <f t="shared" si="58"/>
        <v>5.3820497482451747E-4</v>
      </c>
      <c r="I1462" s="16">
        <f t="shared" si="58"/>
        <v>4.6625558450019564E-4</v>
      </c>
      <c r="J1462" s="16">
        <f t="shared" si="58"/>
        <v>-1.0561034647227364E-2</v>
      </c>
      <c r="K1462" s="16">
        <f t="shared" si="58"/>
        <v>3.6124003218490752E-3</v>
      </c>
      <c r="L1462" s="16">
        <f t="shared" si="59"/>
        <v>4.4873787035604442E-5</v>
      </c>
    </row>
    <row r="1463" spans="1:12" x14ac:dyDescent="0.35">
      <c r="A1463" s="18">
        <v>44376</v>
      </c>
      <c r="B1463" s="15">
        <v>404.1708984375</v>
      </c>
      <c r="C1463" s="15">
        <v>75.304252624511719</v>
      </c>
      <c r="D1463" s="15">
        <v>164.83000183105469</v>
      </c>
      <c r="E1463" s="15">
        <v>346.17327880859381</v>
      </c>
      <c r="F1463" s="15">
        <v>210.14814758300781</v>
      </c>
      <c r="H1463" s="16">
        <f t="shared" si="58"/>
        <v>8.4131827686697062E-4</v>
      </c>
      <c r="I1463" s="16">
        <f t="shared" si="58"/>
        <v>6.9902663745589129E-4</v>
      </c>
      <c r="J1463" s="16">
        <f t="shared" si="58"/>
        <v>4.8417635922936011E-3</v>
      </c>
      <c r="K1463" s="16">
        <f t="shared" si="58"/>
        <v>-1.5789024687192072E-3</v>
      </c>
      <c r="L1463" s="16">
        <f t="shared" si="59"/>
        <v>4.4871773469163932E-5</v>
      </c>
    </row>
    <row r="1464" spans="1:12" x14ac:dyDescent="0.35">
      <c r="A1464" s="18">
        <v>44377</v>
      </c>
      <c r="B1464" s="15">
        <v>404.51107788085938</v>
      </c>
      <c r="C1464" s="15">
        <v>75.356910705566406</v>
      </c>
      <c r="D1464" s="15">
        <v>165.6300048828125</v>
      </c>
      <c r="E1464" s="15">
        <v>345.62713623046881</v>
      </c>
      <c r="F1464" s="15">
        <v>210.15757751464841</v>
      </c>
      <c r="H1464" s="16">
        <f t="shared" si="58"/>
        <v>5.5211239286217439E-3</v>
      </c>
      <c r="I1464" s="16">
        <f t="shared" si="58"/>
        <v>-9.3553334935853009E-5</v>
      </c>
      <c r="J1464" s="16">
        <f t="shared" si="58"/>
        <v>3.4354496150826534E-3</v>
      </c>
      <c r="K1464" s="16">
        <f t="shared" si="58"/>
        <v>3.9487112976256927E-4</v>
      </c>
      <c r="L1464" s="16">
        <f t="shared" si="59"/>
        <v>5.4156879190673836E-3</v>
      </c>
    </row>
    <row r="1465" spans="1:12" x14ac:dyDescent="0.35">
      <c r="A1465" s="18">
        <v>44378</v>
      </c>
      <c r="B1465" s="15">
        <v>406.7506103515625</v>
      </c>
      <c r="C1465" s="15">
        <v>75.349861145019531</v>
      </c>
      <c r="D1465" s="15">
        <v>166.19999694824219</v>
      </c>
      <c r="E1465" s="15">
        <v>345.76364135742188</v>
      </c>
      <c r="F1465" s="15">
        <v>211.29881286621091</v>
      </c>
      <c r="H1465" s="16">
        <f t="shared" si="58"/>
        <v>7.6143876151317296E-3</v>
      </c>
      <c r="I1465" s="16">
        <f t="shared" si="58"/>
        <v>1.7481218469489281E-3</v>
      </c>
      <c r="J1465" s="16">
        <f t="shared" si="58"/>
        <v>6.5369291506959725E-3</v>
      </c>
      <c r="K1465" s="16">
        <f t="shared" si="58"/>
        <v>1.1413452564939388E-2</v>
      </c>
      <c r="L1465" s="16">
        <f t="shared" si="59"/>
        <v>5.5196733081553052E-3</v>
      </c>
    </row>
    <row r="1466" spans="1:12" x14ac:dyDescent="0.35">
      <c r="A1466" s="18">
        <v>44379</v>
      </c>
      <c r="B1466" s="15">
        <v>409.85958862304688</v>
      </c>
      <c r="C1466" s="15">
        <v>75.481697082519531</v>
      </c>
      <c r="D1466" s="15">
        <v>167.28999328613281</v>
      </c>
      <c r="E1466" s="15">
        <v>349.73260498046881</v>
      </c>
      <c r="F1466" s="15">
        <v>212.46833801269531</v>
      </c>
      <c r="H1466" s="16">
        <f t="shared" si="58"/>
        <v>-1.8231420611633806E-3</v>
      </c>
      <c r="I1466" s="16">
        <f t="shared" si="58"/>
        <v>3.602324417911714E-3</v>
      </c>
      <c r="J1466" s="16">
        <f t="shared" si="58"/>
        <v>4.949187883217545E-3</v>
      </c>
      <c r="K1466" s="16">
        <f t="shared" si="58"/>
        <v>4.3126622866390442E-3</v>
      </c>
      <c r="L1466" s="16">
        <f t="shared" si="59"/>
        <v>-2.1776273569359115E-3</v>
      </c>
    </row>
    <row r="1467" spans="1:12" x14ac:dyDescent="0.35">
      <c r="A1467" s="18">
        <v>44383</v>
      </c>
      <c r="B1467" s="15">
        <v>409.113037109375</v>
      </c>
      <c r="C1467" s="15">
        <v>75.754096984863281</v>
      </c>
      <c r="D1467" s="15">
        <v>168.1199951171875</v>
      </c>
      <c r="E1467" s="15">
        <v>351.244140625</v>
      </c>
      <c r="F1467" s="15">
        <v>212.00616455078119</v>
      </c>
      <c r="H1467" s="16">
        <f t="shared" si="58"/>
        <v>3.5279816626526492E-3</v>
      </c>
      <c r="I1467" s="16">
        <f t="shared" si="58"/>
        <v>2.0852949944706474E-3</v>
      </c>
      <c r="J1467" s="16">
        <f t="shared" si="58"/>
        <v>3.7995736126818641E-3</v>
      </c>
      <c r="K1467" s="16">
        <f t="shared" si="58"/>
        <v>2.1076740336037104E-3</v>
      </c>
      <c r="L1467" s="16">
        <f t="shared" si="59"/>
        <v>1.3337834959215574E-3</v>
      </c>
    </row>
    <row r="1468" spans="1:12" x14ac:dyDescent="0.35">
      <c r="A1468" s="18">
        <v>44384</v>
      </c>
      <c r="B1468" s="15">
        <v>410.55892944335938</v>
      </c>
      <c r="C1468" s="15">
        <v>75.9122314453125</v>
      </c>
      <c r="D1468" s="15">
        <v>168.75999450683591</v>
      </c>
      <c r="E1468" s="15">
        <v>351.9852294921875</v>
      </c>
      <c r="F1468" s="15">
        <v>212.28912353515619</v>
      </c>
      <c r="H1468" s="16">
        <f t="shared" si="58"/>
        <v>-8.18147883289559E-3</v>
      </c>
      <c r="I1468" s="16">
        <f t="shared" si="58"/>
        <v>9.2600626412294687E-4</v>
      </c>
      <c r="J1468" s="16">
        <f t="shared" si="58"/>
        <v>-6.5202938875167434E-4</v>
      </c>
      <c r="K1468" s="16">
        <f t="shared" si="58"/>
        <v>-6.0580122442241381E-3</v>
      </c>
      <c r="L1468" s="16">
        <f t="shared" si="59"/>
        <v>-8.4773280553434686E-3</v>
      </c>
    </row>
    <row r="1469" spans="1:12" x14ac:dyDescent="0.35">
      <c r="A1469" s="18">
        <v>44385</v>
      </c>
      <c r="B1469" s="15">
        <v>407.21365356445313</v>
      </c>
      <c r="C1469" s="15">
        <v>75.982559204101563</v>
      </c>
      <c r="D1469" s="15">
        <v>168.6499938964844</v>
      </c>
      <c r="E1469" s="15">
        <v>349.85934448242188</v>
      </c>
      <c r="F1469" s="15">
        <v>210.49708557128909</v>
      </c>
      <c r="H1469" s="16">
        <f t="shared" si="58"/>
        <v>1.0618299555325211E-2</v>
      </c>
      <c r="I1469" s="16">
        <f t="shared" si="58"/>
        <v>-3.1276311152054811E-3</v>
      </c>
      <c r="J1469" s="16">
        <f t="shared" si="58"/>
        <v>3.3150614410244533E-3</v>
      </c>
      <c r="K1469" s="16">
        <f t="shared" si="58"/>
        <v>6.2243782055947817E-3</v>
      </c>
      <c r="L1469" s="16">
        <f t="shared" si="59"/>
        <v>1.2025220235140131E-2</v>
      </c>
    </row>
    <row r="1470" spans="1:12" x14ac:dyDescent="0.35">
      <c r="A1470" s="18">
        <v>44386</v>
      </c>
      <c r="B1470" s="15">
        <v>411.56060791015619</v>
      </c>
      <c r="C1470" s="15">
        <v>75.745285034179688</v>
      </c>
      <c r="D1470" s="15">
        <v>169.21000671386719</v>
      </c>
      <c r="E1470" s="15">
        <v>352.04379272460938</v>
      </c>
      <c r="F1470" s="15">
        <v>213.04364013671881</v>
      </c>
      <c r="H1470" s="16">
        <f t="shared" si="58"/>
        <v>3.5756060881172217E-3</v>
      </c>
      <c r="I1470" s="16">
        <f t="shared" si="58"/>
        <v>-3.4836547133774244E-4</v>
      </c>
      <c r="J1470" s="16">
        <f t="shared" si="58"/>
        <v>-1.2418718351821449E-3</v>
      </c>
      <c r="K1470" s="16">
        <f t="shared" si="58"/>
        <v>3.8979836864300493E-3</v>
      </c>
      <c r="L1470" s="16">
        <f t="shared" si="59"/>
        <v>2.7853967870904838E-3</v>
      </c>
    </row>
    <row r="1471" spans="1:12" x14ac:dyDescent="0.35">
      <c r="A1471" s="18">
        <v>44389</v>
      </c>
      <c r="B1471" s="15">
        <v>413.03482055664063</v>
      </c>
      <c r="C1471" s="15">
        <v>75.718902587890625</v>
      </c>
      <c r="D1471" s="15">
        <v>169</v>
      </c>
      <c r="E1471" s="15">
        <v>353.41873168945313</v>
      </c>
      <c r="F1471" s="15">
        <v>213.63787841796881</v>
      </c>
      <c r="H1471" s="16">
        <f t="shared" si="58"/>
        <v>-3.4148599170964198E-3</v>
      </c>
      <c r="I1471" s="16">
        <f t="shared" si="58"/>
        <v>-3.1376290899622129E-3</v>
      </c>
      <c r="J1471" s="16">
        <f t="shared" si="58"/>
        <v>1.3009357869859003E-3</v>
      </c>
      <c r="K1471" s="16">
        <f t="shared" si="58"/>
        <v>0</v>
      </c>
      <c r="L1471" s="16">
        <f t="shared" si="59"/>
        <v>-5.5782863925526848E-3</v>
      </c>
    </row>
    <row r="1472" spans="1:12" x14ac:dyDescent="0.35">
      <c r="A1472" s="18">
        <v>44390</v>
      </c>
      <c r="B1472" s="15">
        <v>411.62677001953119</v>
      </c>
      <c r="C1472" s="15">
        <v>75.481697082519531</v>
      </c>
      <c r="D1472" s="15">
        <v>169.2200012207031</v>
      </c>
      <c r="E1472" s="15">
        <v>353.41873168945313</v>
      </c>
      <c r="F1472" s="15">
        <v>212.449462890625</v>
      </c>
      <c r="H1472" s="16">
        <f t="shared" si="58"/>
        <v>1.4910825088153615E-3</v>
      </c>
      <c r="I1472" s="16">
        <f t="shared" si="58"/>
        <v>3.3700541146704332E-3</v>
      </c>
      <c r="J1472" s="16">
        <f t="shared" si="58"/>
        <v>1.0697757313475704E-2</v>
      </c>
      <c r="K1472" s="16">
        <f t="shared" si="58"/>
        <v>1.791875529594481E-3</v>
      </c>
      <c r="L1472" s="16">
        <f t="shared" si="59"/>
        <v>-1.3772230846457985E-3</v>
      </c>
    </row>
    <row r="1473" spans="1:12" x14ac:dyDescent="0.35">
      <c r="A1473" s="18">
        <v>44391</v>
      </c>
      <c r="B1473" s="15">
        <v>412.24099731445313</v>
      </c>
      <c r="C1473" s="15">
        <v>75.736503601074219</v>
      </c>
      <c r="D1473" s="15">
        <v>171.03999328613281</v>
      </c>
      <c r="E1473" s="15">
        <v>354.05258178710938</v>
      </c>
      <c r="F1473" s="15">
        <v>212.1570739746094</v>
      </c>
      <c r="H1473" s="16">
        <f t="shared" si="58"/>
        <v>-3.4213726504915523E-3</v>
      </c>
      <c r="I1473" s="16">
        <f t="shared" si="58"/>
        <v>2.4334383538337401E-3</v>
      </c>
      <c r="J1473" s="16">
        <f t="shared" si="58"/>
        <v>1.7546425482711081E-4</v>
      </c>
      <c r="K1473" s="16">
        <f t="shared" si="58"/>
        <v>-7.0482980220689341E-3</v>
      </c>
      <c r="L1473" s="16">
        <f t="shared" si="59"/>
        <v>-3.5182112775806349E-3</v>
      </c>
    </row>
    <row r="1474" spans="1:12" x14ac:dyDescent="0.35">
      <c r="A1474" s="18">
        <v>44392</v>
      </c>
      <c r="B1474" s="15">
        <v>410.83297729492188</v>
      </c>
      <c r="C1474" s="15">
        <v>75.921028137207031</v>
      </c>
      <c r="D1474" s="15">
        <v>171.07000732421881</v>
      </c>
      <c r="E1474" s="15">
        <v>351.56588745117188</v>
      </c>
      <c r="F1474" s="15">
        <v>211.41197204589841</v>
      </c>
      <c r="H1474" s="16">
        <f t="shared" si="58"/>
        <v>-7.8746788748458967E-3</v>
      </c>
      <c r="I1474" s="16">
        <f t="shared" si="58"/>
        <v>-9.261535983682319E-4</v>
      </c>
      <c r="J1474" s="16">
        <f t="shared" si="58"/>
        <v>-9.7510383086643025E-3</v>
      </c>
      <c r="K1474" s="16">
        <f t="shared" si="58"/>
        <v>-8.1322919519147361E-3</v>
      </c>
      <c r="L1474" s="16">
        <f t="shared" si="59"/>
        <v>-7.8830470424714316E-3</v>
      </c>
    </row>
    <row r="1475" spans="1:12" x14ac:dyDescent="0.35">
      <c r="A1475" s="18">
        <v>44393</v>
      </c>
      <c r="B1475" s="15">
        <v>407.61050415039063</v>
      </c>
      <c r="C1475" s="15">
        <v>75.850746154785156</v>
      </c>
      <c r="D1475" s="15">
        <v>169.4100036621094</v>
      </c>
      <c r="E1475" s="15">
        <v>348.71844482421881</v>
      </c>
      <c r="F1475" s="15">
        <v>209.751953125</v>
      </c>
      <c r="H1475" s="16">
        <f t="shared" si="58"/>
        <v>-1.4877753486306633E-2</v>
      </c>
      <c r="I1475" s="16">
        <f t="shared" si="58"/>
        <v>5.6604247381705532E-3</v>
      </c>
      <c r="J1475" s="16">
        <f t="shared" si="58"/>
        <v>1.1798535126086691E-3</v>
      </c>
      <c r="K1475" s="16">
        <f t="shared" si="58"/>
        <v>-8.2272040048290938E-3</v>
      </c>
      <c r="L1475" s="16">
        <f t="shared" si="59"/>
        <v>-1.4310970954943856E-2</v>
      </c>
    </row>
    <row r="1476" spans="1:12" x14ac:dyDescent="0.35">
      <c r="A1476" s="18">
        <v>44396</v>
      </c>
      <c r="B1476" s="15">
        <v>401.591064453125</v>
      </c>
      <c r="C1476" s="15">
        <v>76.28131103515625</v>
      </c>
      <c r="D1476" s="15">
        <v>169.61000061035159</v>
      </c>
      <c r="E1476" s="15">
        <v>345.86123657226563</v>
      </c>
      <c r="F1476" s="15">
        <v>206.7715759277344</v>
      </c>
      <c r="H1476" s="16">
        <f t="shared" si="58"/>
        <v>1.4228649258399416E-2</v>
      </c>
      <c r="I1476" s="16">
        <f t="shared" si="58"/>
        <v>-1.0373095089225633E-3</v>
      </c>
      <c r="J1476" s="16">
        <f t="shared" si="58"/>
        <v>-1.2979424872488982E-3</v>
      </c>
      <c r="K1476" s="16">
        <f t="shared" si="58"/>
        <v>1.1549468228629772E-2</v>
      </c>
      <c r="L1476" s="16">
        <f t="shared" si="59"/>
        <v>1.7140017858949995E-2</v>
      </c>
    </row>
    <row r="1477" spans="1:12" x14ac:dyDescent="0.35">
      <c r="A1477" s="18">
        <v>44397</v>
      </c>
      <c r="B1477" s="15">
        <v>407.34600830078119</v>
      </c>
      <c r="C1477" s="15">
        <v>76.202224731445313</v>
      </c>
      <c r="D1477" s="15">
        <v>169.38999938964841</v>
      </c>
      <c r="E1477" s="15">
        <v>349.87890625</v>
      </c>
      <c r="F1477" s="15">
        <v>210.34619140625</v>
      </c>
      <c r="H1477" s="16">
        <f t="shared" si="58"/>
        <v>8.0636475808994381E-3</v>
      </c>
      <c r="I1477" s="16">
        <f t="shared" si="58"/>
        <v>-3.2339049593492889E-3</v>
      </c>
      <c r="J1477" s="16">
        <f t="shared" si="58"/>
        <v>-3.7261902890749761E-3</v>
      </c>
      <c r="K1477" s="16">
        <f t="shared" si="58"/>
        <v>7.6906559635186392E-3</v>
      </c>
      <c r="L1477" s="16">
        <f t="shared" si="59"/>
        <v>8.9278750247297773E-3</v>
      </c>
    </row>
    <row r="1478" spans="1:12" x14ac:dyDescent="0.35">
      <c r="A1478" s="18">
        <v>44398</v>
      </c>
      <c r="B1478" s="15">
        <v>410.64398193359381</v>
      </c>
      <c r="C1478" s="15">
        <v>75.956192016601563</v>
      </c>
      <c r="D1478" s="15">
        <v>168.75999450683591</v>
      </c>
      <c r="E1478" s="15">
        <v>352.580078125</v>
      </c>
      <c r="F1478" s="15">
        <v>212.2325439453125</v>
      </c>
      <c r="H1478" s="16">
        <f t="shared" si="58"/>
        <v>2.0920460022665508E-3</v>
      </c>
      <c r="I1478" s="16">
        <f t="shared" si="58"/>
        <v>2.1955183219972128E-3</v>
      </c>
      <c r="J1478" s="16">
        <f t="shared" si="58"/>
        <v>1.9535411866020086E-3</v>
      </c>
      <c r="K1478" s="16">
        <f t="shared" si="58"/>
        <v>6.588455781282314E-3</v>
      </c>
      <c r="L1478" s="16">
        <f t="shared" si="59"/>
        <v>8.4406872848536915E-4</v>
      </c>
    </row>
    <row r="1479" spans="1:12" x14ac:dyDescent="0.35">
      <c r="A1479" s="18">
        <v>44399</v>
      </c>
      <c r="B1479" s="15">
        <v>411.50396728515619</v>
      </c>
      <c r="C1479" s="15">
        <v>76.123138427734375</v>
      </c>
      <c r="D1479" s="15">
        <v>169.0899963378906</v>
      </c>
      <c r="E1479" s="15">
        <v>354.91070556640619</v>
      </c>
      <c r="F1479" s="15">
        <v>212.41175842285159</v>
      </c>
      <c r="H1479" s="16">
        <f t="shared" si="58"/>
        <v>1.0235287603444025E-2</v>
      </c>
      <c r="I1479" s="16">
        <f t="shared" si="58"/>
        <v>-1.1547502302158769E-3</v>
      </c>
      <c r="J1479" s="16">
        <f t="shared" si="58"/>
        <v>-3.1393408805513701E-3</v>
      </c>
      <c r="K1479" s="16">
        <f t="shared" si="58"/>
        <v>1.1609845442932641E-2</v>
      </c>
      <c r="L1479" s="16">
        <f t="shared" si="59"/>
        <v>9.9410725146380028E-3</v>
      </c>
    </row>
    <row r="1480" spans="1:12" x14ac:dyDescent="0.35">
      <c r="A1480" s="18">
        <v>44400</v>
      </c>
      <c r="B1480" s="15">
        <v>415.73745727539063</v>
      </c>
      <c r="C1480" s="15">
        <v>76.035285949707031</v>
      </c>
      <c r="D1480" s="15">
        <v>168.55999755859381</v>
      </c>
      <c r="E1480" s="15">
        <v>359.05517578125</v>
      </c>
      <c r="F1480" s="15">
        <v>214.53388977050781</v>
      </c>
      <c r="H1480" s="16">
        <f t="shared" si="58"/>
        <v>2.4517583555833697E-3</v>
      </c>
      <c r="I1480" s="16">
        <f t="shared" si="58"/>
        <v>-5.7812653889109385E-4</v>
      </c>
      <c r="J1480" s="16">
        <f t="shared" si="58"/>
        <v>-2.3758261058628967E-3</v>
      </c>
      <c r="K1480" s="16">
        <f t="shared" si="58"/>
        <v>7.8733046928490004E-4</v>
      </c>
      <c r="L1480" s="16">
        <f t="shared" si="59"/>
        <v>2.0201928028434637E-3</v>
      </c>
    </row>
    <row r="1481" spans="1:12" x14ac:dyDescent="0.35">
      <c r="A1481" s="18">
        <v>44403</v>
      </c>
      <c r="B1481" s="15">
        <v>416.75799560546881</v>
      </c>
      <c r="C1481" s="15">
        <v>75.991340637207031</v>
      </c>
      <c r="D1481" s="15">
        <v>168.1600036621094</v>
      </c>
      <c r="E1481" s="15">
        <v>359.33798217773438</v>
      </c>
      <c r="F1481" s="15">
        <v>214.96772766113281</v>
      </c>
      <c r="H1481" s="16">
        <f t="shared" si="58"/>
        <v>-4.567791588722234E-3</v>
      </c>
      <c r="I1481" s="16">
        <f t="shared" si="58"/>
        <v>2.5404593326087848E-3</v>
      </c>
      <c r="J1481" s="16">
        <f t="shared" si="58"/>
        <v>1.6636888817751314E-3</v>
      </c>
      <c r="K1481" s="16">
        <f t="shared" si="58"/>
        <v>-1.1079095931373864E-2</v>
      </c>
      <c r="L1481" s="16">
        <f t="shared" si="59"/>
        <v>-5.4112160050694465E-3</v>
      </c>
    </row>
    <row r="1482" spans="1:12" x14ac:dyDescent="0.35">
      <c r="A1482" s="18">
        <v>44404</v>
      </c>
      <c r="B1482" s="15">
        <v>414.85867309570313</v>
      </c>
      <c r="C1482" s="15">
        <v>76.184638977050781</v>
      </c>
      <c r="D1482" s="15">
        <v>168.44000244140619</v>
      </c>
      <c r="E1482" s="15">
        <v>355.37881469726563</v>
      </c>
      <c r="F1482" s="15">
        <v>213.80763244628909</v>
      </c>
      <c r="H1482" s="16">
        <f t="shared" si="58"/>
        <v>-4.1033601444193639E-4</v>
      </c>
      <c r="I1482" s="16">
        <f t="shared" si="58"/>
        <v>9.2239658869988682E-4</v>
      </c>
      <c r="J1482" s="16">
        <f t="shared" si="58"/>
        <v>5.0335632022411418E-3</v>
      </c>
      <c r="K1482" s="16">
        <f t="shared" si="58"/>
        <v>3.8340144362398192E-3</v>
      </c>
      <c r="L1482" s="16">
        <f t="shared" si="59"/>
        <v>1.5428322187612405E-3</v>
      </c>
    </row>
    <row r="1483" spans="1:12" x14ac:dyDescent="0.35">
      <c r="A1483" s="18">
        <v>44405</v>
      </c>
      <c r="B1483" s="15">
        <v>414.6884765625</v>
      </c>
      <c r="C1483" s="15">
        <v>76.25494384765625</v>
      </c>
      <c r="D1483" s="15">
        <v>169.28999328613281</v>
      </c>
      <c r="E1483" s="15">
        <v>356.74395751953119</v>
      </c>
      <c r="F1483" s="15">
        <v>214.13775634765619</v>
      </c>
      <c r="H1483" s="16">
        <f t="shared" si="58"/>
        <v>4.1387503456908345E-3</v>
      </c>
      <c r="I1483" s="16">
        <f t="shared" si="58"/>
        <v>-1.7299791522017583E-3</v>
      </c>
      <c r="J1483" s="16">
        <f t="shared" si="58"/>
        <v>1.1044023020098688E-2</v>
      </c>
      <c r="K1483" s="16">
        <f t="shared" si="58"/>
        <v>1.775358982409959E-3</v>
      </c>
      <c r="L1483" s="16">
        <f t="shared" si="59"/>
        <v>4.3948589000605172E-3</v>
      </c>
    </row>
    <row r="1484" spans="1:12" x14ac:dyDescent="0.35">
      <c r="A1484" s="18">
        <v>44406</v>
      </c>
      <c r="B1484" s="15">
        <v>416.4083251953125</v>
      </c>
      <c r="C1484" s="15">
        <v>76.123138427734375</v>
      </c>
      <c r="D1484" s="15">
        <v>171.16999816894531</v>
      </c>
      <c r="E1484" s="15">
        <v>357.37786865234381</v>
      </c>
      <c r="F1484" s="15">
        <v>215.0809326171875</v>
      </c>
      <c r="H1484" s="16">
        <f t="shared" si="58"/>
        <v>-4.8681616265414543E-3</v>
      </c>
      <c r="I1484" s="16">
        <f t="shared" si="58"/>
        <v>1.4996348865702052E-3</v>
      </c>
      <c r="J1484" s="16">
        <f t="shared" si="58"/>
        <v>-7.9181083097626514E-3</v>
      </c>
      <c r="K1484" s="16">
        <f t="shared" si="58"/>
        <v>-5.2250780442932151E-3</v>
      </c>
      <c r="L1484" s="16">
        <f t="shared" si="59"/>
        <v>-5.9376911188215959E-3</v>
      </c>
    </row>
    <row r="1485" spans="1:12" x14ac:dyDescent="0.35">
      <c r="A1485" s="18">
        <v>44407</v>
      </c>
      <c r="B1485" s="15">
        <v>414.3861083984375</v>
      </c>
      <c r="C1485" s="15">
        <v>76.237380981445313</v>
      </c>
      <c r="D1485" s="15">
        <v>169.82000732421881</v>
      </c>
      <c r="E1485" s="15">
        <v>355.51541137695313</v>
      </c>
      <c r="F1485" s="15">
        <v>213.80763244628909</v>
      </c>
      <c r="H1485" s="16">
        <f t="shared" si="58"/>
        <v>-2.100062838878188E-3</v>
      </c>
      <c r="I1485" s="16">
        <f t="shared" si="58"/>
        <v>2.3750403051761475E-3</v>
      </c>
      <c r="J1485" s="16">
        <f t="shared" si="58"/>
        <v>-1.2374082182162029E-3</v>
      </c>
      <c r="K1485" s="16">
        <f t="shared" si="58"/>
        <v>8.1974203236234657E-5</v>
      </c>
      <c r="L1485" s="16">
        <f t="shared" si="59"/>
        <v>-1.4125632182504387E-3</v>
      </c>
    </row>
    <row r="1486" spans="1:12" x14ac:dyDescent="0.35">
      <c r="A1486" s="18">
        <v>44410</v>
      </c>
      <c r="B1486" s="15">
        <v>413.51678466796881</v>
      </c>
      <c r="C1486" s="15">
        <v>76.418663024902344</v>
      </c>
      <c r="D1486" s="15">
        <v>169.61000061035159</v>
      </c>
      <c r="E1486" s="15">
        <v>355.5445556640625</v>
      </c>
      <c r="F1486" s="15">
        <v>213.5058288574219</v>
      </c>
      <c r="H1486" s="16">
        <f t="shared" si="58"/>
        <v>8.1023667034040951E-3</v>
      </c>
      <c r="I1486" s="16">
        <f t="shared" si="58"/>
        <v>2.3059641118466126E-4</v>
      </c>
      <c r="J1486" s="16">
        <f t="shared" si="58"/>
        <v>-7.0772704238429324E-4</v>
      </c>
      <c r="K1486" s="16">
        <f t="shared" si="58"/>
        <v>6.0432534516214357E-3</v>
      </c>
      <c r="L1486" s="16">
        <f t="shared" si="59"/>
        <v>7.130870169967417E-3</v>
      </c>
    </row>
    <row r="1487" spans="1:12" x14ac:dyDescent="0.35">
      <c r="A1487" s="18">
        <v>44411</v>
      </c>
      <c r="B1487" s="15">
        <v>416.880859375</v>
      </c>
      <c r="C1487" s="15">
        <v>76.436286926269531</v>
      </c>
      <c r="D1487" s="15">
        <v>169.49000549316409</v>
      </c>
      <c r="E1487" s="15">
        <v>357.69970703125</v>
      </c>
      <c r="F1487" s="15">
        <v>215.03375244140619</v>
      </c>
      <c r="H1487" s="16">
        <f t="shared" si="58"/>
        <v>-4.9309709964944189E-3</v>
      </c>
      <c r="I1487" s="16">
        <f t="shared" si="58"/>
        <v>0</v>
      </c>
      <c r="J1487" s="16">
        <f t="shared" si="58"/>
        <v>2.3593466942563418E-4</v>
      </c>
      <c r="K1487" s="16">
        <f t="shared" si="58"/>
        <v>1.4435314287068548E-3</v>
      </c>
      <c r="L1487" s="16">
        <f t="shared" si="59"/>
        <v>-4.4839220878276987E-3</v>
      </c>
    </row>
    <row r="1488" spans="1:12" x14ac:dyDescent="0.35">
      <c r="A1488" s="18">
        <v>44412</v>
      </c>
      <c r="B1488" s="15">
        <v>414.83029174804688</v>
      </c>
      <c r="C1488" s="15">
        <v>76.436286926269531</v>
      </c>
      <c r="D1488" s="15">
        <v>169.5299987792969</v>
      </c>
      <c r="E1488" s="15">
        <v>358.2164306640625</v>
      </c>
      <c r="F1488" s="15">
        <v>214.07171630859381</v>
      </c>
      <c r="H1488" s="16">
        <f t="shared" si="58"/>
        <v>6.312849820738077E-3</v>
      </c>
      <c r="I1488" s="16">
        <f t="shared" si="58"/>
        <v>-2.3054591891187104E-3</v>
      </c>
      <c r="J1488" s="16">
        <f t="shared" si="58"/>
        <v>-3.959922253451811E-3</v>
      </c>
      <c r="K1488" s="16">
        <f t="shared" si="58"/>
        <v>6.3231064775111541E-3</v>
      </c>
      <c r="L1488" s="16">
        <f t="shared" si="59"/>
        <v>7.1122992794765364E-3</v>
      </c>
    </row>
    <row r="1489" spans="1:12" x14ac:dyDescent="0.35">
      <c r="A1489" s="18">
        <v>44413</v>
      </c>
      <c r="B1489" s="15">
        <v>417.45733642578119</v>
      </c>
      <c r="C1489" s="15">
        <v>76.260269165039063</v>
      </c>
      <c r="D1489" s="15">
        <v>168.86000061035159</v>
      </c>
      <c r="E1489" s="15">
        <v>360.4886474609375</v>
      </c>
      <c r="F1489" s="15">
        <v>215.59968566894531</v>
      </c>
      <c r="H1489" s="16">
        <f t="shared" si="58"/>
        <v>1.6509939970050975E-3</v>
      </c>
      <c r="I1489" s="16">
        <f t="shared" si="58"/>
        <v>-4.7430189636646436E-3</v>
      </c>
      <c r="J1489" s="16">
        <f t="shared" si="58"/>
        <v>-2.5308704477345491E-2</v>
      </c>
      <c r="K1489" s="16">
        <f t="shared" si="58"/>
        <v>-4.3918552833432066E-3</v>
      </c>
      <c r="L1489" s="16">
        <f t="shared" si="59"/>
        <v>1.2241309992733977E-3</v>
      </c>
    </row>
    <row r="1490" spans="1:12" x14ac:dyDescent="0.35">
      <c r="A1490" s="18">
        <v>44414</v>
      </c>
      <c r="B1490" s="15">
        <v>418.14712524414063</v>
      </c>
      <c r="C1490" s="15">
        <v>75.899421691894531</v>
      </c>
      <c r="D1490" s="15">
        <v>164.63999938964841</v>
      </c>
      <c r="E1490" s="15">
        <v>358.90890502929688</v>
      </c>
      <c r="F1490" s="15">
        <v>215.86376953125</v>
      </c>
      <c r="H1490" s="16">
        <f t="shared" si="58"/>
        <v>-8.1387117766342691E-4</v>
      </c>
      <c r="I1490" s="16">
        <f t="shared" si="58"/>
        <v>-1.8571178064084835E-3</v>
      </c>
      <c r="J1490" s="16">
        <f t="shared" si="58"/>
        <v>-1.7894816057729707E-2</v>
      </c>
      <c r="K1490" s="16">
        <f t="shared" si="58"/>
        <v>1.8458851693717703E-3</v>
      </c>
      <c r="L1490" s="16">
        <f t="shared" si="59"/>
        <v>-3.9330980745271374E-4</v>
      </c>
    </row>
    <row r="1491" spans="1:12" x14ac:dyDescent="0.35">
      <c r="A1491" s="18">
        <v>44417</v>
      </c>
      <c r="B1491" s="15">
        <v>417.80694580078119</v>
      </c>
      <c r="C1491" s="15">
        <v>75.758598327636719</v>
      </c>
      <c r="D1491" s="15">
        <v>161.7200012207031</v>
      </c>
      <c r="E1491" s="15">
        <v>359.572021484375</v>
      </c>
      <c r="F1491" s="15">
        <v>215.77888488769531</v>
      </c>
      <c r="H1491" s="16">
        <f t="shared" si="58"/>
        <v>1.2432102174008283E-3</v>
      </c>
      <c r="I1491" s="16">
        <f t="shared" si="58"/>
        <v>-1.5114392563431299E-3</v>
      </c>
      <c r="J1491" s="16">
        <f t="shared" si="58"/>
        <v>3.0914743149373187E-4</v>
      </c>
      <c r="K1491" s="16">
        <f t="shared" ref="K1491:L1554" si="60">LN(E1492/E1491)</f>
        <v>-5.1388529077190164E-3</v>
      </c>
      <c r="L1491" s="16">
        <f t="shared" si="59"/>
        <v>6.5524198208749898E-4</v>
      </c>
    </row>
    <row r="1492" spans="1:12" x14ac:dyDescent="0.35">
      <c r="A1492" s="18">
        <v>44418</v>
      </c>
      <c r="B1492" s="15">
        <v>418.32669067382813</v>
      </c>
      <c r="C1492" s="15">
        <v>75.644180297851563</v>
      </c>
      <c r="D1492" s="15">
        <v>161.77000427246091</v>
      </c>
      <c r="E1492" s="15">
        <v>357.72897338867188</v>
      </c>
      <c r="F1492" s="15">
        <v>215.9203186035156</v>
      </c>
      <c r="H1492" s="16">
        <f t="shared" ref="H1492:L1555" si="61">LN(B1493/B1492)</f>
        <v>2.4819388466030541E-3</v>
      </c>
      <c r="I1492" s="16">
        <f t="shared" si="61"/>
        <v>6.9790223833409728E-4</v>
      </c>
      <c r="J1492" s="16">
        <f t="shared" si="61"/>
        <v>1.3690828071883899E-2</v>
      </c>
      <c r="K1492" s="16">
        <f t="shared" si="60"/>
        <v>-1.7189216285649323E-3</v>
      </c>
      <c r="L1492" s="16">
        <f t="shared" si="60"/>
        <v>1.9638591256288134E-3</v>
      </c>
    </row>
    <row r="1493" spans="1:12" x14ac:dyDescent="0.35">
      <c r="A1493" s="18">
        <v>44419</v>
      </c>
      <c r="B1493" s="15">
        <v>419.36624145507813</v>
      </c>
      <c r="C1493" s="15">
        <v>75.696990966796875</v>
      </c>
      <c r="D1493" s="15">
        <v>164</v>
      </c>
      <c r="E1493" s="15">
        <v>357.11459350585938</v>
      </c>
      <c r="F1493" s="15">
        <v>216.34477233886719</v>
      </c>
      <c r="H1493" s="16">
        <f t="shared" si="61"/>
        <v>2.9922891428785831E-3</v>
      </c>
      <c r="I1493" s="16">
        <f t="shared" si="61"/>
        <v>1.1630329291526991E-4</v>
      </c>
      <c r="J1493" s="16">
        <f t="shared" si="61"/>
        <v>2.4383177142714218E-4</v>
      </c>
      <c r="K1493" s="16">
        <f t="shared" si="60"/>
        <v>3.5981376907266568E-3</v>
      </c>
      <c r="L1493" s="16">
        <f t="shared" si="60"/>
        <v>2.7862801003591823E-3</v>
      </c>
    </row>
    <row r="1494" spans="1:12" x14ac:dyDescent="0.35">
      <c r="A1494" s="18">
        <v>44420</v>
      </c>
      <c r="B1494" s="15">
        <v>420.62298583984381</v>
      </c>
      <c r="C1494" s="15">
        <v>75.705795288085938</v>
      </c>
      <c r="D1494" s="15">
        <v>164.03999328613281</v>
      </c>
      <c r="E1494" s="15">
        <v>358.40185546875</v>
      </c>
      <c r="F1494" s="15">
        <v>216.94841003417969</v>
      </c>
      <c r="H1494" s="16">
        <f t="shared" si="61"/>
        <v>1.8183448884792511E-3</v>
      </c>
      <c r="I1494" s="16">
        <f t="shared" si="61"/>
        <v>3.9446791011600989E-3</v>
      </c>
      <c r="J1494" s="16">
        <f t="shared" si="61"/>
        <v>1.4224167163591397E-2</v>
      </c>
      <c r="K1494" s="16">
        <f t="shared" si="60"/>
        <v>3.5036987841894057E-3</v>
      </c>
      <c r="L1494" s="16">
        <f t="shared" si="60"/>
        <v>5.6511241401091734E-4</v>
      </c>
    </row>
    <row r="1495" spans="1:12" x14ac:dyDescent="0.35">
      <c r="A1495" s="18">
        <v>44421</v>
      </c>
      <c r="B1495" s="15">
        <v>421.38851928710938</v>
      </c>
      <c r="C1495" s="15">
        <v>76.005020141601563</v>
      </c>
      <c r="D1495" s="15">
        <v>166.38999938964841</v>
      </c>
      <c r="E1495" s="15">
        <v>359.6597900390625</v>
      </c>
      <c r="F1495" s="15">
        <v>217.071044921875</v>
      </c>
      <c r="H1495" s="16">
        <f t="shared" si="61"/>
        <v>2.3517993466737369E-3</v>
      </c>
      <c r="I1495" s="16">
        <f t="shared" si="61"/>
        <v>9.2587916968948089E-4</v>
      </c>
      <c r="J1495" s="16">
        <f t="shared" si="61"/>
        <v>4.9758912626773838E-3</v>
      </c>
      <c r="K1495" s="16">
        <f t="shared" si="60"/>
        <v>4.3366547765938553E-4</v>
      </c>
      <c r="L1495" s="16">
        <f t="shared" si="60"/>
        <v>3.9068794148662713E-4</v>
      </c>
    </row>
    <row r="1496" spans="1:12" x14ac:dyDescent="0.35">
      <c r="A1496" s="18">
        <v>44424</v>
      </c>
      <c r="B1496" s="15">
        <v>422.38070678710938</v>
      </c>
      <c r="C1496" s="15">
        <v>76.075424194335938</v>
      </c>
      <c r="D1496" s="15">
        <v>167.2200012207031</v>
      </c>
      <c r="E1496" s="15">
        <v>359.8157958984375</v>
      </c>
      <c r="F1496" s="15">
        <v>217.15586853027341</v>
      </c>
      <c r="H1496" s="16">
        <f t="shared" si="61"/>
        <v>-6.576800698326943E-3</v>
      </c>
      <c r="I1496" s="16">
        <f t="shared" si="61"/>
        <v>-1.0418249523667313E-3</v>
      </c>
      <c r="J1496" s="16">
        <f t="shared" si="61"/>
        <v>-1.496155150116038E-3</v>
      </c>
      <c r="K1496" s="16">
        <f t="shared" si="60"/>
        <v>-8.8469144116511481E-3</v>
      </c>
      <c r="L1496" s="16">
        <f t="shared" si="60"/>
        <v>-7.4545368950989553E-3</v>
      </c>
    </row>
    <row r="1497" spans="1:12" x14ac:dyDescent="0.35">
      <c r="A1497" s="18">
        <v>44425</v>
      </c>
      <c r="B1497" s="15">
        <v>419.61190795898438</v>
      </c>
      <c r="C1497" s="15">
        <v>75.996208190917969</v>
      </c>
      <c r="D1497" s="15">
        <v>166.9700012207031</v>
      </c>
      <c r="E1497" s="15">
        <v>356.64657592773438</v>
      </c>
      <c r="F1497" s="15">
        <v>215.5430908203125</v>
      </c>
      <c r="H1497" s="16">
        <f t="shared" si="61"/>
        <v>-1.1005334850466699E-2</v>
      </c>
      <c r="I1497" s="16">
        <f t="shared" si="61"/>
        <v>-2.3163065827181011E-4</v>
      </c>
      <c r="J1497" s="16">
        <f t="shared" si="61"/>
        <v>7.7830925569470362E-4</v>
      </c>
      <c r="K1497" s="16">
        <f t="shared" si="60"/>
        <v>-9.6714056954465104E-3</v>
      </c>
      <c r="L1497" s="16">
        <f t="shared" si="60"/>
        <v>-1.002693033704039E-2</v>
      </c>
    </row>
    <row r="1498" spans="1:12" x14ac:dyDescent="0.35">
      <c r="A1498" s="18">
        <v>44426</v>
      </c>
      <c r="B1498" s="15">
        <v>415.01925659179688</v>
      </c>
      <c r="C1498" s="15">
        <v>75.978607177734375</v>
      </c>
      <c r="D1498" s="15">
        <v>167.1000061035156</v>
      </c>
      <c r="E1498" s="15">
        <v>353.21392822265619</v>
      </c>
      <c r="F1498" s="15">
        <v>213.39265441894531</v>
      </c>
      <c r="H1498" s="16">
        <f t="shared" si="61"/>
        <v>1.5471852047250186E-3</v>
      </c>
      <c r="I1498" s="16">
        <f t="shared" si="61"/>
        <v>2.1986787100230477E-3</v>
      </c>
      <c r="J1498" s="16">
        <f t="shared" si="61"/>
        <v>-2.9367165231405337E-3</v>
      </c>
      <c r="K1498" s="16">
        <f t="shared" si="60"/>
        <v>4.8199232181651052E-3</v>
      </c>
      <c r="L1498" s="16">
        <f t="shared" si="60"/>
        <v>-7.5173578208093171E-4</v>
      </c>
    </row>
    <row r="1499" spans="1:12" x14ac:dyDescent="0.35">
      <c r="A1499" s="18">
        <v>44427</v>
      </c>
      <c r="B1499" s="15">
        <v>415.661865234375</v>
      </c>
      <c r="C1499" s="15">
        <v>76.145843505859375</v>
      </c>
      <c r="D1499" s="15">
        <v>166.61000061035159</v>
      </c>
      <c r="E1499" s="15">
        <v>354.92050170898438</v>
      </c>
      <c r="F1499" s="15">
        <v>213.2322998046875</v>
      </c>
      <c r="H1499" s="16">
        <f t="shared" si="61"/>
        <v>7.9256129711599982E-3</v>
      </c>
      <c r="I1499" s="16">
        <f t="shared" si="61"/>
        <v>-2.3117542484738619E-4</v>
      </c>
      <c r="J1499" s="16">
        <f t="shared" si="61"/>
        <v>5.4001584553009345E-4</v>
      </c>
      <c r="K1499" s="16">
        <f t="shared" si="60"/>
        <v>1.0304816891953802E-2</v>
      </c>
      <c r="L1499" s="16">
        <f t="shared" si="60"/>
        <v>8.9389947272638451E-3</v>
      </c>
    </row>
    <row r="1500" spans="1:12" x14ac:dyDescent="0.35">
      <c r="A1500" s="18">
        <v>44428</v>
      </c>
      <c r="B1500" s="15">
        <v>418.96932983398438</v>
      </c>
      <c r="C1500" s="15">
        <v>76.128242492675781</v>
      </c>
      <c r="D1500" s="15">
        <v>166.69999694824219</v>
      </c>
      <c r="E1500" s="15">
        <v>358.5968017578125</v>
      </c>
      <c r="F1500" s="15">
        <v>215.14692687988281</v>
      </c>
      <c r="H1500" s="16">
        <f t="shared" si="61"/>
        <v>8.7579441442920108E-3</v>
      </c>
      <c r="I1500" s="16">
        <f t="shared" si="61"/>
        <v>2.3117542484741386E-4</v>
      </c>
      <c r="J1500" s="16">
        <f t="shared" si="61"/>
        <v>1.2104007439095276E-2</v>
      </c>
      <c r="K1500" s="16">
        <f t="shared" si="60"/>
        <v>1.484614405627227E-2</v>
      </c>
      <c r="L1500" s="16">
        <f t="shared" si="60"/>
        <v>9.6418266445655963E-3</v>
      </c>
    </row>
    <row r="1501" spans="1:12" x14ac:dyDescent="0.35">
      <c r="A1501" s="18">
        <v>44431</v>
      </c>
      <c r="B1501" s="15">
        <v>422.65475463867188</v>
      </c>
      <c r="C1501" s="15">
        <v>76.145843505859375</v>
      </c>
      <c r="D1501" s="15">
        <v>168.72999572753909</v>
      </c>
      <c r="E1501" s="15">
        <v>363.96029663085938</v>
      </c>
      <c r="F1501" s="15">
        <v>217.23136901855469</v>
      </c>
      <c r="H1501" s="16">
        <f t="shared" si="61"/>
        <v>1.5862295599623295E-3</v>
      </c>
      <c r="I1501" s="16">
        <f t="shared" si="61"/>
        <v>-1.9670480517512004E-3</v>
      </c>
      <c r="J1501" s="16">
        <f t="shared" si="61"/>
        <v>-4.7425357172676728E-4</v>
      </c>
      <c r="K1501" s="16">
        <f t="shared" si="60"/>
        <v>3.0494487886125799E-3</v>
      </c>
      <c r="L1501" s="16">
        <f t="shared" si="60"/>
        <v>3.553688628244565E-3</v>
      </c>
    </row>
    <row r="1502" spans="1:12" x14ac:dyDescent="0.35">
      <c r="A1502" s="18">
        <v>44432</v>
      </c>
      <c r="B1502" s="15">
        <v>423.32571411132813</v>
      </c>
      <c r="C1502" s="15">
        <v>75.996208190917969</v>
      </c>
      <c r="D1502" s="15">
        <v>168.6499938964844</v>
      </c>
      <c r="E1502" s="15">
        <v>365.07186889648438</v>
      </c>
      <c r="F1502" s="15">
        <v>218.00471496582031</v>
      </c>
      <c r="H1502" s="16">
        <f t="shared" si="61"/>
        <v>2.0961990425167917E-3</v>
      </c>
      <c r="I1502" s="16">
        <f t="shared" si="61"/>
        <v>-1.6222407837337203E-3</v>
      </c>
      <c r="J1502" s="16">
        <f t="shared" si="61"/>
        <v>-6.9616096765641889E-3</v>
      </c>
      <c r="K1502" s="16">
        <f t="shared" si="60"/>
        <v>1.1479134343679758E-3</v>
      </c>
      <c r="L1502" s="16">
        <f t="shared" si="60"/>
        <v>2.8515022163297155E-3</v>
      </c>
    </row>
    <row r="1503" spans="1:12" x14ac:dyDescent="0.35">
      <c r="A1503" s="18">
        <v>44433</v>
      </c>
      <c r="B1503" s="15">
        <v>424.21401977539063</v>
      </c>
      <c r="C1503" s="15">
        <v>75.873023986816406</v>
      </c>
      <c r="D1503" s="15">
        <v>167.47999572753909</v>
      </c>
      <c r="E1503" s="15">
        <v>365.49118041992188</v>
      </c>
      <c r="F1503" s="15">
        <v>218.62724304199219</v>
      </c>
      <c r="H1503" s="16">
        <f t="shared" si="61"/>
        <v>-5.9208166839376823E-3</v>
      </c>
      <c r="I1503" s="16">
        <f t="shared" si="61"/>
        <v>1.160334732733806E-4</v>
      </c>
      <c r="J1503" s="16">
        <f t="shared" si="61"/>
        <v>1.1338353884631962E-3</v>
      </c>
      <c r="K1503" s="16">
        <f t="shared" si="60"/>
        <v>-6.3700591774841567E-3</v>
      </c>
      <c r="L1503" s="16">
        <f t="shared" si="60"/>
        <v>-6.7093151668144047E-3</v>
      </c>
    </row>
    <row r="1504" spans="1:12" x14ac:dyDescent="0.35">
      <c r="A1504" s="18">
        <v>44434</v>
      </c>
      <c r="B1504" s="15">
        <v>421.70974731445313</v>
      </c>
      <c r="C1504" s="15">
        <v>75.881828308105469</v>
      </c>
      <c r="D1504" s="15">
        <v>167.66999816894531</v>
      </c>
      <c r="E1504" s="15">
        <v>363.17037963867188</v>
      </c>
      <c r="F1504" s="15">
        <v>217.1653137207031</v>
      </c>
      <c r="H1504" s="16">
        <f t="shared" si="61"/>
        <v>8.9012681858575467E-3</v>
      </c>
      <c r="I1504" s="16">
        <f t="shared" si="61"/>
        <v>2.8952666915157844E-3</v>
      </c>
      <c r="J1504" s="16">
        <f t="shared" si="61"/>
        <v>1.4917723322635221E-2</v>
      </c>
      <c r="K1504" s="16">
        <f t="shared" si="60"/>
        <v>9.6731839329802834E-3</v>
      </c>
      <c r="L1504" s="16">
        <f t="shared" si="60"/>
        <v>1.0713444584757096E-2</v>
      </c>
    </row>
    <row r="1505" spans="1:12" x14ac:dyDescent="0.35">
      <c r="A1505" s="18">
        <v>44435</v>
      </c>
      <c r="B1505" s="15">
        <v>425.48025512695313</v>
      </c>
      <c r="C1505" s="15">
        <v>76.101844787597656</v>
      </c>
      <c r="D1505" s="15">
        <v>170.19000244140619</v>
      </c>
      <c r="E1505" s="15">
        <v>366.700439453125</v>
      </c>
      <c r="F1505" s="15">
        <v>219.50440979003909</v>
      </c>
      <c r="H1505" s="16">
        <f t="shared" si="61"/>
        <v>4.3879629774944261E-3</v>
      </c>
      <c r="I1505" s="16">
        <f t="shared" si="61"/>
        <v>1.1559438733204743E-3</v>
      </c>
      <c r="J1505" s="16">
        <f t="shared" si="61"/>
        <v>-4.947859047149325E-3</v>
      </c>
      <c r="K1505" s="16">
        <f t="shared" si="60"/>
        <v>1.1159829624583175E-2</v>
      </c>
      <c r="L1505" s="16">
        <f t="shared" si="60"/>
        <v>3.7740533386945697E-3</v>
      </c>
    </row>
    <row r="1506" spans="1:12" x14ac:dyDescent="0.35">
      <c r="A1506" s="18">
        <v>44438</v>
      </c>
      <c r="B1506" s="15">
        <v>427.35134887695313</v>
      </c>
      <c r="C1506" s="15">
        <v>76.189865112304688</v>
      </c>
      <c r="D1506" s="15">
        <v>169.3500061035156</v>
      </c>
      <c r="E1506" s="15">
        <v>370.815673828125</v>
      </c>
      <c r="F1506" s="15">
        <v>220.33439636230469</v>
      </c>
      <c r="H1506" s="16">
        <f t="shared" si="61"/>
        <v>-1.4826621782076004E-3</v>
      </c>
      <c r="I1506" s="16">
        <f t="shared" si="61"/>
        <v>-1.271341073166471E-3</v>
      </c>
      <c r="J1506" s="16">
        <f t="shared" si="61"/>
        <v>2.0056420675671986E-3</v>
      </c>
      <c r="K1506" s="16">
        <f t="shared" si="60"/>
        <v>-8.1582865158942846E-4</v>
      </c>
      <c r="L1506" s="16">
        <f t="shared" si="60"/>
        <v>-1.885107468486778E-3</v>
      </c>
    </row>
    <row r="1507" spans="1:12" x14ac:dyDescent="0.35">
      <c r="A1507" s="18">
        <v>44439</v>
      </c>
      <c r="B1507" s="15">
        <v>426.71820068359381</v>
      </c>
      <c r="C1507" s="15">
        <v>76.093063354492188</v>
      </c>
      <c r="D1507" s="15">
        <v>169.69000244140619</v>
      </c>
      <c r="E1507" s="15">
        <v>370.51327514648438</v>
      </c>
      <c r="F1507" s="15">
        <v>219.91943359375</v>
      </c>
      <c r="H1507" s="16">
        <f t="shared" si="61"/>
        <v>5.3122970484353698E-4</v>
      </c>
      <c r="I1507" s="16">
        <f t="shared" si="61"/>
        <v>1.7304068313843377E-4</v>
      </c>
      <c r="J1507" s="16">
        <f t="shared" si="61"/>
        <v>5.889688474537466E-5</v>
      </c>
      <c r="K1507" s="16">
        <f t="shared" si="60"/>
        <v>1.6568948413473075E-3</v>
      </c>
      <c r="L1507" s="16">
        <f t="shared" si="60"/>
        <v>1.7567044062504382E-3</v>
      </c>
    </row>
    <row r="1508" spans="1:12" x14ac:dyDescent="0.35">
      <c r="A1508" s="18">
        <v>44440</v>
      </c>
      <c r="B1508" s="15">
        <v>426.9449462890625</v>
      </c>
      <c r="C1508" s="15">
        <v>76.106231689453125</v>
      </c>
      <c r="D1508" s="15">
        <v>169.69999694824219</v>
      </c>
      <c r="E1508" s="15">
        <v>371.127685546875</v>
      </c>
      <c r="F1508" s="15">
        <v>220.30610656738281</v>
      </c>
      <c r="H1508" s="16">
        <f t="shared" si="61"/>
        <v>3.0720878718424639E-3</v>
      </c>
      <c r="I1508" s="16">
        <f t="shared" si="61"/>
        <v>1.3892550366969342E-3</v>
      </c>
      <c r="J1508" s="16">
        <f t="shared" si="61"/>
        <v>-2.6552424645444089E-3</v>
      </c>
      <c r="K1508" s="16">
        <f t="shared" si="60"/>
        <v>-4.7301268627472415E-4</v>
      </c>
      <c r="L1508" s="16">
        <f t="shared" si="60"/>
        <v>3.3764145790194703E-3</v>
      </c>
    </row>
    <row r="1509" spans="1:12" x14ac:dyDescent="0.35">
      <c r="A1509" s="18">
        <v>44441</v>
      </c>
      <c r="B1509" s="15">
        <v>428.25857543945313</v>
      </c>
      <c r="C1509" s="15">
        <v>76.2120361328125</v>
      </c>
      <c r="D1509" s="15">
        <v>169.25</v>
      </c>
      <c r="E1509" s="15">
        <v>370.95217895507813</v>
      </c>
      <c r="F1509" s="15">
        <v>221.05120849609381</v>
      </c>
      <c r="H1509" s="16">
        <f t="shared" si="61"/>
        <v>-2.4274000128028206E-4</v>
      </c>
      <c r="I1509" s="16">
        <f t="shared" si="61"/>
        <v>-2.0840050890103758E-3</v>
      </c>
      <c r="J1509" s="16">
        <f t="shared" si="61"/>
        <v>1.0637446088029731E-2</v>
      </c>
      <c r="K1509" s="16">
        <f t="shared" si="60"/>
        <v>3.0709597133077721E-3</v>
      </c>
      <c r="L1509" s="16">
        <f t="shared" si="60"/>
        <v>-3.4147226518689349E-4</v>
      </c>
    </row>
    <row r="1510" spans="1:12" x14ac:dyDescent="0.35">
      <c r="A1510" s="18">
        <v>44442</v>
      </c>
      <c r="B1510" s="15">
        <v>428.15463256835938</v>
      </c>
      <c r="C1510" s="15">
        <v>76.053375244140625</v>
      </c>
      <c r="D1510" s="15">
        <v>171.05999755859381</v>
      </c>
      <c r="E1510" s="15">
        <v>372.09310913085938</v>
      </c>
      <c r="F1510" s="15">
        <v>220.9757385253906</v>
      </c>
      <c r="H1510" s="16">
        <f t="shared" si="61"/>
        <v>-3.5820185246043918E-3</v>
      </c>
      <c r="I1510" s="16">
        <f t="shared" si="61"/>
        <v>-2.9020443212213068E-3</v>
      </c>
      <c r="J1510" s="16">
        <f t="shared" si="61"/>
        <v>-1.9778020504279452E-2</v>
      </c>
      <c r="K1510" s="16">
        <f t="shared" si="60"/>
        <v>1.4142670704095019E-3</v>
      </c>
      <c r="L1510" s="16">
        <f t="shared" si="60"/>
        <v>-4.3200192577674684E-3</v>
      </c>
    </row>
    <row r="1511" spans="1:12" x14ac:dyDescent="0.35">
      <c r="A1511" s="18">
        <v>44446</v>
      </c>
      <c r="B1511" s="15">
        <v>426.62371826171881</v>
      </c>
      <c r="C1511" s="15">
        <v>75.832984924316406</v>
      </c>
      <c r="D1511" s="15">
        <v>167.71000671386719</v>
      </c>
      <c r="E1511" s="15">
        <v>372.61972045898438</v>
      </c>
      <c r="F1511" s="15">
        <v>220.02317810058591</v>
      </c>
      <c r="H1511" s="16">
        <f t="shared" si="61"/>
        <v>-1.219088998022463E-3</v>
      </c>
      <c r="I1511" s="16">
        <f t="shared" si="61"/>
        <v>1.6261099524348529E-3</v>
      </c>
      <c r="J1511" s="16">
        <f t="shared" si="61"/>
        <v>-2.507544166051433E-3</v>
      </c>
      <c r="K1511" s="16">
        <f t="shared" si="60"/>
        <v>-3.4869889112082845E-3</v>
      </c>
      <c r="L1511" s="16">
        <f t="shared" si="60"/>
        <v>-2.3605733325233317E-3</v>
      </c>
    </row>
    <row r="1512" spans="1:12" x14ac:dyDescent="0.35">
      <c r="A1512" s="18">
        <v>44447</v>
      </c>
      <c r="B1512" s="15">
        <v>426.10394287109381</v>
      </c>
      <c r="C1512" s="15">
        <v>75.956398010253906</v>
      </c>
      <c r="D1512" s="15">
        <v>167.28999328613281</v>
      </c>
      <c r="E1512" s="15">
        <v>371.32266235351563</v>
      </c>
      <c r="F1512" s="15">
        <v>219.50440979003909</v>
      </c>
      <c r="H1512" s="16">
        <f t="shared" si="61"/>
        <v>-4.2894143850494282E-3</v>
      </c>
      <c r="I1512" s="16">
        <f t="shared" si="61"/>
        <v>3.5912610765042817E-3</v>
      </c>
      <c r="J1512" s="16">
        <f t="shared" si="61"/>
        <v>4.4137344149747593E-3</v>
      </c>
      <c r="K1512" s="16">
        <f t="shared" si="60"/>
        <v>-3.4461610361854644E-3</v>
      </c>
      <c r="L1512" s="16">
        <f t="shared" si="60"/>
        <v>-3.4865342408851338E-3</v>
      </c>
    </row>
    <row r="1513" spans="1:12" x14ac:dyDescent="0.35">
      <c r="A1513" s="18">
        <v>44448</v>
      </c>
      <c r="B1513" s="15">
        <v>424.28012084960938</v>
      </c>
      <c r="C1513" s="15">
        <v>76.229667663574219</v>
      </c>
      <c r="D1513" s="15">
        <v>168.0299987792969</v>
      </c>
      <c r="E1513" s="15">
        <v>370.04522705078119</v>
      </c>
      <c r="F1513" s="15">
        <v>218.74043273925781</v>
      </c>
      <c r="H1513" s="16">
        <f t="shared" si="61"/>
        <v>-7.915840306268053E-3</v>
      </c>
      <c r="I1513" s="16">
        <f t="shared" si="61"/>
        <v>-2.4314997511075179E-3</v>
      </c>
      <c r="J1513" s="16">
        <f t="shared" si="61"/>
        <v>-5.0714951644257817E-3</v>
      </c>
      <c r="K1513" s="16">
        <f t="shared" si="60"/>
        <v>-7.6184002764377824E-3</v>
      </c>
      <c r="L1513" s="16">
        <f t="shared" si="60"/>
        <v>-7.9653006662070217E-3</v>
      </c>
    </row>
    <row r="1514" spans="1:12" x14ac:dyDescent="0.35">
      <c r="A1514" s="18">
        <v>44449</v>
      </c>
      <c r="B1514" s="15">
        <v>420.93484497070313</v>
      </c>
      <c r="C1514" s="15">
        <v>76.044540405273438</v>
      </c>
      <c r="D1514" s="15">
        <v>167.17999267578119</v>
      </c>
      <c r="E1514" s="15">
        <v>367.23678588867188</v>
      </c>
      <c r="F1514" s="15">
        <v>217.00502014160159</v>
      </c>
      <c r="H1514" s="16">
        <f t="shared" si="61"/>
        <v>2.55603643755734E-3</v>
      </c>
      <c r="I1514" s="16">
        <f t="shared" si="61"/>
        <v>1.5057918677270077E-3</v>
      </c>
      <c r="J1514" s="16">
        <f t="shared" si="61"/>
        <v>3.3441618437196085E-3</v>
      </c>
      <c r="K1514" s="16">
        <f t="shared" si="60"/>
        <v>-6.90720945494661E-4</v>
      </c>
      <c r="L1514" s="16">
        <f t="shared" si="60"/>
        <v>2.2574564493389815E-3</v>
      </c>
    </row>
    <row r="1515" spans="1:12" x14ac:dyDescent="0.35">
      <c r="A1515" s="18">
        <v>44452</v>
      </c>
      <c r="B1515" s="15">
        <v>422.01214599609381</v>
      </c>
      <c r="C1515" s="15">
        <v>76.159133911132813</v>
      </c>
      <c r="D1515" s="15">
        <v>167.74000549316409</v>
      </c>
      <c r="E1515" s="15">
        <v>366.98321533203119</v>
      </c>
      <c r="F1515" s="15">
        <v>217.4954528808594</v>
      </c>
      <c r="H1515" s="16">
        <f t="shared" si="61"/>
        <v>-5.4110796876660205E-3</v>
      </c>
      <c r="I1515" s="16">
        <f t="shared" si="61"/>
        <v>2.4278456114109992E-3</v>
      </c>
      <c r="J1515" s="16">
        <f t="shared" si="61"/>
        <v>6.4179076360026243E-3</v>
      </c>
      <c r="K1515" s="16">
        <f t="shared" si="60"/>
        <v>-2.8472203808902908E-3</v>
      </c>
      <c r="L1515" s="16">
        <f t="shared" si="60"/>
        <v>-6.0460442545179809E-3</v>
      </c>
    </row>
    <row r="1516" spans="1:12" x14ac:dyDescent="0.35">
      <c r="A1516" s="18">
        <v>44453</v>
      </c>
      <c r="B1516" s="15">
        <v>419.73477172851563</v>
      </c>
      <c r="C1516" s="15">
        <v>76.344261169433594</v>
      </c>
      <c r="D1516" s="15">
        <v>168.82000732421881</v>
      </c>
      <c r="E1516" s="15">
        <v>365.9398193359375</v>
      </c>
      <c r="F1516" s="15">
        <v>216.18443298339841</v>
      </c>
      <c r="H1516" s="16">
        <f t="shared" si="61"/>
        <v>8.3179413484442289E-3</v>
      </c>
      <c r="I1516" s="16">
        <f t="shared" si="61"/>
        <v>-9.2421771764455789E-4</v>
      </c>
      <c r="J1516" s="16">
        <f t="shared" si="61"/>
        <v>-5.8815287100914704E-3</v>
      </c>
      <c r="K1516" s="16">
        <f t="shared" si="60"/>
        <v>7.4074181980441356E-3</v>
      </c>
      <c r="L1516" s="16">
        <f t="shared" si="60"/>
        <v>8.2119635965290493E-3</v>
      </c>
    </row>
    <row r="1517" spans="1:12" x14ac:dyDescent="0.35">
      <c r="A1517" s="18">
        <v>44454</v>
      </c>
      <c r="B1517" s="15">
        <v>423.24066162109381</v>
      </c>
      <c r="C1517" s="15">
        <v>76.273735046386719</v>
      </c>
      <c r="D1517" s="15">
        <v>167.83000183105469</v>
      </c>
      <c r="E1517" s="15">
        <v>368.66055297851563</v>
      </c>
      <c r="F1517" s="15">
        <v>217.967041015625</v>
      </c>
      <c r="H1517" s="16">
        <f t="shared" si="61"/>
        <v>-1.5864763552966997E-3</v>
      </c>
      <c r="I1517" s="16">
        <f t="shared" si="61"/>
        <v>-1.8508015008377962E-3</v>
      </c>
      <c r="J1517" s="16">
        <f t="shared" si="61"/>
        <v>-2.2902242747818758E-2</v>
      </c>
      <c r="K1517" s="16">
        <f t="shared" si="60"/>
        <v>6.8733120433869289E-4</v>
      </c>
      <c r="L1517" s="16">
        <f t="shared" si="60"/>
        <v>-9.0921850247128999E-4</v>
      </c>
    </row>
    <row r="1518" spans="1:12" x14ac:dyDescent="0.35">
      <c r="A1518" s="18">
        <v>44455</v>
      </c>
      <c r="B1518" s="15">
        <v>422.56973266601563</v>
      </c>
      <c r="C1518" s="15">
        <v>76.132698059082031</v>
      </c>
      <c r="D1518" s="15">
        <v>164.0299987792969</v>
      </c>
      <c r="E1518" s="15">
        <v>368.91403198242188</v>
      </c>
      <c r="F1518" s="15">
        <v>217.7689514160156</v>
      </c>
      <c r="H1518" s="16">
        <f t="shared" si="61"/>
        <v>-9.7888021965618927E-3</v>
      </c>
      <c r="I1518" s="16">
        <f t="shared" si="61"/>
        <v>-1.2742027641932394E-3</v>
      </c>
      <c r="J1518" s="16">
        <f t="shared" si="61"/>
        <v>-1.5862999324905774E-3</v>
      </c>
      <c r="K1518" s="16">
        <f t="shared" si="60"/>
        <v>-1.1912850360066044E-2</v>
      </c>
      <c r="L1518" s="16">
        <f t="shared" si="60"/>
        <v>-8.0446281828985052E-3</v>
      </c>
    </row>
    <row r="1519" spans="1:12" x14ac:dyDescent="0.35">
      <c r="A1519" s="18">
        <v>44456</v>
      </c>
      <c r="B1519" s="15">
        <v>418.45346069335938</v>
      </c>
      <c r="C1519" s="15">
        <v>76.035751342773438</v>
      </c>
      <c r="D1519" s="15">
        <v>163.77000427246091</v>
      </c>
      <c r="E1519" s="15">
        <v>364.5452880859375</v>
      </c>
      <c r="F1519" s="15">
        <v>216.02410888671881</v>
      </c>
      <c r="H1519" s="16">
        <f t="shared" si="61"/>
        <v>-1.6814803131533301E-2</v>
      </c>
      <c r="I1519" s="16">
        <f t="shared" si="61"/>
        <v>2.7784524372085197E-3</v>
      </c>
      <c r="J1519" s="16">
        <f t="shared" si="61"/>
        <v>7.1187556570393978E-3</v>
      </c>
      <c r="K1519" s="16">
        <f t="shared" si="60"/>
        <v>-2.0879619593984645E-2</v>
      </c>
      <c r="L1519" s="16">
        <f t="shared" si="60"/>
        <v>-1.7485230192814623E-2</v>
      </c>
    </row>
    <row r="1520" spans="1:12" x14ac:dyDescent="0.35">
      <c r="A1520" s="18">
        <v>44459</v>
      </c>
      <c r="B1520" s="15">
        <v>411.47607421875</v>
      </c>
      <c r="C1520" s="15">
        <v>76.247306823730469</v>
      </c>
      <c r="D1520" s="15">
        <v>164.94000244140619</v>
      </c>
      <c r="E1520" s="15">
        <v>357.01263427734381</v>
      </c>
      <c r="F1520" s="15">
        <v>212.27970886230469</v>
      </c>
      <c r="H1520" s="16">
        <f t="shared" si="61"/>
        <v>-9.4502592201226856E-4</v>
      </c>
      <c r="I1520" s="16">
        <f t="shared" si="61"/>
        <v>-2.3136818256332305E-4</v>
      </c>
      <c r="J1520" s="16">
        <f t="shared" si="61"/>
        <v>6.6468965426046602E-3</v>
      </c>
      <c r="K1520" s="16">
        <f t="shared" si="60"/>
        <v>1.2298191129411962E-3</v>
      </c>
      <c r="L1520" s="16">
        <f t="shared" si="60"/>
        <v>-8.8920233469377317E-5</v>
      </c>
    </row>
    <row r="1521" spans="1:12" x14ac:dyDescent="0.35">
      <c r="A1521" s="18">
        <v>44460</v>
      </c>
      <c r="B1521" s="15">
        <v>411.08740234375</v>
      </c>
      <c r="C1521" s="15">
        <v>76.229667663574219</v>
      </c>
      <c r="D1521" s="15">
        <v>166.03999328613281</v>
      </c>
      <c r="E1521" s="15">
        <v>357.45196533203119</v>
      </c>
      <c r="F1521" s="15">
        <v>212.2608337402344</v>
      </c>
      <c r="H1521" s="16">
        <f t="shared" si="61"/>
        <v>9.7074445214108667E-3</v>
      </c>
      <c r="I1521" s="16">
        <f t="shared" si="61"/>
        <v>1.0402356217720052E-3</v>
      </c>
      <c r="J1521" s="16">
        <f t="shared" si="61"/>
        <v>-3.7409995549623856E-3</v>
      </c>
      <c r="K1521" s="16">
        <f t="shared" si="60"/>
        <v>9.2969657807913109E-3</v>
      </c>
      <c r="L1521" s="16">
        <f t="shared" si="60"/>
        <v>1.0036145983003201E-2</v>
      </c>
    </row>
    <row r="1522" spans="1:12" x14ac:dyDescent="0.35">
      <c r="A1522" s="18">
        <v>44461</v>
      </c>
      <c r="B1522" s="15">
        <v>415.09744262695313</v>
      </c>
      <c r="C1522" s="15">
        <v>76.309005737304688</v>
      </c>
      <c r="D1522" s="15">
        <v>165.41999816894531</v>
      </c>
      <c r="E1522" s="15">
        <v>360.79067993164063</v>
      </c>
      <c r="F1522" s="15">
        <v>214.40184020996091</v>
      </c>
      <c r="H1522" s="16">
        <f t="shared" si="61"/>
        <v>1.2076908851467465E-2</v>
      </c>
      <c r="I1522" s="16">
        <f t="shared" si="61"/>
        <v>-5.3278187394712193E-3</v>
      </c>
      <c r="J1522" s="16">
        <f t="shared" si="61"/>
        <v>-1.161356624341982E-2</v>
      </c>
      <c r="K1522" s="16">
        <f t="shared" si="60"/>
        <v>9.1845921164092417E-3</v>
      </c>
      <c r="L1522" s="16">
        <f t="shared" si="60"/>
        <v>1.2111718357066554E-2</v>
      </c>
    </row>
    <row r="1523" spans="1:12" x14ac:dyDescent="0.35">
      <c r="A1523" s="18">
        <v>44462</v>
      </c>
      <c r="B1523" s="15">
        <v>420.14093017578119</v>
      </c>
      <c r="C1523" s="15">
        <v>75.903526306152344</v>
      </c>
      <c r="D1523" s="15">
        <v>163.50999450683591</v>
      </c>
      <c r="E1523" s="15">
        <v>364.11965942382813</v>
      </c>
      <c r="F1523" s="15">
        <v>217.014404296875</v>
      </c>
      <c r="H1523" s="16">
        <f t="shared" si="61"/>
        <v>1.6458234178426754E-3</v>
      </c>
      <c r="I1523" s="16">
        <f t="shared" si="61"/>
        <v>-2.0929880191198026E-3</v>
      </c>
      <c r="J1523" s="16">
        <f t="shared" si="61"/>
        <v>-1.2850982867507173E-3</v>
      </c>
      <c r="K1523" s="16">
        <f t="shared" si="60"/>
        <v>9.3791859165048255E-4</v>
      </c>
      <c r="L1523" s="16">
        <f t="shared" si="60"/>
        <v>1.1939637916140032E-3</v>
      </c>
    </row>
    <row r="1524" spans="1:12" x14ac:dyDescent="0.35">
      <c r="A1524" s="18">
        <v>44463</v>
      </c>
      <c r="B1524" s="15">
        <v>420.83297729492188</v>
      </c>
      <c r="C1524" s="15">
        <v>75.744827270507813</v>
      </c>
      <c r="D1524" s="15">
        <v>163.30000305175781</v>
      </c>
      <c r="E1524" s="15">
        <v>364.46133422851563</v>
      </c>
      <c r="F1524" s="15">
        <v>217.27366638183591</v>
      </c>
      <c r="H1524" s="16">
        <f t="shared" si="61"/>
        <v>-2.8650441100977132E-3</v>
      </c>
      <c r="I1524" s="16">
        <f t="shared" si="61"/>
        <v>-1.1639496644346727E-3</v>
      </c>
      <c r="J1524" s="16">
        <f t="shared" si="61"/>
        <v>2.0798706668895975E-3</v>
      </c>
      <c r="K1524" s="16">
        <f t="shared" si="60"/>
        <v>-8.0141631060461817E-3</v>
      </c>
      <c r="L1524" s="16">
        <f t="shared" si="60"/>
        <v>-2.1795954647437091E-3</v>
      </c>
    </row>
    <row r="1525" spans="1:12" x14ac:dyDescent="0.35">
      <c r="A1525" s="18">
        <v>44466</v>
      </c>
      <c r="B1525" s="15">
        <v>419.62899780273438</v>
      </c>
      <c r="C1525" s="15">
        <v>75.656715393066406</v>
      </c>
      <c r="D1525" s="15">
        <v>163.63999938964841</v>
      </c>
      <c r="E1525" s="15">
        <v>361.55215454101563</v>
      </c>
      <c r="F1525" s="15">
        <v>216.80061340332031</v>
      </c>
      <c r="H1525" s="16">
        <f t="shared" si="61"/>
        <v>-2.0357812388179075E-2</v>
      </c>
      <c r="I1525" s="16">
        <f t="shared" si="61"/>
        <v>-4.3204272840947616E-3</v>
      </c>
      <c r="J1525" s="16">
        <f t="shared" si="61"/>
        <v>-9.7639409115993017E-3</v>
      </c>
      <c r="K1525" s="16">
        <f t="shared" si="60"/>
        <v>-2.8705579867870139E-2</v>
      </c>
      <c r="L1525" s="16">
        <f t="shared" si="60"/>
        <v>-2.1170643478283353E-2</v>
      </c>
    </row>
    <row r="1526" spans="1:12" x14ac:dyDescent="0.35">
      <c r="A1526" s="18">
        <v>44467</v>
      </c>
      <c r="B1526" s="15">
        <v>411.17263793945313</v>
      </c>
      <c r="C1526" s="15">
        <v>75.330551147460938</v>
      </c>
      <c r="D1526" s="15">
        <v>162.05000305175781</v>
      </c>
      <c r="E1526" s="15">
        <v>351.32113647460938</v>
      </c>
      <c r="F1526" s="15">
        <v>212.25904846191409</v>
      </c>
      <c r="H1526" s="16">
        <f t="shared" si="61"/>
        <v>1.6818393207018942E-3</v>
      </c>
      <c r="I1526" s="16">
        <f t="shared" si="61"/>
        <v>1.1727407663902808E-4</v>
      </c>
      <c r="J1526" s="16">
        <f t="shared" si="61"/>
        <v>-4.5149330127859056E-3</v>
      </c>
      <c r="K1526" s="16">
        <f t="shared" si="60"/>
        <v>-1.6407520745712358E-3</v>
      </c>
      <c r="L1526" s="16">
        <f t="shared" si="60"/>
        <v>6.6861845757781651E-4</v>
      </c>
    </row>
    <row r="1527" spans="1:12" x14ac:dyDescent="0.35">
      <c r="A1527" s="18">
        <v>44468</v>
      </c>
      <c r="B1527" s="15">
        <v>411.86474609375</v>
      </c>
      <c r="C1527" s="15">
        <v>75.339385986328125</v>
      </c>
      <c r="D1527" s="15">
        <v>161.32000732421881</v>
      </c>
      <c r="E1527" s="15">
        <v>350.74517822265619</v>
      </c>
      <c r="F1527" s="15">
        <v>212.40101623535159</v>
      </c>
      <c r="H1527" s="16">
        <f t="shared" si="61"/>
        <v>-1.2297609157776704E-2</v>
      </c>
      <c r="I1527" s="16">
        <f t="shared" si="61"/>
        <v>-2.343593265837167E-4</v>
      </c>
      <c r="J1527" s="16">
        <f t="shared" si="61"/>
        <v>1.7816984307013731E-2</v>
      </c>
      <c r="K1527" s="16">
        <f t="shared" si="60"/>
        <v>-3.6808458009141244E-3</v>
      </c>
      <c r="L1527" s="16">
        <f t="shared" si="60"/>
        <v>-1.0883794496363957E-2</v>
      </c>
    </row>
    <row r="1528" spans="1:12" x14ac:dyDescent="0.35">
      <c r="A1528" s="18">
        <v>44469</v>
      </c>
      <c r="B1528" s="15">
        <v>406.830810546875</v>
      </c>
      <c r="C1528" s="15">
        <v>75.321731567382813</v>
      </c>
      <c r="D1528" s="15">
        <v>164.2200012207031</v>
      </c>
      <c r="E1528" s="15">
        <v>349.45651245117188</v>
      </c>
      <c r="F1528" s="15">
        <v>210.10182189941409</v>
      </c>
      <c r="H1528" s="16">
        <f t="shared" si="61"/>
        <v>1.1814237482023301E-2</v>
      </c>
      <c r="I1528" s="16">
        <f t="shared" si="61"/>
        <v>3.3936538309411526E-3</v>
      </c>
      <c r="J1528" s="16">
        <f t="shared" si="61"/>
        <v>2.2505110921036547E-3</v>
      </c>
      <c r="K1528" s="16">
        <f t="shared" si="60"/>
        <v>6.1824955796473055E-3</v>
      </c>
      <c r="L1528" s="16">
        <f t="shared" si="60"/>
        <v>1.3686131817896376E-2</v>
      </c>
    </row>
    <row r="1529" spans="1:12" x14ac:dyDescent="0.35">
      <c r="A1529" s="18">
        <v>44470</v>
      </c>
      <c r="B1529" s="15">
        <v>411.66571044921881</v>
      </c>
      <c r="C1529" s="15">
        <v>75.577781677246094</v>
      </c>
      <c r="D1529" s="15">
        <v>164.5899963378906</v>
      </c>
      <c r="E1529" s="15">
        <v>351.62371826171881</v>
      </c>
      <c r="F1529" s="15">
        <v>212.9970703125</v>
      </c>
      <c r="H1529" s="16">
        <f t="shared" si="61"/>
        <v>-1.2980092936858815E-2</v>
      </c>
      <c r="I1529" s="16">
        <f t="shared" si="61"/>
        <v>-7.0142786762772619E-4</v>
      </c>
      <c r="J1529" s="16">
        <f t="shared" si="61"/>
        <v>4.667408258473749E-3</v>
      </c>
      <c r="K1529" s="16">
        <f t="shared" si="60"/>
        <v>-2.1212898430478428E-2</v>
      </c>
      <c r="L1529" s="16">
        <f t="shared" si="60"/>
        <v>-1.5173376642445722E-2</v>
      </c>
    </row>
    <row r="1530" spans="1:12" x14ac:dyDescent="0.35">
      <c r="A1530" s="18">
        <v>44473</v>
      </c>
      <c r="B1530" s="15">
        <v>406.35678100585938</v>
      </c>
      <c r="C1530" s="15">
        <v>75.524787902832031</v>
      </c>
      <c r="D1530" s="15">
        <v>165.36000061035159</v>
      </c>
      <c r="E1530" s="15">
        <v>344.24331665039063</v>
      </c>
      <c r="F1530" s="15">
        <v>209.7895812988281</v>
      </c>
      <c r="H1530" s="16">
        <f t="shared" si="61"/>
        <v>1.0351257888282136E-2</v>
      </c>
      <c r="I1530" s="16">
        <f t="shared" si="61"/>
        <v>-2.4577653697225765E-3</v>
      </c>
      <c r="J1530" s="16">
        <f t="shared" si="61"/>
        <v>-4.6674082584738539E-3</v>
      </c>
      <c r="K1530" s="16">
        <f t="shared" si="60"/>
        <v>1.3408617365812503E-2</v>
      </c>
      <c r="L1530" s="16">
        <f t="shared" si="60"/>
        <v>9.2927957981889155E-3</v>
      </c>
    </row>
    <row r="1531" spans="1:12" x14ac:dyDescent="0.35">
      <c r="A1531" s="18">
        <v>44474</v>
      </c>
      <c r="B1531" s="15">
        <v>410.58493041992188</v>
      </c>
      <c r="C1531" s="15">
        <v>75.339393615722656</v>
      </c>
      <c r="D1531" s="15">
        <v>164.5899963378906</v>
      </c>
      <c r="E1531" s="15">
        <v>348.89022827148438</v>
      </c>
      <c r="F1531" s="15">
        <v>211.7481994628906</v>
      </c>
      <c r="H1531" s="16">
        <f t="shared" si="61"/>
        <v>4.1473122352064812E-3</v>
      </c>
      <c r="I1531" s="16">
        <f t="shared" si="61"/>
        <v>4.6865511673880943E-4</v>
      </c>
      <c r="J1531" s="16">
        <f t="shared" si="61"/>
        <v>2.6697573525342883E-3</v>
      </c>
      <c r="K1531" s="16">
        <f t="shared" si="60"/>
        <v>6.3875522790426747E-3</v>
      </c>
      <c r="L1531" s="16">
        <f t="shared" si="60"/>
        <v>4.1467165399216507E-3</v>
      </c>
    </row>
    <row r="1532" spans="1:12" x14ac:dyDescent="0.35">
      <c r="A1532" s="18">
        <v>44475</v>
      </c>
      <c r="B1532" s="15">
        <v>412.29129028320313</v>
      </c>
      <c r="C1532" s="15">
        <v>75.374710083007813</v>
      </c>
      <c r="D1532" s="15">
        <v>165.0299987792969</v>
      </c>
      <c r="E1532" s="15">
        <v>351.12591552734381</v>
      </c>
      <c r="F1532" s="15">
        <v>212.6280822753906</v>
      </c>
      <c r="H1532" s="16">
        <f t="shared" si="61"/>
        <v>8.6088283815209318E-3</v>
      </c>
      <c r="I1532" s="16">
        <f t="shared" si="61"/>
        <v>-2.815129432126071E-3</v>
      </c>
      <c r="J1532" s="16">
        <f t="shared" si="61"/>
        <v>-5.2856838680448463E-3</v>
      </c>
      <c r="K1532" s="16">
        <f t="shared" si="60"/>
        <v>9.1332736855804821E-3</v>
      </c>
      <c r="L1532" s="16">
        <f t="shared" si="60"/>
        <v>9.5655129386643025E-3</v>
      </c>
    </row>
    <row r="1533" spans="1:12" x14ac:dyDescent="0.35">
      <c r="A1533" s="18">
        <v>44476</v>
      </c>
      <c r="B1533" s="15">
        <v>415.85595703125</v>
      </c>
      <c r="C1533" s="15">
        <v>75.162818908691406</v>
      </c>
      <c r="D1533" s="15">
        <v>164.1600036621094</v>
      </c>
      <c r="E1533" s="15">
        <v>354.3475341796875</v>
      </c>
      <c r="F1533" s="15">
        <v>214.67173767089841</v>
      </c>
      <c r="H1533" s="16">
        <f t="shared" si="61"/>
        <v>-1.8256489841328629E-3</v>
      </c>
      <c r="I1533" s="16">
        <f t="shared" si="61"/>
        <v>-2.4692090764708071E-3</v>
      </c>
      <c r="J1533" s="16">
        <f t="shared" si="61"/>
        <v>4.2627404378714777E-4</v>
      </c>
      <c r="K1533" s="16">
        <f t="shared" si="60"/>
        <v>-4.9991863099020893E-3</v>
      </c>
      <c r="L1533" s="16">
        <f t="shared" si="60"/>
        <v>-2.2061848846335044E-3</v>
      </c>
    </row>
    <row r="1534" spans="1:12" x14ac:dyDescent="0.35">
      <c r="A1534" s="18">
        <v>44477</v>
      </c>
      <c r="B1534" s="15">
        <v>415.09744262695313</v>
      </c>
      <c r="C1534" s="15">
        <v>74.977455139160156</v>
      </c>
      <c r="D1534" s="15">
        <v>164.22999572753909</v>
      </c>
      <c r="E1534" s="15">
        <v>352.58050537109381</v>
      </c>
      <c r="F1534" s="15">
        <v>214.19865417480469</v>
      </c>
      <c r="H1534" s="16">
        <f t="shared" si="61"/>
        <v>-7.2659768153561285E-3</v>
      </c>
      <c r="I1534" s="16">
        <f t="shared" si="61"/>
        <v>-1.5315802248990007E-3</v>
      </c>
      <c r="J1534" s="16">
        <f t="shared" si="61"/>
        <v>-1.8893655741352633E-3</v>
      </c>
      <c r="K1534" s="16">
        <f t="shared" si="60"/>
        <v>-7.6993689614867156E-3</v>
      </c>
      <c r="L1534" s="16">
        <f t="shared" si="60"/>
        <v>-7.2257863782632381E-3</v>
      </c>
    </row>
    <row r="1535" spans="1:12" x14ac:dyDescent="0.35">
      <c r="A1535" s="18">
        <v>44480</v>
      </c>
      <c r="B1535" s="15">
        <v>412.09228515625</v>
      </c>
      <c r="C1535" s="15">
        <v>74.862709045410156</v>
      </c>
      <c r="D1535" s="15">
        <v>163.91999816894531</v>
      </c>
      <c r="E1535" s="15">
        <v>349.87628173828119</v>
      </c>
      <c r="F1535" s="15">
        <v>212.65647888183591</v>
      </c>
      <c r="H1535" s="16">
        <f t="shared" si="61"/>
        <v>-2.4646296774246878E-3</v>
      </c>
      <c r="I1535" s="16">
        <f t="shared" si="61"/>
        <v>3.6488098703090581E-3</v>
      </c>
      <c r="J1535" s="16">
        <f t="shared" si="61"/>
        <v>4.5042713504833192E-3</v>
      </c>
      <c r="K1535" s="16">
        <f t="shared" si="60"/>
        <v>-3.4938316864750866E-3</v>
      </c>
      <c r="L1535" s="16">
        <f t="shared" si="60"/>
        <v>-7.1226089057314207E-4</v>
      </c>
    </row>
    <row r="1536" spans="1:12" x14ac:dyDescent="0.35">
      <c r="A1536" s="18">
        <v>44481</v>
      </c>
      <c r="B1536" s="15">
        <v>411.077880859375</v>
      </c>
      <c r="C1536" s="15">
        <v>75.136367797851563</v>
      </c>
      <c r="D1536" s="15">
        <v>164.6600036621094</v>
      </c>
      <c r="E1536" s="15">
        <v>348.656005859375</v>
      </c>
      <c r="F1536" s="15">
        <v>212.50506591796881</v>
      </c>
      <c r="H1536" s="16">
        <f t="shared" si="61"/>
        <v>3.5911891266543366E-3</v>
      </c>
      <c r="I1536" s="16">
        <f t="shared" si="61"/>
        <v>2.6984537464479832E-3</v>
      </c>
      <c r="J1536" s="16">
        <f t="shared" si="61"/>
        <v>1.7637734434472332E-2</v>
      </c>
      <c r="K1536" s="16">
        <f t="shared" si="60"/>
        <v>7.9760646121032636E-3</v>
      </c>
      <c r="L1536" s="16">
        <f t="shared" si="60"/>
        <v>4.5312718743957172E-3</v>
      </c>
    </row>
    <row r="1537" spans="1:12" x14ac:dyDescent="0.35">
      <c r="A1537" s="18">
        <v>44482</v>
      </c>
      <c r="B1537" s="15">
        <v>412.55679321289063</v>
      </c>
      <c r="C1537" s="15">
        <v>75.339393615722656</v>
      </c>
      <c r="D1537" s="15">
        <v>167.5899963378906</v>
      </c>
      <c r="E1537" s="15">
        <v>351.44802856445313</v>
      </c>
      <c r="F1537" s="15">
        <v>213.47016906738281</v>
      </c>
      <c r="H1537" s="16">
        <f t="shared" si="61"/>
        <v>1.6680701110436173E-2</v>
      </c>
      <c r="I1537" s="16">
        <f t="shared" si="61"/>
        <v>1.7564516915853506E-3</v>
      </c>
      <c r="J1537" s="16">
        <f t="shared" si="61"/>
        <v>2.4434808580756319E-3</v>
      </c>
      <c r="K1537" s="16">
        <f t="shared" si="60"/>
        <v>1.8249055303544193E-2</v>
      </c>
      <c r="L1537" s="16">
        <f t="shared" si="60"/>
        <v>1.6484138634707646E-2</v>
      </c>
    </row>
    <row r="1538" spans="1:12" x14ac:dyDescent="0.35">
      <c r="A1538" s="18">
        <v>44483</v>
      </c>
      <c r="B1538" s="15">
        <v>419.49624633789063</v>
      </c>
      <c r="C1538" s="15">
        <v>75.471839904785156</v>
      </c>
      <c r="D1538" s="15">
        <v>168</v>
      </c>
      <c r="E1538" s="15">
        <v>357.92050170898438</v>
      </c>
      <c r="F1538" s="15">
        <v>217.01820373535159</v>
      </c>
      <c r="H1538" s="16">
        <f t="shared" si="61"/>
        <v>7.5870768464484512E-3</v>
      </c>
      <c r="I1538" s="16">
        <f t="shared" si="61"/>
        <v>-2.4598971138714279E-3</v>
      </c>
      <c r="J1538" s="16">
        <f t="shared" si="61"/>
        <v>-1.60204917648545E-2</v>
      </c>
      <c r="K1538" s="16">
        <f t="shared" si="60"/>
        <v>6.2810398647715187E-3</v>
      </c>
      <c r="L1538" s="16">
        <f t="shared" si="60"/>
        <v>5.9116861100198693E-3</v>
      </c>
    </row>
    <row r="1539" spans="1:12" x14ac:dyDescent="0.35">
      <c r="A1539" s="18">
        <v>44484</v>
      </c>
      <c r="B1539" s="15">
        <v>422.69110107421881</v>
      </c>
      <c r="C1539" s="15">
        <v>75.286415100097656</v>
      </c>
      <c r="D1539" s="15">
        <v>165.33000183105469</v>
      </c>
      <c r="E1539" s="15">
        <v>360.17568969726563</v>
      </c>
      <c r="F1539" s="15">
        <v>218.30494689941409</v>
      </c>
      <c r="H1539" s="16">
        <f t="shared" si="61"/>
        <v>2.955973619543206E-3</v>
      </c>
      <c r="I1539" s="16">
        <f t="shared" si="61"/>
        <v>-5.8641375820694659E-4</v>
      </c>
      <c r="J1539" s="16">
        <f t="shared" si="61"/>
        <v>-2.482990902389477E-3</v>
      </c>
      <c r="K1539" s="16">
        <f t="shared" si="60"/>
        <v>1.0005498432985607E-2</v>
      </c>
      <c r="L1539" s="16">
        <f t="shared" si="60"/>
        <v>3.6341662129581961E-3</v>
      </c>
    </row>
    <row r="1540" spans="1:12" x14ac:dyDescent="0.35">
      <c r="A1540" s="18">
        <v>44487</v>
      </c>
      <c r="B1540" s="15">
        <v>423.94241333007813</v>
      </c>
      <c r="C1540" s="15">
        <v>75.242279052734375</v>
      </c>
      <c r="D1540" s="15">
        <v>164.91999816894531</v>
      </c>
      <c r="E1540" s="15">
        <v>363.79751586914063</v>
      </c>
      <c r="F1540" s="15">
        <v>219.09974670410159</v>
      </c>
      <c r="H1540" s="16">
        <f t="shared" si="61"/>
        <v>7.6853335232926426E-3</v>
      </c>
      <c r="I1540" s="16">
        <f t="shared" si="61"/>
        <v>-2.8197861736731062E-3</v>
      </c>
      <c r="J1540" s="16">
        <f t="shared" si="61"/>
        <v>3.2085191864092838E-3</v>
      </c>
      <c r="K1540" s="16">
        <f t="shared" si="60"/>
        <v>7.5388819488013698E-3</v>
      </c>
      <c r="L1540" s="16">
        <f t="shared" si="60"/>
        <v>7.2714704259438179E-3</v>
      </c>
    </row>
    <row r="1541" spans="1:12" x14ac:dyDescent="0.35">
      <c r="A1541" s="18">
        <v>44488</v>
      </c>
      <c r="B1541" s="15">
        <v>427.21310424804688</v>
      </c>
      <c r="C1541" s="15">
        <v>75.030410766601563</v>
      </c>
      <c r="D1541" s="15">
        <v>165.44999694824219</v>
      </c>
      <c r="E1541" s="15">
        <v>366.55050659179688</v>
      </c>
      <c r="F1541" s="15">
        <v>220.69873046875</v>
      </c>
      <c r="H1541" s="16">
        <f t="shared" si="61"/>
        <v>3.919967293583365E-3</v>
      </c>
      <c r="I1541" s="16">
        <f t="shared" si="61"/>
        <v>-1.1773804343225096E-3</v>
      </c>
      <c r="J1541" s="16">
        <f t="shared" si="61"/>
        <v>8.725778175468886E-3</v>
      </c>
      <c r="K1541" s="16">
        <f t="shared" si="60"/>
        <v>-1.3056421131787631E-3</v>
      </c>
      <c r="L1541" s="16">
        <f t="shared" si="60"/>
        <v>3.8935526666871063E-3</v>
      </c>
    </row>
    <row r="1542" spans="1:12" x14ac:dyDescent="0.35">
      <c r="A1542" s="18">
        <v>44489</v>
      </c>
      <c r="B1542" s="15">
        <v>428.89105224609381</v>
      </c>
      <c r="C1542" s="15">
        <v>74.942123413085938</v>
      </c>
      <c r="D1542" s="15">
        <v>166.8999938964844</v>
      </c>
      <c r="E1542" s="15">
        <v>366.07223510742188</v>
      </c>
      <c r="F1542" s="15">
        <v>221.55970764160159</v>
      </c>
      <c r="H1542" s="16">
        <f t="shared" si="61"/>
        <v>2.6051319174811771E-3</v>
      </c>
      <c r="I1542" s="16">
        <f t="shared" si="61"/>
        <v>-1.4145460558703639E-3</v>
      </c>
      <c r="J1542" s="16">
        <f t="shared" si="61"/>
        <v>-8.9910930215985306E-4</v>
      </c>
      <c r="K1542" s="16">
        <f t="shared" si="60"/>
        <v>6.0883248001930464E-3</v>
      </c>
      <c r="L1542" s="16">
        <f t="shared" si="60"/>
        <v>2.7294414873947686E-3</v>
      </c>
    </row>
    <row r="1543" spans="1:12" x14ac:dyDescent="0.35">
      <c r="A1543" s="18">
        <v>44490</v>
      </c>
      <c r="B1543" s="15">
        <v>430.00982666015619</v>
      </c>
      <c r="C1543" s="15">
        <v>74.836189270019531</v>
      </c>
      <c r="D1543" s="15">
        <v>166.75</v>
      </c>
      <c r="E1543" s="15">
        <v>368.30780029296881</v>
      </c>
      <c r="F1543" s="15">
        <v>222.16526794433591</v>
      </c>
      <c r="H1543" s="16">
        <f t="shared" si="61"/>
        <v>-1.0370469498862094E-3</v>
      </c>
      <c r="I1543" s="16">
        <f t="shared" si="61"/>
        <v>2.1212220358876668E-3</v>
      </c>
      <c r="J1543" s="16">
        <f t="shared" si="61"/>
        <v>6.0983344527549815E-3</v>
      </c>
      <c r="K1543" s="16">
        <f t="shared" si="60"/>
        <v>-8.4378883834609723E-3</v>
      </c>
      <c r="L1543" s="16">
        <f t="shared" si="60"/>
        <v>-1.9184144777213306E-3</v>
      </c>
    </row>
    <row r="1544" spans="1:12" x14ac:dyDescent="0.35">
      <c r="A1544" s="18">
        <v>44491</v>
      </c>
      <c r="B1544" s="15">
        <v>429.56411743164063</v>
      </c>
      <c r="C1544" s="15">
        <v>74.995101928710938</v>
      </c>
      <c r="D1544" s="15">
        <v>167.77000427246091</v>
      </c>
      <c r="E1544" s="15">
        <v>365.213134765625</v>
      </c>
      <c r="F1544" s="15">
        <v>221.7394714355469</v>
      </c>
      <c r="H1544" s="16">
        <f t="shared" si="61"/>
        <v>5.3486450712960827E-3</v>
      </c>
      <c r="I1544" s="16">
        <f t="shared" si="61"/>
        <v>4.7070445430515584E-4</v>
      </c>
      <c r="J1544" s="16">
        <f t="shared" si="61"/>
        <v>6.8903653296167053E-3</v>
      </c>
      <c r="K1544" s="16">
        <f t="shared" si="60"/>
        <v>1.0185677145985925E-2</v>
      </c>
      <c r="L1544" s="16">
        <f t="shared" si="60"/>
        <v>6.1256742175153575E-3</v>
      </c>
    </row>
    <row r="1545" spans="1:12" x14ac:dyDescent="0.35">
      <c r="A1545" s="18">
        <v>44494</v>
      </c>
      <c r="B1545" s="15">
        <v>431.86785888671881</v>
      </c>
      <c r="C1545" s="15">
        <v>75.030410766601563</v>
      </c>
      <c r="D1545" s="15">
        <v>168.92999267578119</v>
      </c>
      <c r="E1545" s="15">
        <v>368.95208740234381</v>
      </c>
      <c r="F1545" s="15">
        <v>223.10194396972659</v>
      </c>
      <c r="H1545" s="16">
        <f t="shared" si="61"/>
        <v>8.9950336318970277E-4</v>
      </c>
      <c r="I1545" s="16">
        <f t="shared" si="61"/>
        <v>1.9980258003561759E-3</v>
      </c>
      <c r="J1545" s="16">
        <f t="shared" si="61"/>
        <v>-7.4270271251684157E-3</v>
      </c>
      <c r="K1545" s="16">
        <f t="shared" si="60"/>
        <v>3.1438997857885253E-3</v>
      </c>
      <c r="L1545" s="16">
        <f t="shared" si="60"/>
        <v>-3.817786491600889E-4</v>
      </c>
    </row>
    <row r="1546" spans="1:12" x14ac:dyDescent="0.35">
      <c r="A1546" s="18">
        <v>44495</v>
      </c>
      <c r="B1546" s="15">
        <v>432.25650024414063</v>
      </c>
      <c r="C1546" s="15">
        <v>75.180473327636719</v>
      </c>
      <c r="D1546" s="15">
        <v>167.67999267578119</v>
      </c>
      <c r="E1546" s="15">
        <v>370.11386108398438</v>
      </c>
      <c r="F1546" s="15">
        <v>223.01678466796881</v>
      </c>
      <c r="H1546" s="16">
        <f t="shared" si="61"/>
        <v>-4.4399605331178439E-3</v>
      </c>
      <c r="I1546" s="16">
        <f t="shared" si="61"/>
        <v>3.6337188183100245E-3</v>
      </c>
      <c r="J1546" s="16">
        <f t="shared" si="61"/>
        <v>2.6206236403644788E-3</v>
      </c>
      <c r="K1546" s="16">
        <f t="shared" si="60"/>
        <v>2.3184887398770256E-3</v>
      </c>
      <c r="L1546" s="16">
        <f t="shared" si="60"/>
        <v>-6.8537247266682614E-3</v>
      </c>
    </row>
    <row r="1547" spans="1:12" x14ac:dyDescent="0.35">
      <c r="A1547" s="18">
        <v>44496</v>
      </c>
      <c r="B1547" s="15">
        <v>430.341552734375</v>
      </c>
      <c r="C1547" s="15">
        <v>75.454154968261719</v>
      </c>
      <c r="D1547" s="15">
        <v>168.1199951171875</v>
      </c>
      <c r="E1547" s="15">
        <v>370.97296142578119</v>
      </c>
      <c r="F1547" s="15">
        <v>221.49351501464841</v>
      </c>
      <c r="H1547" s="16">
        <f t="shared" si="61"/>
        <v>9.6025548399975118E-3</v>
      </c>
      <c r="I1547" s="16">
        <f t="shared" si="61"/>
        <v>-1.28779487306617E-3</v>
      </c>
      <c r="J1547" s="16">
        <f t="shared" si="61"/>
        <v>-2.3791366260843256E-4</v>
      </c>
      <c r="K1547" s="16">
        <f t="shared" si="60"/>
        <v>1.1043886068486232E-2</v>
      </c>
      <c r="L1547" s="16">
        <f t="shared" si="60"/>
        <v>1.0622571864623126E-2</v>
      </c>
    </row>
    <row r="1548" spans="1:12" x14ac:dyDescent="0.35">
      <c r="A1548" s="18">
        <v>44497</v>
      </c>
      <c r="B1548" s="15">
        <v>434.49383544921881</v>
      </c>
      <c r="C1548" s="15">
        <v>75.357048034667969</v>
      </c>
      <c r="D1548" s="15">
        <v>168.08000183105469</v>
      </c>
      <c r="E1548" s="15">
        <v>375.0926513671875</v>
      </c>
      <c r="F1548" s="15">
        <v>223.85888671875</v>
      </c>
      <c r="H1548" s="16">
        <f t="shared" si="61"/>
        <v>2.0271633831802599E-3</v>
      </c>
      <c r="I1548" s="16">
        <f t="shared" si="61"/>
        <v>2.343507253048672E-4</v>
      </c>
      <c r="J1548" s="16">
        <f t="shared" si="61"/>
        <v>-8.5442993017004389E-3</v>
      </c>
      <c r="K1548" s="16">
        <f t="shared" si="60"/>
        <v>4.9070541020188544E-3</v>
      </c>
      <c r="L1548" s="16">
        <f t="shared" si="60"/>
        <v>1.3092945730019412E-3</v>
      </c>
    </row>
    <row r="1549" spans="1:12" x14ac:dyDescent="0.35">
      <c r="A1549" s="18">
        <v>44498</v>
      </c>
      <c r="B1549" s="15">
        <v>435.37551879882813</v>
      </c>
      <c r="C1549" s="15">
        <v>75.374710083007813</v>
      </c>
      <c r="D1549" s="15">
        <v>166.6499938964844</v>
      </c>
      <c r="E1549" s="15">
        <v>376.93777465820313</v>
      </c>
      <c r="F1549" s="15">
        <v>224.15217590332031</v>
      </c>
      <c r="H1549" s="16">
        <f t="shared" si="61"/>
        <v>1.7185797190970575E-3</v>
      </c>
      <c r="I1549" s="16">
        <f t="shared" si="61"/>
        <v>-7.7462953547167816E-4</v>
      </c>
      <c r="J1549" s="16">
        <f t="shared" si="61"/>
        <v>5.2070044974184869E-3</v>
      </c>
      <c r="K1549" s="16">
        <f t="shared" si="60"/>
        <v>3.4130258352037209E-3</v>
      </c>
      <c r="L1549" s="16">
        <f t="shared" si="60"/>
        <v>4.9684953551933364E-3</v>
      </c>
    </row>
    <row r="1550" spans="1:12" x14ac:dyDescent="0.35">
      <c r="A1550" s="18">
        <v>44501</v>
      </c>
      <c r="B1550" s="15">
        <v>436.1243896484375</v>
      </c>
      <c r="C1550" s="15">
        <v>75.31634521484375</v>
      </c>
      <c r="D1550" s="15">
        <v>167.52000427246091</v>
      </c>
      <c r="E1550" s="15">
        <v>378.22647094726563</v>
      </c>
      <c r="F1550" s="15">
        <v>225.2686462402344</v>
      </c>
      <c r="H1550" s="16">
        <f t="shared" si="61"/>
        <v>4.0351134704742263E-3</v>
      </c>
      <c r="I1550" s="16">
        <f t="shared" si="61"/>
        <v>1.8766067363244225E-3</v>
      </c>
      <c r="J1550" s="16">
        <f t="shared" si="61"/>
        <v>-2.151313138886674E-3</v>
      </c>
      <c r="K1550" s="16">
        <f t="shared" si="60"/>
        <v>4.1724314103140587E-3</v>
      </c>
      <c r="L1550" s="16">
        <f t="shared" si="60"/>
        <v>3.1032446903392292E-3</v>
      </c>
    </row>
    <row r="1551" spans="1:12" x14ac:dyDescent="0.35">
      <c r="A1551" s="18">
        <v>44502</v>
      </c>
      <c r="B1551" s="15">
        <v>437.88775634765619</v>
      </c>
      <c r="C1551" s="15">
        <v>75.457817077636719</v>
      </c>
      <c r="D1551" s="15">
        <v>167.1600036621094</v>
      </c>
      <c r="E1551" s="15">
        <v>379.80789184570313</v>
      </c>
      <c r="F1551" s="15">
        <v>225.96879577636719</v>
      </c>
      <c r="H1551" s="16">
        <f t="shared" si="61"/>
        <v>6.0865196397068867E-3</v>
      </c>
      <c r="I1551" s="16">
        <f t="shared" si="61"/>
        <v>-1.7593105411143335E-3</v>
      </c>
      <c r="J1551" s="16">
        <f t="shared" si="61"/>
        <v>-8.3501482773229371E-3</v>
      </c>
      <c r="K1551" s="16">
        <f t="shared" si="60"/>
        <v>1.0559814907042744E-2</v>
      </c>
      <c r="L1551" s="16">
        <f t="shared" si="60"/>
        <v>7.0512081129724055E-3</v>
      </c>
    </row>
    <row r="1552" spans="1:12" x14ac:dyDescent="0.35">
      <c r="A1552" s="18">
        <v>44503</v>
      </c>
      <c r="B1552" s="15">
        <v>440.56109619140619</v>
      </c>
      <c r="C1552" s="15">
        <v>75.325180053710938</v>
      </c>
      <c r="D1552" s="15">
        <v>165.77000427246091</v>
      </c>
      <c r="E1552" s="15">
        <v>383.83984375</v>
      </c>
      <c r="F1552" s="15">
        <v>227.5677795410156</v>
      </c>
      <c r="H1552" s="16">
        <f t="shared" si="61"/>
        <v>4.7016314235812521E-3</v>
      </c>
      <c r="I1552" s="16">
        <f t="shared" si="61"/>
        <v>4.567684435271612E-3</v>
      </c>
      <c r="J1552" s="16">
        <f t="shared" si="61"/>
        <v>1.1277125295739633E-2</v>
      </c>
      <c r="K1552" s="16">
        <f t="shared" si="60"/>
        <v>1.2737055233889606E-2</v>
      </c>
      <c r="L1552" s="16">
        <f t="shared" si="60"/>
        <v>3.7761820430517699E-3</v>
      </c>
    </row>
    <row r="1553" spans="1:12" x14ac:dyDescent="0.35">
      <c r="A1553" s="18">
        <v>44504</v>
      </c>
      <c r="B1553" s="15">
        <v>442.6373291015625</v>
      </c>
      <c r="C1553" s="15">
        <v>75.670028686523438</v>
      </c>
      <c r="D1553" s="15">
        <v>167.6499938964844</v>
      </c>
      <c r="E1553" s="15">
        <v>388.76010131835938</v>
      </c>
      <c r="F1553" s="15">
        <v>228.4287414550781</v>
      </c>
      <c r="H1553" s="16">
        <f t="shared" si="61"/>
        <v>3.463439680603093E-3</v>
      </c>
      <c r="I1553" s="16">
        <f t="shared" si="61"/>
        <v>3.0336400270033334E-3</v>
      </c>
      <c r="J1553" s="16">
        <f t="shared" si="61"/>
        <v>1.2978359326946206E-2</v>
      </c>
      <c r="K1553" s="16">
        <f t="shared" si="60"/>
        <v>9.5378819058227317E-4</v>
      </c>
      <c r="L1553" s="16">
        <f t="shared" si="60"/>
        <v>3.8448250445980285E-3</v>
      </c>
    </row>
    <row r="1554" spans="1:12" x14ac:dyDescent="0.35">
      <c r="A1554" s="18">
        <v>44505</v>
      </c>
      <c r="B1554" s="15">
        <v>444.17303466796881</v>
      </c>
      <c r="C1554" s="15">
        <v>75.899932861328125</v>
      </c>
      <c r="D1554" s="15">
        <v>169.8399963378906</v>
      </c>
      <c r="E1554" s="15">
        <v>389.13107299804688</v>
      </c>
      <c r="F1554" s="15">
        <v>229.30870056152341</v>
      </c>
      <c r="H1554" s="16">
        <f t="shared" si="61"/>
        <v>8.5345148059910649E-4</v>
      </c>
      <c r="I1554" s="16">
        <f t="shared" si="61"/>
        <v>-2.2153805921138153E-3</v>
      </c>
      <c r="J1554" s="16">
        <f t="shared" si="61"/>
        <v>3.5851848469019292E-3</v>
      </c>
      <c r="K1554" s="16">
        <f t="shared" si="60"/>
        <v>-1.3557877985504079E-3</v>
      </c>
      <c r="L1554" s="16">
        <f t="shared" si="60"/>
        <v>1.6488954310625943E-3</v>
      </c>
    </row>
    <row r="1555" spans="1:12" x14ac:dyDescent="0.35">
      <c r="A1555" s="18">
        <v>44508</v>
      </c>
      <c r="B1555" s="15">
        <v>444.55227661132813</v>
      </c>
      <c r="C1555" s="15">
        <v>75.731971740722656</v>
      </c>
      <c r="D1555" s="15">
        <v>170.44999694824219</v>
      </c>
      <c r="E1555" s="15">
        <v>388.60385131835938</v>
      </c>
      <c r="F1555" s="15">
        <v>229.68711853027341</v>
      </c>
      <c r="H1555" s="16">
        <f t="shared" si="61"/>
        <v>-3.3108710467089782E-3</v>
      </c>
      <c r="I1555" s="16">
        <f t="shared" si="61"/>
        <v>2.7978197664982381E-3</v>
      </c>
      <c r="J1555" s="16">
        <f t="shared" si="61"/>
        <v>4.916006634195484E-3</v>
      </c>
      <c r="K1555" s="16">
        <f t="shared" si="61"/>
        <v>-6.9070702479053737E-3</v>
      </c>
      <c r="L1555" s="16">
        <f t="shared" si="61"/>
        <v>-2.8876868341826886E-3</v>
      </c>
    </row>
    <row r="1556" spans="1:12" x14ac:dyDescent="0.35">
      <c r="A1556" s="18">
        <v>44509</v>
      </c>
      <c r="B1556" s="15">
        <v>443.08285522460938</v>
      </c>
      <c r="C1556" s="15">
        <v>75.94415283203125</v>
      </c>
      <c r="D1556" s="15">
        <v>171.28999328613281</v>
      </c>
      <c r="E1556" s="15">
        <v>385.92898559570313</v>
      </c>
      <c r="F1556" s="15">
        <v>229.0248107910156</v>
      </c>
      <c r="H1556" s="16">
        <f t="shared" ref="H1556:K1619" si="62">LN(B1557/B1556)</f>
        <v>-8.0773367523145796E-3</v>
      </c>
      <c r="I1556" s="16">
        <f t="shared" si="62"/>
        <v>-6.7755619589776345E-3</v>
      </c>
      <c r="J1556" s="16">
        <f t="shared" si="62"/>
        <v>1.0800248284572591E-2</v>
      </c>
      <c r="K1556" s="16">
        <f t="shared" si="62"/>
        <v>-1.4805987408012438E-2</v>
      </c>
      <c r="L1556" s="16">
        <f t="shared" ref="L1556:L1619" si="63">LN(F1557/F1556)</f>
        <v>-9.8808466732085275E-3</v>
      </c>
    </row>
    <row r="1557" spans="1:12" x14ac:dyDescent="0.35">
      <c r="A1557" s="18">
        <v>44510</v>
      </c>
      <c r="B1557" s="15">
        <v>439.51834106445313</v>
      </c>
      <c r="C1557" s="15">
        <v>75.431327819824219</v>
      </c>
      <c r="D1557" s="15">
        <v>173.1499938964844</v>
      </c>
      <c r="E1557" s="15">
        <v>380.25701904296881</v>
      </c>
      <c r="F1557" s="15">
        <v>226.77299499511719</v>
      </c>
      <c r="H1557" s="16">
        <f t="shared" si="62"/>
        <v>3.2344134651685356E-4</v>
      </c>
      <c r="I1557" s="16">
        <f t="shared" si="62"/>
        <v>-1.6428078281132085E-3</v>
      </c>
      <c r="J1557" s="16">
        <f t="shared" si="62"/>
        <v>5.5864530427385808E-3</v>
      </c>
      <c r="K1557" s="16">
        <f t="shared" si="62"/>
        <v>2.7688976965392223E-3</v>
      </c>
      <c r="L1557" s="16">
        <f t="shared" si="63"/>
        <v>1.209283866154493E-3</v>
      </c>
    </row>
    <row r="1558" spans="1:12" x14ac:dyDescent="0.35">
      <c r="A1558" s="18">
        <v>44511</v>
      </c>
      <c r="B1558" s="15">
        <v>439.6605224609375</v>
      </c>
      <c r="C1558" s="15">
        <v>75.307510375976563</v>
      </c>
      <c r="D1558" s="15">
        <v>174.1199951171875</v>
      </c>
      <c r="E1558" s="15">
        <v>381.31137084960938</v>
      </c>
      <c r="F1558" s="15">
        <v>227.0473937988281</v>
      </c>
      <c r="H1558" s="16">
        <f t="shared" si="62"/>
        <v>7.5185199314070882E-3</v>
      </c>
      <c r="I1558" s="16">
        <f t="shared" si="62"/>
        <v>1.1730995522147079E-4</v>
      </c>
      <c r="J1558" s="16">
        <f t="shared" si="62"/>
        <v>1.8934614978916627E-3</v>
      </c>
      <c r="K1558" s="16">
        <f t="shared" si="62"/>
        <v>1.0467710037310984E-2</v>
      </c>
      <c r="L1558" s="16">
        <f t="shared" si="63"/>
        <v>7.390142086266204E-3</v>
      </c>
    </row>
    <row r="1559" spans="1:12" x14ac:dyDescent="0.35">
      <c r="A1559" s="18">
        <v>44512</v>
      </c>
      <c r="B1559" s="15">
        <v>442.97857666015619</v>
      </c>
      <c r="C1559" s="15">
        <v>75.31634521484375</v>
      </c>
      <c r="D1559" s="15">
        <v>174.44999694824219</v>
      </c>
      <c r="E1559" s="15">
        <v>385.32379150390619</v>
      </c>
      <c r="F1559" s="15">
        <v>228.73152160644531</v>
      </c>
      <c r="H1559" s="16">
        <f t="shared" si="62"/>
        <v>3.4226462486494673E-4</v>
      </c>
      <c r="I1559" s="16">
        <f t="shared" si="62"/>
        <v>-4.1173136643611235E-3</v>
      </c>
      <c r="J1559" s="16">
        <f t="shared" si="62"/>
        <v>-1.5489449243062136E-3</v>
      </c>
      <c r="K1559" s="16">
        <f t="shared" si="62"/>
        <v>-2.2827995903264262E-4</v>
      </c>
      <c r="L1559" s="16">
        <f t="shared" si="63"/>
        <v>0</v>
      </c>
    </row>
    <row r="1560" spans="1:12" x14ac:dyDescent="0.35">
      <c r="A1560" s="18">
        <v>44515</v>
      </c>
      <c r="B1560" s="15">
        <v>443.13021850585938</v>
      </c>
      <c r="C1560" s="15">
        <v>75.006881713867188</v>
      </c>
      <c r="D1560" s="15">
        <v>174.17999267578119</v>
      </c>
      <c r="E1560" s="15">
        <v>385.23583984375</v>
      </c>
      <c r="F1560" s="15">
        <v>228.73152160644531</v>
      </c>
      <c r="H1560" s="16">
        <f t="shared" si="62"/>
        <v>3.9501806338156902E-3</v>
      </c>
      <c r="I1560" s="16">
        <f t="shared" si="62"/>
        <v>-7.0748104858135892E-4</v>
      </c>
      <c r="J1560" s="16">
        <f t="shared" si="62"/>
        <v>-7.2601560044776277E-3</v>
      </c>
      <c r="K1560" s="16">
        <f t="shared" si="62"/>
        <v>7.0957427233204751E-3</v>
      </c>
      <c r="L1560" s="16">
        <f t="shared" si="63"/>
        <v>4.2927980270959414E-3</v>
      </c>
    </row>
    <row r="1561" spans="1:12" x14ac:dyDescent="0.35">
      <c r="A1561" s="18">
        <v>44516</v>
      </c>
      <c r="B1561" s="15">
        <v>444.88412475585938</v>
      </c>
      <c r="C1561" s="15">
        <v>74.953834533691406</v>
      </c>
      <c r="D1561" s="15">
        <v>172.91999816894531</v>
      </c>
      <c r="E1561" s="15">
        <v>387.97909545898438</v>
      </c>
      <c r="F1561" s="15">
        <v>229.71553039550781</v>
      </c>
      <c r="H1561" s="16">
        <f t="shared" si="62"/>
        <v>-2.4321698904811867E-3</v>
      </c>
      <c r="I1561" s="16">
        <f t="shared" si="62"/>
        <v>2.1208417534407877E-3</v>
      </c>
      <c r="J1561" s="16">
        <f t="shared" si="62"/>
        <v>9.0956924320787624E-3</v>
      </c>
      <c r="K1561" s="16">
        <f t="shared" si="62"/>
        <v>5.2820484912560425E-4</v>
      </c>
      <c r="L1561" s="16">
        <f t="shared" si="63"/>
        <v>-4.1272363276358848E-3</v>
      </c>
    </row>
    <row r="1562" spans="1:12" x14ac:dyDescent="0.35">
      <c r="A1562" s="18">
        <v>44517</v>
      </c>
      <c r="B1562" s="15">
        <v>443.80340576171881</v>
      </c>
      <c r="C1562" s="15">
        <v>75.112968444824219</v>
      </c>
      <c r="D1562" s="15">
        <v>174.5</v>
      </c>
      <c r="E1562" s="15">
        <v>388.18408203125</v>
      </c>
      <c r="F1562" s="15">
        <v>228.76939392089841</v>
      </c>
      <c r="H1562" s="16">
        <f t="shared" si="62"/>
        <v>3.3905550171448558E-3</v>
      </c>
      <c r="I1562" s="16">
        <f t="shared" si="62"/>
        <v>1.1767331039916004E-3</v>
      </c>
      <c r="J1562" s="16">
        <f t="shared" si="62"/>
        <v>-3.2143154449527315E-3</v>
      </c>
      <c r="K1562" s="16">
        <f t="shared" si="62"/>
        <v>1.030807511038548E-2</v>
      </c>
      <c r="L1562" s="16">
        <f t="shared" si="63"/>
        <v>1.5703384339168095E-3</v>
      </c>
    </row>
    <row r="1563" spans="1:12" x14ac:dyDescent="0.35">
      <c r="A1563" s="18">
        <v>44518</v>
      </c>
      <c r="B1563" s="15">
        <v>445.31069946289063</v>
      </c>
      <c r="C1563" s="15">
        <v>75.201408386230469</v>
      </c>
      <c r="D1563" s="15">
        <v>173.94000244140619</v>
      </c>
      <c r="E1563" s="15">
        <v>392.20620727539063</v>
      </c>
      <c r="F1563" s="15">
        <v>229.12892150878909</v>
      </c>
      <c r="H1563" s="16">
        <f t="shared" si="62"/>
        <v>-1.7897108775754747E-3</v>
      </c>
      <c r="I1563" s="16">
        <f t="shared" si="62"/>
        <v>2.1142719660277344E-3</v>
      </c>
      <c r="J1563" s="16">
        <f t="shared" si="62"/>
        <v>-7.6757082629159952E-3</v>
      </c>
      <c r="K1563" s="16">
        <f t="shared" si="62"/>
        <v>5.5600698840041259E-3</v>
      </c>
      <c r="L1563" s="16">
        <f t="shared" si="63"/>
        <v>-2.853324325835075E-3</v>
      </c>
    </row>
    <row r="1564" spans="1:12" x14ac:dyDescent="0.35">
      <c r="A1564" s="18">
        <v>44519</v>
      </c>
      <c r="B1564" s="15">
        <v>444.51443481445313</v>
      </c>
      <c r="C1564" s="15">
        <v>75.360572814941406</v>
      </c>
      <c r="D1564" s="15">
        <v>172.61000061035159</v>
      </c>
      <c r="E1564" s="15">
        <v>394.39297485351563</v>
      </c>
      <c r="F1564" s="15">
        <v>228.47607421875</v>
      </c>
      <c r="H1564" s="16">
        <f t="shared" si="62"/>
        <v>-2.8193919480519573E-3</v>
      </c>
      <c r="I1564" s="16">
        <f t="shared" si="62"/>
        <v>-4.9402728342886355E-3</v>
      </c>
      <c r="J1564" s="16">
        <f t="shared" si="62"/>
        <v>-2.2675616643120341E-2</v>
      </c>
      <c r="K1564" s="16">
        <f t="shared" si="62"/>
        <v>-1.1677023924287292E-2</v>
      </c>
      <c r="L1564" s="16">
        <f t="shared" si="63"/>
        <v>-4.8152909549308807E-3</v>
      </c>
    </row>
    <row r="1565" spans="1:12" x14ac:dyDescent="0.35">
      <c r="A1565" s="18">
        <v>44522</v>
      </c>
      <c r="B1565" s="15">
        <v>443.262939453125</v>
      </c>
      <c r="C1565" s="15">
        <v>74.989189147949219</v>
      </c>
      <c r="D1565" s="15">
        <v>168.74000549316409</v>
      </c>
      <c r="E1565" s="15">
        <v>389.81442260742188</v>
      </c>
      <c r="F1565" s="15">
        <v>227.3785400390625</v>
      </c>
      <c r="H1565" s="16">
        <f t="shared" si="62"/>
        <v>1.3251946686844746E-3</v>
      </c>
      <c r="I1565" s="16">
        <f t="shared" si="62"/>
        <v>-4.0167110055727732E-3</v>
      </c>
      <c r="J1565" s="16">
        <f t="shared" si="62"/>
        <v>-8.6900534684789775E-3</v>
      </c>
      <c r="K1565" s="16">
        <f t="shared" si="62"/>
        <v>-4.5681570738793599E-3</v>
      </c>
      <c r="L1565" s="16">
        <f t="shared" si="63"/>
        <v>3.3279746092845216E-4</v>
      </c>
    </row>
    <row r="1566" spans="1:12" x14ac:dyDescent="0.35">
      <c r="A1566" s="18">
        <v>44523</v>
      </c>
      <c r="B1566" s="15">
        <v>443.85073852539063</v>
      </c>
      <c r="C1566" s="15">
        <v>74.688583374023438</v>
      </c>
      <c r="D1566" s="15">
        <v>167.2799987792969</v>
      </c>
      <c r="E1566" s="15">
        <v>388.03775024414063</v>
      </c>
      <c r="F1566" s="15">
        <v>227.4542236328125</v>
      </c>
      <c r="H1566" s="16">
        <f t="shared" si="62"/>
        <v>2.6663904746900063E-3</v>
      </c>
      <c r="I1566" s="16">
        <f t="shared" si="62"/>
        <v>2.3647186629676123E-3</v>
      </c>
      <c r="J1566" s="16">
        <f t="shared" si="62"/>
        <v>-9.5695979210757404E-4</v>
      </c>
      <c r="K1566" s="16">
        <f t="shared" si="62"/>
        <v>3.2149043844804763E-3</v>
      </c>
      <c r="L1566" s="16">
        <f t="shared" si="63"/>
        <v>3.3636855481295838E-3</v>
      </c>
    </row>
    <row r="1567" spans="1:12" x14ac:dyDescent="0.35">
      <c r="A1567" s="18">
        <v>44524</v>
      </c>
      <c r="B1567" s="15">
        <v>445.03579711914063</v>
      </c>
      <c r="C1567" s="15">
        <v>74.865409851074219</v>
      </c>
      <c r="D1567" s="15">
        <v>167.1199951171875</v>
      </c>
      <c r="E1567" s="15">
        <v>389.28726196289063</v>
      </c>
      <c r="F1567" s="15">
        <v>228.22059631347659</v>
      </c>
      <c r="H1567" s="16">
        <f t="shared" si="62"/>
        <v>-2.255574260129654E-2</v>
      </c>
      <c r="I1567" s="16">
        <f t="shared" si="62"/>
        <v>7.0613957610349814E-3</v>
      </c>
      <c r="J1567" s="16">
        <f t="shared" si="62"/>
        <v>-1.6168462526693246E-3</v>
      </c>
      <c r="K1567" s="16">
        <f t="shared" si="62"/>
        <v>-1.9140775910440166E-2</v>
      </c>
      <c r="L1567" s="16">
        <f t="shared" si="63"/>
        <v>-2.1878451163556648E-2</v>
      </c>
    </row>
    <row r="1568" spans="1:12" x14ac:dyDescent="0.35">
      <c r="A1568" s="18">
        <v>44526</v>
      </c>
      <c r="B1568" s="15">
        <v>435.11004638671881</v>
      </c>
      <c r="C1568" s="15">
        <v>75.39593505859375</v>
      </c>
      <c r="D1568" s="15">
        <v>166.8500061035156</v>
      </c>
      <c r="E1568" s="15">
        <v>381.9068603515625</v>
      </c>
      <c r="F1568" s="15">
        <v>223.2817077636719</v>
      </c>
      <c r="H1568" s="16">
        <f t="shared" si="62"/>
        <v>1.2192090541629626E-2</v>
      </c>
      <c r="I1568" s="16">
        <f t="shared" si="62"/>
        <v>-1.1748972142899384E-4</v>
      </c>
      <c r="J1568" s="16">
        <f t="shared" si="62"/>
        <v>-1.3795005365546996E-3</v>
      </c>
      <c r="K1568" s="16">
        <f t="shared" si="62"/>
        <v>2.1470266183218106E-2</v>
      </c>
      <c r="L1568" s="16">
        <f t="shared" si="63"/>
        <v>9.3632641689985092E-3</v>
      </c>
    </row>
    <row r="1569" spans="1:12" x14ac:dyDescent="0.35">
      <c r="A1569" s="18">
        <v>44529</v>
      </c>
      <c r="B1569" s="15">
        <v>440.44741821289063</v>
      </c>
      <c r="C1569" s="15">
        <v>75.387077331542969</v>
      </c>
      <c r="D1569" s="15">
        <v>166.6199951171875</v>
      </c>
      <c r="E1569" s="15">
        <v>390.19515991210938</v>
      </c>
      <c r="F1569" s="15">
        <v>225.3821716308594</v>
      </c>
      <c r="H1569" s="16">
        <f t="shared" si="62"/>
        <v>-1.9649292953134286E-2</v>
      </c>
      <c r="I1569" s="16">
        <f t="shared" si="62"/>
        <v>1.8747466414178932E-3</v>
      </c>
      <c r="J1569" s="16">
        <f t="shared" si="62"/>
        <v>-6.7445464245647624E-3</v>
      </c>
      <c r="K1569" s="16">
        <f t="shared" si="62"/>
        <v>-1.4795307920489996E-2</v>
      </c>
      <c r="L1569" s="16">
        <f t="shared" si="63"/>
        <v>-2.0184613126638992E-2</v>
      </c>
    </row>
    <row r="1570" spans="1:12" x14ac:dyDescent="0.35">
      <c r="A1570" s="18">
        <v>44530</v>
      </c>
      <c r="B1570" s="15">
        <v>431.87741088867188</v>
      </c>
      <c r="C1570" s="15">
        <v>75.528541564941406</v>
      </c>
      <c r="D1570" s="15">
        <v>165.5</v>
      </c>
      <c r="E1570" s="15">
        <v>384.464599609375</v>
      </c>
      <c r="F1570" s="15">
        <v>220.87852478027341</v>
      </c>
      <c r="H1570" s="16">
        <f t="shared" si="62"/>
        <v>-1.1169601537267385E-2</v>
      </c>
      <c r="I1570" s="16">
        <f t="shared" si="62"/>
        <v>6.4496453037572179E-4</v>
      </c>
      <c r="J1570" s="16">
        <f t="shared" si="62"/>
        <v>3.9800067903959218E-3</v>
      </c>
      <c r="K1570" s="16">
        <f t="shared" si="62"/>
        <v>-1.7159134405204477E-2</v>
      </c>
      <c r="L1570" s="16">
        <f t="shared" si="63"/>
        <v>-1.4193238731787933E-2</v>
      </c>
    </row>
    <row r="1571" spans="1:12" x14ac:dyDescent="0.35">
      <c r="A1571" s="18">
        <v>44531</v>
      </c>
      <c r="B1571" s="15">
        <v>427.08035278320313</v>
      </c>
      <c r="C1571" s="15">
        <v>75.5772705078125</v>
      </c>
      <c r="D1571" s="15">
        <v>166.1600036621094</v>
      </c>
      <c r="E1571" s="15">
        <v>377.92379760742188</v>
      </c>
      <c r="F1571" s="15">
        <v>217.76568603515619</v>
      </c>
      <c r="H1571" s="16">
        <f t="shared" si="62"/>
        <v>1.520025873396293E-2</v>
      </c>
      <c r="I1571" s="16">
        <f t="shared" si="62"/>
        <v>1.1709313480180264E-4</v>
      </c>
      <c r="J1571" s="16">
        <f t="shared" si="62"/>
        <v>-5.552205835401061E-3</v>
      </c>
      <c r="K1571" s="16">
        <f t="shared" si="62"/>
        <v>7.1810657306338472E-3</v>
      </c>
      <c r="L1571" s="16">
        <f t="shared" si="63"/>
        <v>1.6118778917793463E-2</v>
      </c>
    </row>
    <row r="1572" spans="1:12" x14ac:dyDescent="0.35">
      <c r="A1572" s="18">
        <v>44532</v>
      </c>
      <c r="B1572" s="15">
        <v>433.62167358398438</v>
      </c>
      <c r="C1572" s="15">
        <v>75.58612060546875</v>
      </c>
      <c r="D1572" s="15">
        <v>165.24000549316409</v>
      </c>
      <c r="E1572" s="15">
        <v>380.6474609375</v>
      </c>
      <c r="F1572" s="15">
        <v>221.30424499511719</v>
      </c>
      <c r="H1572" s="16">
        <f t="shared" si="62"/>
        <v>-8.7393750751760587E-3</v>
      </c>
      <c r="I1572" s="16">
        <f t="shared" si="62"/>
        <v>3.8589154394888994E-3</v>
      </c>
      <c r="J1572" s="16">
        <f t="shared" si="62"/>
        <v>8.3768190817409723E-3</v>
      </c>
      <c r="K1572" s="16">
        <f t="shared" si="62"/>
        <v>-1.7541640538306248E-2</v>
      </c>
      <c r="L1572" s="16">
        <f t="shared" si="63"/>
        <v>-1.1653687087812351E-2</v>
      </c>
    </row>
    <row r="1573" spans="1:12" x14ac:dyDescent="0.35">
      <c r="A1573" s="18">
        <v>44533</v>
      </c>
      <c r="B1573" s="15">
        <v>429.84860229492188</v>
      </c>
      <c r="C1573" s="15">
        <v>75.878364562988281</v>
      </c>
      <c r="D1573" s="15">
        <v>166.6300048828125</v>
      </c>
      <c r="E1573" s="15">
        <v>374.02850341796881</v>
      </c>
      <c r="F1573" s="15">
        <v>218.7402038574219</v>
      </c>
      <c r="H1573" s="16">
        <f t="shared" si="62"/>
        <v>1.1773774178756654E-2</v>
      </c>
      <c r="I1573" s="16">
        <f t="shared" si="62"/>
        <v>-2.6878302028476618E-3</v>
      </c>
      <c r="J1573" s="16">
        <f t="shared" si="62"/>
        <v>-2.46359538507291E-3</v>
      </c>
      <c r="K1573" s="16">
        <f t="shared" si="62"/>
        <v>7.9811750041051503E-3</v>
      </c>
      <c r="L1573" s="16">
        <f t="shared" si="63"/>
        <v>1.2764671516822304E-2</v>
      </c>
    </row>
    <row r="1574" spans="1:12" x14ac:dyDescent="0.35">
      <c r="A1574" s="18">
        <v>44536</v>
      </c>
      <c r="B1574" s="15">
        <v>434.939453125</v>
      </c>
      <c r="C1574" s="15">
        <v>75.674690246582031</v>
      </c>
      <c r="D1574" s="15">
        <v>166.2200012207031</v>
      </c>
      <c r="E1574" s="15">
        <v>377.025634765625</v>
      </c>
      <c r="F1574" s="15">
        <v>221.55024719238281</v>
      </c>
      <c r="H1574" s="16">
        <f t="shared" si="62"/>
        <v>2.0473722650941162E-2</v>
      </c>
      <c r="I1574" s="16">
        <f t="shared" si="62"/>
        <v>-2.2262257102155488E-3</v>
      </c>
      <c r="J1574" s="16">
        <f t="shared" si="62"/>
        <v>3.5432060613330551E-3</v>
      </c>
      <c r="K1574" s="16">
        <f t="shared" si="62"/>
        <v>2.9669500962471694E-2</v>
      </c>
      <c r="L1574" s="16">
        <f t="shared" si="63"/>
        <v>2.1169874953740942E-2</v>
      </c>
    </row>
    <row r="1575" spans="1:12" x14ac:dyDescent="0.35">
      <c r="A1575" s="18">
        <v>44537</v>
      </c>
      <c r="B1575" s="15">
        <v>443.93606567382813</v>
      </c>
      <c r="C1575" s="15">
        <v>75.50640869140625</v>
      </c>
      <c r="D1575" s="15">
        <v>166.80999755859381</v>
      </c>
      <c r="E1575" s="15">
        <v>388.37939453125</v>
      </c>
      <c r="F1575" s="15">
        <v>226.2904357910156</v>
      </c>
      <c r="H1575" s="16">
        <f t="shared" si="62"/>
        <v>2.6446933454541029E-3</v>
      </c>
      <c r="I1575" s="16">
        <f t="shared" si="62"/>
        <v>-3.0539343590449256E-3</v>
      </c>
      <c r="J1575" s="16">
        <f t="shared" si="62"/>
        <v>5.3936856777946855E-4</v>
      </c>
      <c r="K1575" s="16">
        <f t="shared" si="62"/>
        <v>4.4641790261843138E-3</v>
      </c>
      <c r="L1575" s="16">
        <f t="shared" si="63"/>
        <v>4.2973793138575325E-3</v>
      </c>
    </row>
    <row r="1576" spans="1:12" x14ac:dyDescent="0.35">
      <c r="A1576" s="18">
        <v>44538</v>
      </c>
      <c r="B1576" s="15">
        <v>445.1116943359375</v>
      </c>
      <c r="C1576" s="15">
        <v>75.276168823242188</v>
      </c>
      <c r="D1576" s="15">
        <v>166.8999938964844</v>
      </c>
      <c r="E1576" s="15">
        <v>390.1170654296875</v>
      </c>
      <c r="F1576" s="15">
        <v>227.2649841308594</v>
      </c>
      <c r="H1576" s="16">
        <f t="shared" si="62"/>
        <v>-6.7745695965888888E-3</v>
      </c>
      <c r="I1576" s="16">
        <f t="shared" si="62"/>
        <v>4.704669123748288E-4</v>
      </c>
      <c r="J1576" s="16">
        <f t="shared" si="62"/>
        <v>-6.1301292839008141E-3</v>
      </c>
      <c r="K1576" s="16">
        <f t="shared" si="62"/>
        <v>-1.4823618371748769E-2</v>
      </c>
      <c r="L1576" s="16">
        <f t="shared" si="63"/>
        <v>-9.579349191953114E-3</v>
      </c>
    </row>
    <row r="1577" spans="1:12" x14ac:dyDescent="0.35">
      <c r="A1577" s="18">
        <v>44539</v>
      </c>
      <c r="B1577" s="15">
        <v>442.1064453125</v>
      </c>
      <c r="C1577" s="15">
        <v>75.311592102050781</v>
      </c>
      <c r="D1577" s="15">
        <v>165.8800048828125</v>
      </c>
      <c r="E1577" s="15">
        <v>384.37677001953119</v>
      </c>
      <c r="F1577" s="15">
        <v>225.09832763671881</v>
      </c>
      <c r="H1577" s="16">
        <f t="shared" si="62"/>
        <v>9.3693427876750061E-3</v>
      </c>
      <c r="I1577" s="16">
        <f t="shared" si="62"/>
        <v>3.5257840157614521E-4</v>
      </c>
      <c r="J1577" s="16">
        <f t="shared" si="62"/>
        <v>4.2110206852463018E-3</v>
      </c>
      <c r="K1577" s="16">
        <f t="shared" si="62"/>
        <v>1.0811703223827998E-2</v>
      </c>
      <c r="L1577" s="16">
        <f t="shared" si="63"/>
        <v>6.7861478190718201E-3</v>
      </c>
    </row>
    <row r="1578" spans="1:12" x14ac:dyDescent="0.35">
      <c r="A1578" s="18">
        <v>44540</v>
      </c>
      <c r="B1578" s="15">
        <v>446.26815795898438</v>
      </c>
      <c r="C1578" s="15">
        <v>75.338150024414063</v>
      </c>
      <c r="D1578" s="15">
        <v>166.58000183105469</v>
      </c>
      <c r="E1578" s="15">
        <v>388.55508422851563</v>
      </c>
      <c r="F1578" s="15">
        <v>226.6310729980469</v>
      </c>
      <c r="H1578" s="16">
        <f t="shared" si="62"/>
        <v>-8.8977189180784733E-3</v>
      </c>
      <c r="I1578" s="16">
        <f t="shared" si="62"/>
        <v>3.4033107935148564E-3</v>
      </c>
      <c r="J1578" s="16">
        <f t="shared" si="62"/>
        <v>2.5181269175168111E-3</v>
      </c>
      <c r="K1578" s="16">
        <f t="shared" si="62"/>
        <v>-1.4552238285532648E-2</v>
      </c>
      <c r="L1578" s="16">
        <f t="shared" si="63"/>
        <v>-9.1426978206762457E-3</v>
      </c>
    </row>
    <row r="1579" spans="1:12" x14ac:dyDescent="0.35">
      <c r="A1579" s="18">
        <v>44543</v>
      </c>
      <c r="B1579" s="15">
        <v>442.31500244140619</v>
      </c>
      <c r="C1579" s="15">
        <v>75.594985961914063</v>
      </c>
      <c r="D1579" s="15">
        <v>167</v>
      </c>
      <c r="E1579" s="15">
        <v>382.94168090820313</v>
      </c>
      <c r="F1579" s="15">
        <v>224.56849670410159</v>
      </c>
      <c r="H1579" s="16">
        <f t="shared" si="62"/>
        <v>-6.9039018797009662E-3</v>
      </c>
      <c r="I1579" s="16">
        <f t="shared" si="62"/>
        <v>-1.6413712374108071E-3</v>
      </c>
      <c r="J1579" s="16">
        <f t="shared" si="62"/>
        <v>-9.3852063396418668E-3</v>
      </c>
      <c r="K1579" s="16">
        <f t="shared" si="62"/>
        <v>-1.0404238783932405E-2</v>
      </c>
      <c r="L1579" s="16">
        <f t="shared" si="63"/>
        <v>-7.5277935292862889E-3</v>
      </c>
    </row>
    <row r="1580" spans="1:12" x14ac:dyDescent="0.35">
      <c r="A1580" s="18">
        <v>44544</v>
      </c>
      <c r="B1580" s="15">
        <v>439.27182006835938</v>
      </c>
      <c r="C1580" s="15">
        <v>75.47100830078125</v>
      </c>
      <c r="D1580" s="15">
        <v>165.44000244140619</v>
      </c>
      <c r="E1580" s="15">
        <v>378.97811889648438</v>
      </c>
      <c r="F1580" s="15">
        <v>222.88433837890619</v>
      </c>
      <c r="H1580" s="16">
        <f t="shared" si="62"/>
        <v>1.5504174778977897E-2</v>
      </c>
      <c r="I1580" s="16">
        <f t="shared" si="62"/>
        <v>-1.2911510617407028E-3</v>
      </c>
      <c r="J1580" s="16">
        <f t="shared" si="62"/>
        <v>4.2823519885174591E-3</v>
      </c>
      <c r="K1580" s="16">
        <f t="shared" si="62"/>
        <v>2.2541642343066576E-2</v>
      </c>
      <c r="L1580" s="16">
        <f t="shared" si="63"/>
        <v>1.5291792971507122E-2</v>
      </c>
    </row>
    <row r="1581" spans="1:12" x14ac:dyDescent="0.35">
      <c r="A1581" s="18">
        <v>44545</v>
      </c>
      <c r="B1581" s="15">
        <v>446.13543701171881</v>
      </c>
      <c r="C1581" s="15">
        <v>75.373626708984375</v>
      </c>
      <c r="D1581" s="15">
        <v>166.1499938964844</v>
      </c>
      <c r="E1581" s="15">
        <v>387.617919921875</v>
      </c>
      <c r="F1581" s="15">
        <v>226.31883239746091</v>
      </c>
      <c r="H1581" s="16">
        <f t="shared" si="62"/>
        <v>-8.8576578297958238E-3</v>
      </c>
      <c r="I1581" s="16">
        <f t="shared" si="62"/>
        <v>1.2911510617407713E-3</v>
      </c>
      <c r="J1581" s="16">
        <f t="shared" si="62"/>
        <v>1.2024970840539904E-2</v>
      </c>
      <c r="K1581" s="16">
        <f t="shared" si="62"/>
        <v>-2.6051075242206335E-2</v>
      </c>
      <c r="L1581" s="16">
        <f t="shared" si="63"/>
        <v>-1.1267164272725337E-2</v>
      </c>
    </row>
    <row r="1582" spans="1:12" x14ac:dyDescent="0.35">
      <c r="A1582" s="18">
        <v>44546</v>
      </c>
      <c r="B1582" s="15">
        <v>442.201171875</v>
      </c>
      <c r="C1582" s="15">
        <v>75.47100830078125</v>
      </c>
      <c r="D1582" s="15">
        <v>168.1600036621094</v>
      </c>
      <c r="E1582" s="15">
        <v>377.65045166015619</v>
      </c>
      <c r="F1582" s="15">
        <v>223.7831726074219</v>
      </c>
      <c r="H1582" s="16">
        <f t="shared" si="62"/>
        <v>-1.0699931542594295E-2</v>
      </c>
      <c r="I1582" s="16">
        <f t="shared" si="62"/>
        <v>1.7582351077865149E-3</v>
      </c>
      <c r="J1582" s="16">
        <f t="shared" si="62"/>
        <v>-2.1431166861887499E-3</v>
      </c>
      <c r="K1582" s="16">
        <f t="shared" si="62"/>
        <v>-5.0017199652297468E-3</v>
      </c>
      <c r="L1582" s="16">
        <f t="shared" si="63"/>
        <v>-4.5765731940269547E-3</v>
      </c>
    </row>
    <row r="1583" spans="1:12" x14ac:dyDescent="0.35">
      <c r="A1583" s="18">
        <v>44547</v>
      </c>
      <c r="B1583" s="15">
        <v>437.494873046875</v>
      </c>
      <c r="C1583" s="15">
        <v>75.60382080078125</v>
      </c>
      <c r="D1583" s="15">
        <v>167.80000305175781</v>
      </c>
      <c r="E1583" s="15">
        <v>375.76626586914063</v>
      </c>
      <c r="F1583" s="15">
        <v>222.7613525390625</v>
      </c>
      <c r="H1583" s="16">
        <f t="shared" si="62"/>
        <v>-1.0690293750984896E-2</v>
      </c>
      <c r="I1583" s="16">
        <f t="shared" si="62"/>
        <v>-1.6408760384821119E-3</v>
      </c>
      <c r="J1583" s="16">
        <f t="shared" si="62"/>
        <v>-4.2402447309171946E-3</v>
      </c>
      <c r="K1583" s="16">
        <f t="shared" si="62"/>
        <v>-9.7476665938024624E-3</v>
      </c>
      <c r="L1583" s="16">
        <f t="shared" si="63"/>
        <v>-1.4158710652871007E-2</v>
      </c>
    </row>
    <row r="1584" spans="1:12" x14ac:dyDescent="0.35">
      <c r="A1584" s="18">
        <v>44550</v>
      </c>
      <c r="B1584" s="15">
        <v>432.84283447265619</v>
      </c>
      <c r="C1584" s="15">
        <v>75.479866027832031</v>
      </c>
      <c r="D1584" s="15">
        <v>167.0899963378906</v>
      </c>
      <c r="E1584" s="15">
        <v>372.1212158203125</v>
      </c>
      <c r="F1584" s="15">
        <v>219.62956237792969</v>
      </c>
      <c r="H1584" s="16">
        <f t="shared" si="62"/>
        <v>1.7603089463158087E-2</v>
      </c>
      <c r="I1584" s="16">
        <f t="shared" si="62"/>
        <v>-1.0567277871742164E-3</v>
      </c>
      <c r="J1584" s="16">
        <f t="shared" si="62"/>
        <v>-4.1897618344674124E-4</v>
      </c>
      <c r="K1584" s="16">
        <f t="shared" si="62"/>
        <v>2.2133620457874911E-2</v>
      </c>
      <c r="L1584" s="16">
        <f t="shared" si="63"/>
        <v>1.9411456305901242E-2</v>
      </c>
    </row>
    <row r="1585" spans="1:12" x14ac:dyDescent="0.35">
      <c r="A1585" s="18">
        <v>44551</v>
      </c>
      <c r="B1585" s="15">
        <v>440.5296630859375</v>
      </c>
      <c r="C1585" s="15">
        <v>75.400146484375</v>
      </c>
      <c r="D1585" s="15">
        <v>167.02000427246091</v>
      </c>
      <c r="E1585" s="15">
        <v>380.44943237304688</v>
      </c>
      <c r="F1585" s="15">
        <v>223.9345397949219</v>
      </c>
      <c r="H1585" s="16">
        <f t="shared" si="62"/>
        <v>9.9491127144136996E-3</v>
      </c>
      <c r="I1585" s="16">
        <f t="shared" si="62"/>
        <v>1.0567277871742753E-3</v>
      </c>
      <c r="J1585" s="16">
        <f t="shared" si="62"/>
        <v>9.3561188001071507E-3</v>
      </c>
      <c r="K1585" s="16">
        <f t="shared" si="62"/>
        <v>1.2104931878708735E-2</v>
      </c>
      <c r="L1585" s="16">
        <f t="shared" si="63"/>
        <v>9.8381480428130236E-3</v>
      </c>
    </row>
    <row r="1586" spans="1:12" x14ac:dyDescent="0.35">
      <c r="A1586" s="18">
        <v>44552</v>
      </c>
      <c r="B1586" s="15">
        <v>444.93441772460938</v>
      </c>
      <c r="C1586" s="15">
        <v>75.479866027832031</v>
      </c>
      <c r="D1586" s="15">
        <v>168.5899963378906</v>
      </c>
      <c r="E1586" s="15">
        <v>385.08273315429688</v>
      </c>
      <c r="F1586" s="15">
        <v>226.14851379394531</v>
      </c>
      <c r="H1586" s="16">
        <f t="shared" si="62"/>
        <v>6.2027682897062226E-3</v>
      </c>
      <c r="I1586" s="16">
        <f t="shared" si="62"/>
        <v>-1.5194545107734309E-3</v>
      </c>
      <c r="J1586" s="16">
        <f t="shared" si="62"/>
        <v>2.2514814912111972E-3</v>
      </c>
      <c r="K1586" s="16">
        <f t="shared" si="62"/>
        <v>7.5107198538420629E-3</v>
      </c>
      <c r="L1586" s="16">
        <f t="shared" si="63"/>
        <v>6.8796546980318717E-3</v>
      </c>
    </row>
    <row r="1587" spans="1:12" x14ac:dyDescent="0.35">
      <c r="A1587" s="18">
        <v>44553</v>
      </c>
      <c r="B1587" s="15">
        <v>447.70281982421881</v>
      </c>
      <c r="C1587" s="15">
        <v>75.365264892578125</v>
      </c>
      <c r="D1587" s="15">
        <v>168.9700012207031</v>
      </c>
      <c r="E1587" s="15">
        <v>387.98587036132813</v>
      </c>
      <c r="F1587" s="15">
        <v>227.70970153808591</v>
      </c>
      <c r="H1587" s="16">
        <f t="shared" si="62"/>
        <v>1.405283204431158E-2</v>
      </c>
      <c r="I1587" s="16">
        <f t="shared" si="62"/>
        <v>4.7102389257474761E-4</v>
      </c>
      <c r="J1587" s="16">
        <f t="shared" si="62"/>
        <v>2.3644504768291054E-3</v>
      </c>
      <c r="K1587" s="16">
        <f t="shared" si="62"/>
        <v>1.6392196998100819E-2</v>
      </c>
      <c r="L1587" s="16">
        <f t="shared" si="63"/>
        <v>1.3045647144251816E-2</v>
      </c>
    </row>
    <row r="1588" spans="1:12" x14ac:dyDescent="0.35">
      <c r="A1588" s="18">
        <v>44557</v>
      </c>
      <c r="B1588" s="15">
        <v>454.03872680664063</v>
      </c>
      <c r="C1588" s="15">
        <v>75.400772094726563</v>
      </c>
      <c r="D1588" s="15">
        <v>169.3699951171875</v>
      </c>
      <c r="E1588" s="15">
        <v>394.39822387695313</v>
      </c>
      <c r="F1588" s="15">
        <v>230.69978332519531</v>
      </c>
      <c r="H1588" s="16">
        <f t="shared" si="62"/>
        <v>-8.1738250794809154E-4</v>
      </c>
      <c r="I1588" s="16">
        <f t="shared" si="62"/>
        <v>-1.1748218390129302E-4</v>
      </c>
      <c r="J1588" s="16">
        <f t="shared" si="62"/>
        <v>-4.3193803400252018E-3</v>
      </c>
      <c r="K1588" s="16">
        <f t="shared" si="62"/>
        <v>-4.6455357954522788E-3</v>
      </c>
      <c r="L1588" s="16">
        <f t="shared" si="63"/>
        <v>-2.0600415771111769E-3</v>
      </c>
    </row>
    <row r="1589" spans="1:12" x14ac:dyDescent="0.35">
      <c r="A1589" s="18">
        <v>44558</v>
      </c>
      <c r="B1589" s="15">
        <v>453.66775512695313</v>
      </c>
      <c r="C1589" s="15">
        <v>75.391914367675781</v>
      </c>
      <c r="D1589" s="15">
        <v>168.63999938964841</v>
      </c>
      <c r="E1589" s="15">
        <v>392.57028198242188</v>
      </c>
      <c r="F1589" s="15">
        <v>230.22502136230469</v>
      </c>
      <c r="H1589" s="16">
        <f t="shared" si="62"/>
        <v>1.2782943655909626E-3</v>
      </c>
      <c r="I1589" s="16">
        <f t="shared" si="62"/>
        <v>-3.3050673613273223E-3</v>
      </c>
      <c r="J1589" s="16">
        <f t="shared" si="62"/>
        <v>-2.965516280151311E-4</v>
      </c>
      <c r="K1589" s="16">
        <f t="shared" si="62"/>
        <v>-1.4926785312055618E-4</v>
      </c>
      <c r="L1589" s="16">
        <f t="shared" si="63"/>
        <v>5.7737732104340877E-4</v>
      </c>
    </row>
    <row r="1590" spans="1:12" x14ac:dyDescent="0.35">
      <c r="A1590" s="18">
        <v>44559</v>
      </c>
      <c r="B1590" s="15">
        <v>454.248046875</v>
      </c>
      <c r="C1590" s="15">
        <v>75.143150329589844</v>
      </c>
      <c r="D1590" s="15">
        <v>168.5899963378906</v>
      </c>
      <c r="E1590" s="15">
        <v>392.51168823242188</v>
      </c>
      <c r="F1590" s="15">
        <v>230.35798645019531</v>
      </c>
      <c r="H1590" s="16">
        <f t="shared" si="62"/>
        <v>-2.7683262931677724E-3</v>
      </c>
      <c r="I1590" s="16">
        <f t="shared" si="62"/>
        <v>2.2437631273006828E-3</v>
      </c>
      <c r="J1590" s="16">
        <f t="shared" si="62"/>
        <v>7.1515817441827213E-3</v>
      </c>
      <c r="K1590" s="16">
        <f t="shared" si="62"/>
        <v>-2.9928529834723819E-3</v>
      </c>
      <c r="L1590" s="16">
        <f t="shared" si="63"/>
        <v>-1.6089917125224904E-3</v>
      </c>
    </row>
    <row r="1591" spans="1:12" x14ac:dyDescent="0.35">
      <c r="A1591" s="18">
        <v>44560</v>
      </c>
      <c r="B1591" s="15">
        <v>452.99227905273438</v>
      </c>
      <c r="C1591" s="15">
        <v>75.311943054199219</v>
      </c>
      <c r="D1591" s="15">
        <v>169.80000305175781</v>
      </c>
      <c r="E1591" s="15">
        <v>391.33871459960938</v>
      </c>
      <c r="F1591" s="15">
        <v>229.9876403808594</v>
      </c>
      <c r="H1591" s="16">
        <f t="shared" si="62"/>
        <v>-2.5232480483890741E-3</v>
      </c>
      <c r="I1591" s="16">
        <f t="shared" si="62"/>
        <v>-2.3576199535683831E-4</v>
      </c>
      <c r="J1591" s="16">
        <f t="shared" si="62"/>
        <v>6.8083584325513884E-3</v>
      </c>
      <c r="K1591" s="16">
        <f t="shared" si="62"/>
        <v>-6.2641851508406865E-3</v>
      </c>
      <c r="L1591" s="16">
        <f t="shared" si="63"/>
        <v>-3.1841714368664306E-3</v>
      </c>
    </row>
    <row r="1592" spans="1:12" x14ac:dyDescent="0.35">
      <c r="A1592" s="18">
        <v>44561</v>
      </c>
      <c r="B1592" s="15">
        <v>451.8507080078125</v>
      </c>
      <c r="C1592" s="15">
        <v>75.294189453125</v>
      </c>
      <c r="D1592" s="15">
        <v>170.96000671386719</v>
      </c>
      <c r="E1592" s="15">
        <v>388.89495849609381</v>
      </c>
      <c r="F1592" s="15">
        <v>229.25648498535159</v>
      </c>
      <c r="H1592" s="16">
        <f t="shared" si="62"/>
        <v>5.7732249636897543E-3</v>
      </c>
      <c r="I1592" s="16">
        <f t="shared" si="62"/>
        <v>-6.7483516820177432E-3</v>
      </c>
      <c r="J1592" s="16">
        <f t="shared" si="62"/>
        <v>-1.5503300973700684E-2</v>
      </c>
      <c r="K1592" s="16">
        <f t="shared" si="62"/>
        <v>9.5807345574721592E-3</v>
      </c>
      <c r="L1592" s="16">
        <f t="shared" si="63"/>
        <v>6.316966462618822E-3</v>
      </c>
    </row>
    <row r="1593" spans="1:12" x14ac:dyDescent="0.35">
      <c r="A1593" s="18">
        <v>44564</v>
      </c>
      <c r="B1593" s="15">
        <v>454.46688842773438</v>
      </c>
      <c r="C1593" s="15">
        <v>74.787788391113281</v>
      </c>
      <c r="D1593" s="15">
        <v>168.33000183105469</v>
      </c>
      <c r="E1593" s="15">
        <v>392.63876342773438</v>
      </c>
      <c r="F1593" s="15">
        <v>230.70927429199219</v>
      </c>
      <c r="H1593" s="16">
        <f t="shared" si="62"/>
        <v>-3.3506886871909807E-4</v>
      </c>
      <c r="I1593" s="16">
        <f t="shared" si="62"/>
        <v>-1.1895529111038604E-4</v>
      </c>
      <c r="J1593" s="16">
        <f t="shared" si="62"/>
        <v>7.3395148031694755E-3</v>
      </c>
      <c r="K1593" s="16">
        <f t="shared" si="62"/>
        <v>-1.3055486541547773E-2</v>
      </c>
      <c r="L1593" s="16">
        <f t="shared" si="63"/>
        <v>-1.8949456434832316E-3</v>
      </c>
    </row>
    <row r="1594" spans="1:12" x14ac:dyDescent="0.35">
      <c r="A1594" s="18">
        <v>44565</v>
      </c>
      <c r="B1594" s="15">
        <v>454.31463623046881</v>
      </c>
      <c r="C1594" s="15">
        <v>74.778892517089844</v>
      </c>
      <c r="D1594" s="15">
        <v>169.57000732421881</v>
      </c>
      <c r="E1594" s="15">
        <v>387.54598999023438</v>
      </c>
      <c r="F1594" s="15">
        <v>230.27250671386719</v>
      </c>
      <c r="H1594" s="16">
        <f t="shared" si="62"/>
        <v>-1.9388901684753445E-2</v>
      </c>
      <c r="I1594" s="16">
        <f t="shared" si="62"/>
        <v>-3.4512662323599569E-3</v>
      </c>
      <c r="J1594" s="16">
        <f t="shared" si="62"/>
        <v>-3.012197052209778E-3</v>
      </c>
      <c r="K1594" s="16">
        <f t="shared" si="62"/>
        <v>-3.1202679973729771E-2</v>
      </c>
      <c r="L1594" s="16">
        <f t="shared" si="63"/>
        <v>-2.1928631238531403E-2</v>
      </c>
    </row>
    <row r="1595" spans="1:12" x14ac:dyDescent="0.35">
      <c r="A1595" s="18">
        <v>44566</v>
      </c>
      <c r="B1595" s="15">
        <v>445.5908203125</v>
      </c>
      <c r="C1595" s="15">
        <v>74.521255493164063</v>
      </c>
      <c r="D1595" s="15">
        <v>169.05999755859381</v>
      </c>
      <c r="E1595" s="15">
        <v>375.64022827148438</v>
      </c>
      <c r="F1595" s="15">
        <v>225.27790832519531</v>
      </c>
      <c r="H1595" s="16">
        <f t="shared" si="62"/>
        <v>-9.3968438208407508E-4</v>
      </c>
      <c r="I1595" s="16">
        <f t="shared" si="62"/>
        <v>-1.0736080069914432E-3</v>
      </c>
      <c r="J1595" s="16">
        <f t="shared" si="62"/>
        <v>-1.2319703780209549E-2</v>
      </c>
      <c r="K1595" s="16">
        <f t="shared" si="62"/>
        <v>-7.029860698421922E-4</v>
      </c>
      <c r="L1595" s="16">
        <f t="shared" si="63"/>
        <v>-2.5287993151125346E-4</v>
      </c>
    </row>
    <row r="1596" spans="1:12" x14ac:dyDescent="0.35">
      <c r="A1596" s="18">
        <v>44567</v>
      </c>
      <c r="B1596" s="15">
        <v>445.17230224609381</v>
      </c>
      <c r="C1596" s="15">
        <v>74.441291809082031</v>
      </c>
      <c r="D1596" s="15">
        <v>166.99000549316409</v>
      </c>
      <c r="E1596" s="15">
        <v>375.37625122070313</v>
      </c>
      <c r="F1596" s="15">
        <v>225.220947265625</v>
      </c>
      <c r="H1596" s="16">
        <f t="shared" si="62"/>
        <v>-3.961383255251763E-3</v>
      </c>
      <c r="I1596" s="16">
        <f t="shared" si="62"/>
        <v>-2.7488331131938367E-3</v>
      </c>
      <c r="J1596" s="16">
        <f t="shared" si="62"/>
        <v>4.5408125722827672E-3</v>
      </c>
      <c r="K1596" s="16">
        <f t="shared" si="62"/>
        <v>-1.0891819475175431E-2</v>
      </c>
      <c r="L1596" s="16">
        <f t="shared" si="63"/>
        <v>-4.5638290475804146E-3</v>
      </c>
    </row>
    <row r="1597" spans="1:12" x14ac:dyDescent="0.35">
      <c r="A1597" s="18">
        <v>44568</v>
      </c>
      <c r="B1597" s="15">
        <v>443.41229248046881</v>
      </c>
      <c r="C1597" s="15">
        <v>74.236946105957031</v>
      </c>
      <c r="D1597" s="15">
        <v>167.75</v>
      </c>
      <c r="E1597" s="15">
        <v>371.30990600585938</v>
      </c>
      <c r="F1597" s="15">
        <v>224.19541931152341</v>
      </c>
      <c r="H1597" s="16">
        <f t="shared" si="62"/>
        <v>-1.2452575325845202E-3</v>
      </c>
      <c r="I1597" s="16">
        <f t="shared" si="62"/>
        <v>-8.3813916226765852E-4</v>
      </c>
      <c r="J1597" s="16">
        <f t="shared" si="62"/>
        <v>3.0355936239954162E-3</v>
      </c>
      <c r="K1597" s="16">
        <f t="shared" si="62"/>
        <v>6.5770635565456654E-4</v>
      </c>
      <c r="L1597" s="16">
        <f t="shared" si="63"/>
        <v>-1.737793304154077E-3</v>
      </c>
    </row>
    <row r="1598" spans="1:12" x14ac:dyDescent="0.35">
      <c r="A1598" s="18">
        <v>44571</v>
      </c>
      <c r="B1598" s="15">
        <v>442.8604736328125</v>
      </c>
      <c r="C1598" s="15">
        <v>74.174751281738281</v>
      </c>
      <c r="D1598" s="15">
        <v>168.25999450683591</v>
      </c>
      <c r="E1598" s="15">
        <v>371.55419921875</v>
      </c>
      <c r="F1598" s="15">
        <v>223.80615234375</v>
      </c>
      <c r="H1598" s="16">
        <f t="shared" si="62"/>
        <v>9.0670368333671328E-3</v>
      </c>
      <c r="I1598" s="16">
        <f t="shared" si="62"/>
        <v>2.0344981752356849E-3</v>
      </c>
      <c r="J1598" s="16">
        <f t="shared" si="62"/>
        <v>1.1992457136645811E-2</v>
      </c>
      <c r="K1598" s="16">
        <f t="shared" si="62"/>
        <v>1.4910354142107358E-2</v>
      </c>
      <c r="L1598" s="16">
        <f t="shared" si="63"/>
        <v>9.9210608813651048E-3</v>
      </c>
    </row>
    <row r="1599" spans="1:12" x14ac:dyDescent="0.35">
      <c r="A1599" s="18">
        <v>44572</v>
      </c>
      <c r="B1599" s="15">
        <v>446.8941650390625</v>
      </c>
      <c r="C1599" s="15">
        <v>74.325813293457031</v>
      </c>
      <c r="D1599" s="15">
        <v>170.28999328613281</v>
      </c>
      <c r="E1599" s="15">
        <v>377.13571166992188</v>
      </c>
      <c r="F1599" s="15">
        <v>226.03759765625</v>
      </c>
      <c r="H1599" s="16">
        <f t="shared" si="62"/>
        <v>2.699880107991234E-3</v>
      </c>
      <c r="I1599" s="16">
        <f t="shared" si="62"/>
        <v>-3.5892173971614733E-4</v>
      </c>
      <c r="J1599" s="16">
        <f t="shared" si="62"/>
        <v>2.639137142411607E-3</v>
      </c>
      <c r="K1599" s="16">
        <f t="shared" si="62"/>
        <v>3.9576918533475603E-3</v>
      </c>
      <c r="L1599" s="16">
        <f t="shared" si="63"/>
        <v>1.5528386534382659E-3</v>
      </c>
    </row>
    <row r="1600" spans="1:12" x14ac:dyDescent="0.35">
      <c r="A1600" s="18">
        <v>44573</v>
      </c>
      <c r="B1600" s="15">
        <v>448.10235595703119</v>
      </c>
      <c r="C1600" s="15">
        <v>74.299140930175781</v>
      </c>
      <c r="D1600" s="15">
        <v>170.74000549316409</v>
      </c>
      <c r="E1600" s="15">
        <v>378.63125610351563</v>
      </c>
      <c r="F1600" s="15">
        <v>226.38887023925781</v>
      </c>
      <c r="H1600" s="16">
        <f t="shared" si="62"/>
        <v>-1.3874340838146065E-2</v>
      </c>
      <c r="I1600" s="16">
        <f t="shared" si="62"/>
        <v>1.6726710616722831E-3</v>
      </c>
      <c r="J1600" s="16">
        <f t="shared" si="62"/>
        <v>-3.4027713412980512E-3</v>
      </c>
      <c r="K1600" s="16">
        <f t="shared" si="62"/>
        <v>-2.5334364133151991E-2</v>
      </c>
      <c r="L1600" s="16">
        <f t="shared" si="63"/>
        <v>-1.4746229696314386E-2</v>
      </c>
    </row>
    <row r="1601" spans="1:12" x14ac:dyDescent="0.35">
      <c r="A1601" s="18">
        <v>44574</v>
      </c>
      <c r="B1601" s="15">
        <v>441.92816162109381</v>
      </c>
      <c r="C1601" s="15">
        <v>74.42352294921875</v>
      </c>
      <c r="D1601" s="15">
        <v>170.1600036621094</v>
      </c>
      <c r="E1601" s="15">
        <v>369.15936279296881</v>
      </c>
      <c r="F1601" s="15">
        <v>223.0749816894531</v>
      </c>
      <c r="H1601" s="16">
        <f t="shared" si="62"/>
        <v>4.0886318172571854E-4</v>
      </c>
      <c r="I1601" s="16">
        <f t="shared" si="62"/>
        <v>-5.5062519249624627E-3</v>
      </c>
      <c r="J1601" s="16">
        <f t="shared" si="62"/>
        <v>-2.8838291505567503E-3</v>
      </c>
      <c r="K1601" s="16">
        <f t="shared" si="62"/>
        <v>6.2033696590096856E-3</v>
      </c>
      <c r="L1601" s="16">
        <f t="shared" si="63"/>
        <v>3.831833376702791E-4</v>
      </c>
    </row>
    <row r="1602" spans="1:12" x14ac:dyDescent="0.35">
      <c r="A1602" s="18">
        <v>44575</v>
      </c>
      <c r="B1602" s="15">
        <v>442.10888671875</v>
      </c>
      <c r="C1602" s="15">
        <v>74.014854431152344</v>
      </c>
      <c r="D1602" s="15">
        <v>169.66999816894531</v>
      </c>
      <c r="E1602" s="15">
        <v>371.45651245117188</v>
      </c>
      <c r="F1602" s="15">
        <v>223.16047668457031</v>
      </c>
      <c r="H1602" s="16">
        <f t="shared" si="62"/>
        <v>-1.7868263205946432E-2</v>
      </c>
      <c r="I1602" s="16">
        <f t="shared" si="62"/>
        <v>-6.2618367204535577E-3</v>
      </c>
      <c r="J1602" s="16">
        <f t="shared" si="62"/>
        <v>-1.6516182679315239E-3</v>
      </c>
      <c r="K1602" s="16">
        <f t="shared" si="62"/>
        <v>-2.5209352500097378E-2</v>
      </c>
      <c r="L1602" s="16">
        <f t="shared" si="63"/>
        <v>-1.9636750282914166E-2</v>
      </c>
    </row>
    <row r="1603" spans="1:12" x14ac:dyDescent="0.35">
      <c r="A1603" s="18">
        <v>44579</v>
      </c>
      <c r="B1603" s="15">
        <v>434.27932739257813</v>
      </c>
      <c r="C1603" s="15">
        <v>73.552833557128906</v>
      </c>
      <c r="D1603" s="15">
        <v>169.38999938964841</v>
      </c>
      <c r="E1603" s="15">
        <v>362.20938110351563</v>
      </c>
      <c r="F1603" s="15">
        <v>218.8210754394531</v>
      </c>
      <c r="H1603" s="16">
        <f t="shared" si="62"/>
        <v>-1.0437782272907608E-2</v>
      </c>
      <c r="I1603" s="16">
        <f t="shared" si="62"/>
        <v>2.4131925101965978E-3</v>
      </c>
      <c r="J1603" s="16">
        <f t="shared" si="62"/>
        <v>1.5755750605134455E-2</v>
      </c>
      <c r="K1603" s="16">
        <f t="shared" si="62"/>
        <v>-1.1044280120813176E-2</v>
      </c>
      <c r="L1603" s="16">
        <f t="shared" si="63"/>
        <v>-1.055685931680627E-2</v>
      </c>
    </row>
    <row r="1604" spans="1:12" x14ac:dyDescent="0.35">
      <c r="A1604" s="18">
        <v>44580</v>
      </c>
      <c r="B1604" s="15">
        <v>429.76998901367188</v>
      </c>
      <c r="C1604" s="15">
        <v>73.730545043945313</v>
      </c>
      <c r="D1604" s="15">
        <v>172.08000183105469</v>
      </c>
      <c r="E1604" s="15">
        <v>358.23104858398438</v>
      </c>
      <c r="F1604" s="15">
        <v>216.5231628417969</v>
      </c>
      <c r="H1604" s="16">
        <f t="shared" si="62"/>
        <v>-1.1129895834351537E-2</v>
      </c>
      <c r="I1604" s="16">
        <f t="shared" si="62"/>
        <v>1.0841584818442498E-3</v>
      </c>
      <c r="J1604" s="16">
        <f t="shared" si="62"/>
        <v>-2.5020112544037834E-3</v>
      </c>
      <c r="K1604" s="16">
        <f t="shared" si="62"/>
        <v>-1.3073527550638028E-2</v>
      </c>
      <c r="L1604" s="16">
        <f t="shared" si="63"/>
        <v>-1.1733564657638699E-2</v>
      </c>
    </row>
    <row r="1605" spans="1:12" x14ac:dyDescent="0.35">
      <c r="A1605" s="18">
        <v>44581</v>
      </c>
      <c r="B1605" s="15">
        <v>425.01321411132813</v>
      </c>
      <c r="C1605" s="15">
        <v>73.810523986816406</v>
      </c>
      <c r="D1605" s="15">
        <v>171.6499938964844</v>
      </c>
      <c r="E1605" s="15">
        <v>353.57818603515619</v>
      </c>
      <c r="F1605" s="15">
        <v>213.99742126464841</v>
      </c>
      <c r="H1605" s="16">
        <f t="shared" si="62"/>
        <v>-1.98259063700045E-2</v>
      </c>
      <c r="I1605" s="16">
        <f t="shared" si="62"/>
        <v>3.7240021555088073E-3</v>
      </c>
      <c r="J1605" s="16">
        <f t="shared" si="62"/>
        <v>-3.2677719138103222E-3</v>
      </c>
      <c r="K1605" s="16">
        <f t="shared" si="62"/>
        <v>-2.8120477724320404E-2</v>
      </c>
      <c r="L1605" s="16">
        <f t="shared" si="63"/>
        <v>-1.9988186491758372E-2</v>
      </c>
    </row>
    <row r="1606" spans="1:12" x14ac:dyDescent="0.35">
      <c r="A1606" s="18">
        <v>44582</v>
      </c>
      <c r="B1606" s="15">
        <v>416.669921875</v>
      </c>
      <c r="C1606" s="15">
        <v>74.085906982421875</v>
      </c>
      <c r="D1606" s="15">
        <v>171.0899963378906</v>
      </c>
      <c r="E1606" s="15">
        <v>343.77389526367188</v>
      </c>
      <c r="F1606" s="15">
        <v>209.76246643066409</v>
      </c>
      <c r="H1606" s="16">
        <f t="shared" si="62"/>
        <v>4.2379953030724843E-3</v>
      </c>
      <c r="I1606" s="16">
        <f t="shared" si="62"/>
        <v>-1.5599270195561243E-3</v>
      </c>
      <c r="J1606" s="16">
        <f t="shared" si="62"/>
        <v>5.479160681096315E-3</v>
      </c>
      <c r="K1606" s="16">
        <f t="shared" si="62"/>
        <v>4.5675372271897054E-3</v>
      </c>
      <c r="L1606" s="16">
        <f t="shared" si="63"/>
        <v>6.4073800173890588E-3</v>
      </c>
    </row>
    <row r="1607" spans="1:12" x14ac:dyDescent="0.35">
      <c r="A1607" s="18">
        <v>44585</v>
      </c>
      <c r="B1607" s="15">
        <v>418.43951416015619</v>
      </c>
      <c r="C1607" s="15">
        <v>73.970428466796875</v>
      </c>
      <c r="D1607" s="15">
        <v>172.0299987792969</v>
      </c>
      <c r="E1607" s="15">
        <v>345.34768676757813</v>
      </c>
      <c r="F1607" s="15">
        <v>211.1108093261719</v>
      </c>
      <c r="H1607" s="16">
        <f t="shared" si="62"/>
        <v>-1.2284156837374639E-2</v>
      </c>
      <c r="I1607" s="16">
        <f t="shared" si="62"/>
        <v>-1.3224214776656196E-3</v>
      </c>
      <c r="J1607" s="16">
        <f t="shared" si="62"/>
        <v>3.1920345769760896E-3</v>
      </c>
      <c r="K1607" s="16">
        <f t="shared" si="62"/>
        <v>-2.3454142223197316E-2</v>
      </c>
      <c r="L1607" s="16">
        <f t="shared" si="63"/>
        <v>-1.4086828273466769E-2</v>
      </c>
    </row>
    <row r="1608" spans="1:12" x14ac:dyDescent="0.35">
      <c r="A1608" s="18">
        <v>44586</v>
      </c>
      <c r="B1608" s="15">
        <v>413.33078002929688</v>
      </c>
      <c r="C1608" s="15">
        <v>73.872673034667969</v>
      </c>
      <c r="D1608" s="15">
        <v>172.58000183105469</v>
      </c>
      <c r="E1608" s="15">
        <v>337.34210205078119</v>
      </c>
      <c r="F1608" s="15">
        <v>208.15777587890619</v>
      </c>
      <c r="H1608" s="16">
        <f t="shared" si="62"/>
        <v>-2.5119341847390387E-3</v>
      </c>
      <c r="I1608" s="16">
        <f t="shared" si="62"/>
        <v>-5.5472170495066064E-3</v>
      </c>
      <c r="J1608" s="16">
        <f t="shared" si="62"/>
        <v>-1.6298567904313541E-2</v>
      </c>
      <c r="K1608" s="16">
        <f t="shared" si="62"/>
        <v>-1.5659947824183907E-3</v>
      </c>
      <c r="L1608" s="16">
        <f t="shared" si="63"/>
        <v>-3.8850967419223293E-3</v>
      </c>
    </row>
    <row r="1609" spans="1:12" x14ac:dyDescent="0.35">
      <c r="A1609" s="18">
        <v>44587</v>
      </c>
      <c r="B1609" s="15">
        <v>412.2938232421875</v>
      </c>
      <c r="C1609" s="15">
        <v>73.464019775390625</v>
      </c>
      <c r="D1609" s="15">
        <v>169.78999328613281</v>
      </c>
      <c r="E1609" s="15">
        <v>336.81423950195313</v>
      </c>
      <c r="F1609" s="15">
        <v>207.35063171386719</v>
      </c>
      <c r="H1609" s="16">
        <f t="shared" si="62"/>
        <v>-4.9503365508242756E-3</v>
      </c>
      <c r="I1609" s="16">
        <f t="shared" si="62"/>
        <v>3.2599989244004222E-3</v>
      </c>
      <c r="J1609" s="16">
        <f t="shared" si="62"/>
        <v>-1.2982115320597556E-2</v>
      </c>
      <c r="K1609" s="16">
        <f t="shared" si="62"/>
        <v>-1.0121607313379667E-2</v>
      </c>
      <c r="L1609" s="16">
        <f t="shared" si="63"/>
        <v>-7.4463404113888128E-3</v>
      </c>
    </row>
    <row r="1610" spans="1:12" x14ac:dyDescent="0.35">
      <c r="A1610" s="18">
        <v>44588</v>
      </c>
      <c r="B1610" s="15">
        <v>410.25787353515619</v>
      </c>
      <c r="C1610" s="15">
        <v>73.703903198242188</v>
      </c>
      <c r="D1610" s="15">
        <v>167.6000061035156</v>
      </c>
      <c r="E1610" s="15">
        <v>333.42233276367188</v>
      </c>
      <c r="F1610" s="15">
        <v>205.81236267089841</v>
      </c>
      <c r="H1610" s="16">
        <f t="shared" si="62"/>
        <v>2.4532124810237057E-2</v>
      </c>
      <c r="I1610" s="16">
        <f t="shared" si="62"/>
        <v>1.2042824081639747E-3</v>
      </c>
      <c r="J1610" s="16">
        <f t="shared" si="62"/>
        <v>-2.9877523376664922E-3</v>
      </c>
      <c r="K1610" s="16">
        <f t="shared" si="62"/>
        <v>3.0887169026082507E-2</v>
      </c>
      <c r="L1610" s="16">
        <f t="shared" si="63"/>
        <v>2.4338346521479162E-2</v>
      </c>
    </row>
    <row r="1611" spans="1:12" x14ac:dyDescent="0.35">
      <c r="A1611" s="18">
        <v>44589</v>
      </c>
      <c r="B1611" s="15">
        <v>420.44683837890619</v>
      </c>
      <c r="C1611" s="15">
        <v>73.792716979980469</v>
      </c>
      <c r="D1611" s="15">
        <v>167.1000061035156</v>
      </c>
      <c r="E1611" s="15">
        <v>343.88150024414063</v>
      </c>
      <c r="F1611" s="15">
        <v>210.88294982910159</v>
      </c>
      <c r="H1611" s="16">
        <f t="shared" si="62"/>
        <v>1.7850781664199362E-2</v>
      </c>
      <c r="I1611" s="16">
        <f t="shared" si="62"/>
        <v>-7.2222985261797146E-4</v>
      </c>
      <c r="J1611" s="16">
        <f t="shared" si="62"/>
        <v>5.9070563312306956E-3</v>
      </c>
      <c r="K1611" s="16">
        <f t="shared" si="62"/>
        <v>3.1477780247775825E-2</v>
      </c>
      <c r="L1611" s="16">
        <f t="shared" si="63"/>
        <v>2.1029844763036896E-2</v>
      </c>
    </row>
    <row r="1612" spans="1:12" x14ac:dyDescent="0.35">
      <c r="A1612" s="18">
        <v>44592</v>
      </c>
      <c r="B1612" s="15">
        <v>428.01953125</v>
      </c>
      <c r="C1612" s="15">
        <v>73.73944091796875</v>
      </c>
      <c r="D1612" s="15">
        <v>168.0899963378906</v>
      </c>
      <c r="E1612" s="15">
        <v>354.8782958984375</v>
      </c>
      <c r="F1612" s="15">
        <v>215.36474609375</v>
      </c>
      <c r="H1612" s="16">
        <f t="shared" si="62"/>
        <v>6.7342561287385659E-3</v>
      </c>
      <c r="I1612" s="16">
        <f t="shared" si="62"/>
        <v>-3.9862365674153547E-4</v>
      </c>
      <c r="J1612" s="16">
        <f t="shared" si="62"/>
        <v>8.3253687581905968E-4</v>
      </c>
      <c r="K1612" s="16">
        <f t="shared" si="62"/>
        <v>6.7802442062781078E-3</v>
      </c>
      <c r="L1612" s="16">
        <f t="shared" si="63"/>
        <v>7.5985131658522619E-3</v>
      </c>
    </row>
    <row r="1613" spans="1:12" x14ac:dyDescent="0.35">
      <c r="A1613" s="18">
        <v>44593</v>
      </c>
      <c r="B1613" s="15">
        <v>430.91165161132813</v>
      </c>
      <c r="C1613" s="15">
        <v>73.710052490234375</v>
      </c>
      <c r="D1613" s="15">
        <v>168.22999572753909</v>
      </c>
      <c r="E1613" s="15">
        <v>357.29263305664063</v>
      </c>
      <c r="F1613" s="15">
        <v>217.00743103027341</v>
      </c>
      <c r="H1613" s="16">
        <f t="shared" si="62"/>
        <v>9.6671380299197772E-3</v>
      </c>
      <c r="I1613" s="16">
        <f t="shared" si="62"/>
        <v>1.4481312089569777E-3</v>
      </c>
      <c r="J1613" s="16">
        <f t="shared" si="62"/>
        <v>3.6194338899536772E-3</v>
      </c>
      <c r="K1613" s="16">
        <f t="shared" si="62"/>
        <v>8.0927976564953135E-3</v>
      </c>
      <c r="L1613" s="16">
        <f t="shared" si="63"/>
        <v>6.5855190942050472E-3</v>
      </c>
    </row>
    <row r="1614" spans="1:12" x14ac:dyDescent="0.35">
      <c r="A1614" s="18">
        <v>44594</v>
      </c>
      <c r="B1614" s="15">
        <v>435.0975341796875</v>
      </c>
      <c r="C1614" s="15">
        <v>73.816871643066406</v>
      </c>
      <c r="D1614" s="15">
        <v>168.8399963378906</v>
      </c>
      <c r="E1614" s="15">
        <v>360.19586181640619</v>
      </c>
      <c r="F1614" s="15">
        <v>218.4412536621094</v>
      </c>
      <c r="H1614" s="16">
        <f t="shared" si="62"/>
        <v>-2.378570126966123E-2</v>
      </c>
      <c r="I1614" s="16">
        <f t="shared" si="62"/>
        <v>-4.2286312864402284E-3</v>
      </c>
      <c r="J1614" s="16">
        <f t="shared" si="62"/>
        <v>-1.4224174555621005E-3</v>
      </c>
      <c r="K1614" s="16">
        <f t="shared" si="62"/>
        <v>-4.1388848602726507E-2</v>
      </c>
      <c r="L1614" s="16">
        <f t="shared" si="63"/>
        <v>-2.406473821856947E-2</v>
      </c>
    </row>
    <row r="1615" spans="1:12" x14ac:dyDescent="0.35">
      <c r="A1615" s="18">
        <v>44595</v>
      </c>
      <c r="B1615" s="15">
        <v>424.87054443359381</v>
      </c>
      <c r="C1615" s="15">
        <v>73.505386352539063</v>
      </c>
      <c r="D1615" s="15">
        <v>168.6000061035156</v>
      </c>
      <c r="E1615" s="15">
        <v>345.59207153320313</v>
      </c>
      <c r="F1615" s="15">
        <v>213.24726867675781</v>
      </c>
      <c r="H1615" s="16">
        <f t="shared" si="62"/>
        <v>4.6912670306435752E-3</v>
      </c>
      <c r="I1615" s="16">
        <f t="shared" si="62"/>
        <v>-6.1938282209827783E-3</v>
      </c>
      <c r="J1615" s="16">
        <f t="shared" si="62"/>
        <v>1.5408910869815378E-3</v>
      </c>
      <c r="K1615" s="16">
        <f t="shared" si="62"/>
        <v>1.2536022809452058E-2</v>
      </c>
      <c r="L1615" s="16">
        <f t="shared" si="63"/>
        <v>6.6127582995899664E-3</v>
      </c>
    </row>
    <row r="1616" spans="1:12" x14ac:dyDescent="0.35">
      <c r="A1616" s="18">
        <v>44596</v>
      </c>
      <c r="B1616" s="15">
        <v>426.868408203125</v>
      </c>
      <c r="C1616" s="15">
        <v>73.051513671875</v>
      </c>
      <c r="D1616" s="15">
        <v>168.86000061035159</v>
      </c>
      <c r="E1616" s="15">
        <v>349.95169067382813</v>
      </c>
      <c r="F1616" s="15">
        <v>214.66209411621091</v>
      </c>
      <c r="H1616" s="16">
        <f t="shared" si="62"/>
        <v>-3.2144980212659214E-3</v>
      </c>
      <c r="I1616" s="16">
        <f t="shared" si="62"/>
        <v>8.5279482321338031E-4</v>
      </c>
      <c r="J1616" s="16">
        <f t="shared" si="62"/>
        <v>7.375317353577323E-3</v>
      </c>
      <c r="K1616" s="16">
        <f t="shared" si="62"/>
        <v>-8.0769412747066921E-3</v>
      </c>
      <c r="L1616" s="16">
        <f t="shared" si="63"/>
        <v>-2.5246343414348305E-3</v>
      </c>
    </row>
    <row r="1617" spans="1:12" x14ac:dyDescent="0.35">
      <c r="A1617" s="18">
        <v>44599</v>
      </c>
      <c r="B1617" s="15">
        <v>425.49844360351563</v>
      </c>
      <c r="C1617" s="15">
        <v>73.113838195800781</v>
      </c>
      <c r="D1617" s="15">
        <v>170.11000061035159</v>
      </c>
      <c r="E1617" s="15">
        <v>347.13653564453119</v>
      </c>
      <c r="F1617" s="15">
        <v>214.12083435058591</v>
      </c>
      <c r="H1617" s="16">
        <f t="shared" si="62"/>
        <v>8.1942059954246069E-3</v>
      </c>
      <c r="I1617" s="16">
        <f t="shared" si="62"/>
        <v>-3.2915866791667571E-3</v>
      </c>
      <c r="J1617" s="16">
        <f t="shared" si="62"/>
        <v>3.0522079460774463E-3</v>
      </c>
      <c r="K1617" s="16">
        <f t="shared" si="62"/>
        <v>1.1172635394684601E-2</v>
      </c>
      <c r="L1617" s="16">
        <f t="shared" si="63"/>
        <v>9.1378742340441268E-3</v>
      </c>
    </row>
    <row r="1618" spans="1:12" x14ac:dyDescent="0.35">
      <c r="A1618" s="18">
        <v>44600</v>
      </c>
      <c r="B1618" s="15">
        <v>428.9993896484375</v>
      </c>
      <c r="C1618" s="15">
        <v>72.873573303222656</v>
      </c>
      <c r="D1618" s="15">
        <v>170.6300048828125</v>
      </c>
      <c r="E1618" s="15">
        <v>351.03671264648438</v>
      </c>
      <c r="F1618" s="15">
        <v>216.08641052246091</v>
      </c>
      <c r="H1618" s="16">
        <f t="shared" si="62"/>
        <v>1.4529936775923378E-2</v>
      </c>
      <c r="I1618" s="16">
        <f t="shared" si="62"/>
        <v>7.3227273057211849E-4</v>
      </c>
      <c r="J1618" s="16">
        <f t="shared" si="62"/>
        <v>3.3934142753984072E-3</v>
      </c>
      <c r="K1618" s="16">
        <f t="shared" si="62"/>
        <v>2.096923390793775E-2</v>
      </c>
      <c r="L1618" s="16">
        <f t="shared" si="63"/>
        <v>1.6127971337776135E-2</v>
      </c>
    </row>
    <row r="1619" spans="1:12" x14ac:dyDescent="0.35">
      <c r="A1619" s="18">
        <v>44601</v>
      </c>
      <c r="B1619" s="15">
        <v>435.27822875976563</v>
      </c>
      <c r="C1619" s="15">
        <v>72.926956176757813</v>
      </c>
      <c r="D1619" s="15">
        <v>171.21000671386719</v>
      </c>
      <c r="E1619" s="15">
        <v>358.47540283203119</v>
      </c>
      <c r="F1619" s="15">
        <v>219.5997009277344</v>
      </c>
      <c r="H1619" s="16">
        <f t="shared" si="62"/>
        <v>-1.8128734220763498E-2</v>
      </c>
      <c r="I1619" s="16">
        <f t="shared" si="62"/>
        <v>-9.1942363348283818E-3</v>
      </c>
      <c r="J1619" s="16">
        <f t="shared" si="62"/>
        <v>-3.8037857675300682E-3</v>
      </c>
      <c r="K1619" s="16">
        <f t="shared" ref="K1619:L1682" si="64">LN(E1620/E1619)</f>
        <v>-2.2892445215779475E-2</v>
      </c>
      <c r="L1619" s="16">
        <f t="shared" si="63"/>
        <v>-1.7095219253967148E-2</v>
      </c>
    </row>
    <row r="1620" spans="1:12" x14ac:dyDescent="0.35">
      <c r="A1620" s="18">
        <v>44602</v>
      </c>
      <c r="B1620" s="15">
        <v>427.45828247070313</v>
      </c>
      <c r="C1620" s="15">
        <v>72.259521484375</v>
      </c>
      <c r="D1620" s="15">
        <v>170.55999755859381</v>
      </c>
      <c r="E1620" s="15">
        <v>350.36224365234381</v>
      </c>
      <c r="F1620" s="15">
        <v>215.87750244140619</v>
      </c>
      <c r="H1620" s="16">
        <f t="shared" ref="H1620:L1683" si="65">LN(B1621/B1620)</f>
        <v>-1.9916005989203227E-2</v>
      </c>
      <c r="I1620" s="16">
        <f t="shared" si="65"/>
        <v>6.5059463694046287E-3</v>
      </c>
      <c r="J1620" s="16">
        <f t="shared" si="65"/>
        <v>1.8875607865561438E-2</v>
      </c>
      <c r="K1620" s="16">
        <f t="shared" si="64"/>
        <v>-3.2235609826833295E-2</v>
      </c>
      <c r="L1620" s="16">
        <f t="shared" si="64"/>
        <v>-1.9588104501680154E-2</v>
      </c>
    </row>
    <row r="1621" spans="1:12" x14ac:dyDescent="0.35">
      <c r="A1621" s="18">
        <v>44603</v>
      </c>
      <c r="B1621" s="15">
        <v>419.02923583984381</v>
      </c>
      <c r="C1621" s="15">
        <v>72.731170654296875</v>
      </c>
      <c r="D1621" s="15">
        <v>173.80999755859381</v>
      </c>
      <c r="E1621" s="15">
        <v>339.24819946289063</v>
      </c>
      <c r="F1621" s="15">
        <v>211.69001770019531</v>
      </c>
      <c r="H1621" s="16">
        <f t="shared" si="65"/>
        <v>-3.274587082390262E-3</v>
      </c>
      <c r="I1621" s="16">
        <f t="shared" si="65"/>
        <v>-5.644019599021749E-3</v>
      </c>
      <c r="J1621" s="16">
        <f t="shared" si="65"/>
        <v>5.3364517771820712E-3</v>
      </c>
      <c r="K1621" s="16">
        <f t="shared" si="64"/>
        <v>1.2380241905010634E-3</v>
      </c>
      <c r="L1621" s="16">
        <f t="shared" si="64"/>
        <v>-3.6848484842741131E-3</v>
      </c>
    </row>
    <row r="1622" spans="1:12" x14ac:dyDescent="0.35">
      <c r="A1622" s="18">
        <v>44606</v>
      </c>
      <c r="B1622" s="15">
        <v>417.65933227539063</v>
      </c>
      <c r="C1622" s="15">
        <v>72.321830749511719</v>
      </c>
      <c r="D1622" s="15">
        <v>174.74000549316409</v>
      </c>
      <c r="E1622" s="15">
        <v>339.66845703125</v>
      </c>
      <c r="F1622" s="15">
        <v>210.9114074707031</v>
      </c>
      <c r="H1622" s="16">
        <f t="shared" si="65"/>
        <v>1.5998278040057354E-2</v>
      </c>
      <c r="I1622" s="16">
        <f t="shared" si="65"/>
        <v>-2.0938915103606657E-3</v>
      </c>
      <c r="J1622" s="16">
        <f t="shared" si="65"/>
        <v>-9.5452603702394084E-3</v>
      </c>
      <c r="K1622" s="16">
        <f t="shared" si="64"/>
        <v>2.4560123789816198E-2</v>
      </c>
      <c r="L1622" s="16">
        <f t="shared" si="64"/>
        <v>1.762696100953607E-2</v>
      </c>
    </row>
    <row r="1623" spans="1:12" x14ac:dyDescent="0.35">
      <c r="A1623" s="18">
        <v>44607</v>
      </c>
      <c r="B1623" s="15">
        <v>424.3948974609375</v>
      </c>
      <c r="C1623" s="15">
        <v>72.170555114746094</v>
      </c>
      <c r="D1623" s="15">
        <v>173.08000183105469</v>
      </c>
      <c r="E1623" s="15">
        <v>348.11404418945313</v>
      </c>
      <c r="F1623" s="15">
        <v>214.66209411621091</v>
      </c>
      <c r="H1623" s="16">
        <f t="shared" si="65"/>
        <v>1.1201374715740203E-3</v>
      </c>
      <c r="I1623" s="16">
        <f t="shared" si="65"/>
        <v>1.3551727927669066E-3</v>
      </c>
      <c r="J1623" s="16">
        <f t="shared" si="65"/>
        <v>1.0231731307337649E-2</v>
      </c>
      <c r="K1623" s="16">
        <f t="shared" si="64"/>
        <v>-2.527714677520535E-4</v>
      </c>
      <c r="L1623" s="16">
        <f t="shared" si="64"/>
        <v>9.282661966119449E-4</v>
      </c>
    </row>
    <row r="1624" spans="1:12" x14ac:dyDescent="0.35">
      <c r="A1624" s="18">
        <v>44608</v>
      </c>
      <c r="B1624" s="15">
        <v>424.87054443359381</v>
      </c>
      <c r="C1624" s="15">
        <v>72.268424987792969</v>
      </c>
      <c r="D1624" s="15">
        <v>174.86000061035159</v>
      </c>
      <c r="E1624" s="15">
        <v>348.02606201171881</v>
      </c>
      <c r="F1624" s="15">
        <v>214.8614501953125</v>
      </c>
      <c r="H1624" s="16">
        <f t="shared" si="65"/>
        <v>-2.1592945910924852E-2</v>
      </c>
      <c r="I1624" s="16">
        <f t="shared" si="65"/>
        <v>2.2146263863125704E-3</v>
      </c>
      <c r="J1624" s="16">
        <f t="shared" si="65"/>
        <v>1.3575508168976262E-2</v>
      </c>
      <c r="K1624" s="16">
        <f t="shared" si="64"/>
        <v>-3.0195226649767513E-2</v>
      </c>
      <c r="L1624" s="16">
        <f t="shared" si="64"/>
        <v>-2.2976992908001405E-2</v>
      </c>
    </row>
    <row r="1625" spans="1:12" x14ac:dyDescent="0.35">
      <c r="A1625" s="18">
        <v>44609</v>
      </c>
      <c r="B1625" s="15">
        <v>415.794677734375</v>
      </c>
      <c r="C1625" s="15">
        <v>72.42864990234375</v>
      </c>
      <c r="D1625" s="15">
        <v>177.25</v>
      </c>
      <c r="E1625" s="15">
        <v>337.67440795898438</v>
      </c>
      <c r="F1625" s="15">
        <v>209.9808654785156</v>
      </c>
      <c r="H1625" s="16">
        <f t="shared" si="65"/>
        <v>-6.4958822818767118E-3</v>
      </c>
      <c r="I1625" s="16">
        <f t="shared" si="65"/>
        <v>1.7181446732164117E-3</v>
      </c>
      <c r="J1625" s="16">
        <f t="shared" si="65"/>
        <v>-7.3372401973172303E-4</v>
      </c>
      <c r="K1625" s="16">
        <f t="shared" si="64"/>
        <v>-1.1470868946836566E-2</v>
      </c>
      <c r="L1625" s="16">
        <f t="shared" si="64"/>
        <v>-8.0361678329041782E-3</v>
      </c>
    </row>
    <row r="1626" spans="1:12" x14ac:dyDescent="0.35">
      <c r="A1626" s="18">
        <v>44610</v>
      </c>
      <c r="B1626" s="15">
        <v>413.10247802734381</v>
      </c>
      <c r="C1626" s="15">
        <v>72.553199768066406</v>
      </c>
      <c r="D1626" s="15">
        <v>177.1199951171875</v>
      </c>
      <c r="E1626" s="15">
        <v>333.8231201171875</v>
      </c>
      <c r="F1626" s="15">
        <v>208.30018615722659</v>
      </c>
      <c r="H1626" s="16">
        <f t="shared" si="65"/>
        <v>-1.0789691976299993E-2</v>
      </c>
      <c r="I1626" s="16">
        <f t="shared" si="65"/>
        <v>-6.1314147401398691E-4</v>
      </c>
      <c r="J1626" s="16">
        <f t="shared" si="65"/>
        <v>2.0868588568965598E-3</v>
      </c>
      <c r="K1626" s="16">
        <f t="shared" si="64"/>
        <v>-1.0094369099285109E-2</v>
      </c>
      <c r="L1626" s="16">
        <f t="shared" si="64"/>
        <v>-1.155386416202085E-2</v>
      </c>
    </row>
    <row r="1627" spans="1:12" x14ac:dyDescent="0.35">
      <c r="A1627" s="18">
        <v>44614</v>
      </c>
      <c r="B1627" s="15">
        <v>408.669189453125</v>
      </c>
      <c r="C1627" s="15">
        <v>72.50872802734375</v>
      </c>
      <c r="D1627" s="15">
        <v>177.49000549316409</v>
      </c>
      <c r="E1627" s="15">
        <v>330.4703369140625</v>
      </c>
      <c r="F1627" s="15">
        <v>205.90736389160159</v>
      </c>
      <c r="H1627" s="16">
        <f t="shared" si="65"/>
        <v>-1.7897782864313684E-2</v>
      </c>
      <c r="I1627" s="16">
        <f t="shared" si="65"/>
        <v>-5.0448677328742324E-3</v>
      </c>
      <c r="J1627" s="16">
        <f t="shared" si="65"/>
        <v>4.4971001402729959E-3</v>
      </c>
      <c r="K1627" s="16">
        <f t="shared" si="64"/>
        <v>-2.5949056386112199E-2</v>
      </c>
      <c r="L1627" s="16">
        <f t="shared" si="64"/>
        <v>-1.8571163028531481E-2</v>
      </c>
    </row>
    <row r="1628" spans="1:12" x14ac:dyDescent="0.35">
      <c r="A1628" s="18">
        <v>44615</v>
      </c>
      <c r="B1628" s="15">
        <v>401.41998291015619</v>
      </c>
      <c r="C1628" s="15">
        <v>72.143852233886719</v>
      </c>
      <c r="D1628" s="15">
        <v>178.28999328613281</v>
      </c>
      <c r="E1628" s="15">
        <v>322.0052490234375</v>
      </c>
      <c r="F1628" s="15">
        <v>202.11871337890619</v>
      </c>
      <c r="H1628" s="16">
        <f t="shared" si="65"/>
        <v>1.4936925929520825E-2</v>
      </c>
      <c r="I1628" s="16">
        <f t="shared" si="65"/>
        <v>2.2177075758689872E-3</v>
      </c>
      <c r="J1628" s="16">
        <f t="shared" si="65"/>
        <v>-6.4710234538263986E-3</v>
      </c>
      <c r="K1628" s="16">
        <f t="shared" si="64"/>
        <v>3.3052133810694134E-2</v>
      </c>
      <c r="L1628" s="16">
        <f t="shared" si="64"/>
        <v>1.7371274464851524E-2</v>
      </c>
    </row>
    <row r="1629" spans="1:12" x14ac:dyDescent="0.35">
      <c r="A1629" s="18">
        <v>44616</v>
      </c>
      <c r="B1629" s="15">
        <v>407.46096801757813</v>
      </c>
      <c r="C1629" s="15">
        <v>72.304023742675781</v>
      </c>
      <c r="D1629" s="15">
        <v>177.13999938964841</v>
      </c>
      <c r="E1629" s="15">
        <v>332.8260498046875</v>
      </c>
      <c r="F1629" s="15">
        <v>205.66044616699219</v>
      </c>
      <c r="H1629" s="16">
        <f t="shared" si="65"/>
        <v>2.1824076253257902E-2</v>
      </c>
      <c r="I1629" s="16">
        <f t="shared" si="65"/>
        <v>8.6108021097092721E-4</v>
      </c>
      <c r="J1629" s="16">
        <f t="shared" si="65"/>
        <v>-3.3362372759371496E-3</v>
      </c>
      <c r="K1629" s="16">
        <f t="shared" si="64"/>
        <v>1.5388173560021898E-2</v>
      </c>
      <c r="L1629" s="16">
        <f t="shared" si="64"/>
        <v>2.2010135490175126E-2</v>
      </c>
    </row>
    <row r="1630" spans="1:12" x14ac:dyDescent="0.35">
      <c r="A1630" s="18">
        <v>44617</v>
      </c>
      <c r="B1630" s="15">
        <v>416.451171875</v>
      </c>
      <c r="C1630" s="15">
        <v>72.366310119628906</v>
      </c>
      <c r="D1630" s="15">
        <v>176.55000305175781</v>
      </c>
      <c r="E1630" s="15">
        <v>337.98724365234381</v>
      </c>
      <c r="F1630" s="15">
        <v>210.23724365234381</v>
      </c>
      <c r="H1630" s="16">
        <f t="shared" si="65"/>
        <v>-2.5618529840476787E-3</v>
      </c>
      <c r="I1630" s="16">
        <f t="shared" si="65"/>
        <v>7.351670943249785E-3</v>
      </c>
      <c r="J1630" s="16">
        <f t="shared" si="65"/>
        <v>1.0311993951243732E-2</v>
      </c>
      <c r="K1630" s="16">
        <f t="shared" si="64"/>
        <v>2.9743987699895895E-3</v>
      </c>
      <c r="L1630" s="16">
        <f t="shared" si="64"/>
        <v>-1.0846265289232221E-3</v>
      </c>
    </row>
    <row r="1631" spans="1:12" x14ac:dyDescent="0.35">
      <c r="A1631" s="18">
        <v>44620</v>
      </c>
      <c r="B1631" s="15">
        <v>415.38565063476563</v>
      </c>
      <c r="C1631" s="15">
        <v>72.900283813476563</v>
      </c>
      <c r="D1631" s="15">
        <v>178.3800048828125</v>
      </c>
      <c r="E1631" s="15">
        <v>338.99404907226563</v>
      </c>
      <c r="F1631" s="15">
        <v>210.00933837890619</v>
      </c>
      <c r="H1631" s="16">
        <f t="shared" si="65"/>
        <v>-1.5347468484996636E-2</v>
      </c>
      <c r="I1631" s="16">
        <f t="shared" si="65"/>
        <v>5.231193932736751E-3</v>
      </c>
      <c r="J1631" s="16">
        <f t="shared" si="65"/>
        <v>1.800043176575384E-2</v>
      </c>
      <c r="K1631" s="16">
        <f t="shared" si="64"/>
        <v>-1.542979014794172E-2</v>
      </c>
      <c r="L1631" s="16">
        <f t="shared" si="64"/>
        <v>-1.5721743855964858E-2</v>
      </c>
    </row>
    <row r="1632" spans="1:12" x14ac:dyDescent="0.35">
      <c r="A1632" s="18">
        <v>44621</v>
      </c>
      <c r="B1632" s="15">
        <v>409.0592041015625</v>
      </c>
      <c r="C1632" s="15">
        <v>73.282638549804688</v>
      </c>
      <c r="D1632" s="15">
        <v>181.6199951171875</v>
      </c>
      <c r="E1632" s="15">
        <v>333.8035888671875</v>
      </c>
      <c r="F1632" s="15">
        <v>206.73344421386719</v>
      </c>
      <c r="H1632" s="16">
        <f t="shared" si="65"/>
        <v>1.8229064645610599E-2</v>
      </c>
      <c r="I1632" s="16">
        <f t="shared" si="65"/>
        <v>-1.2360543128699169E-2</v>
      </c>
      <c r="J1632" s="16">
        <f t="shared" si="65"/>
        <v>-1.0460864384517033E-2</v>
      </c>
      <c r="K1632" s="16">
        <f t="shared" si="64"/>
        <v>1.6640149360645239E-2</v>
      </c>
      <c r="L1632" s="16">
        <f t="shared" si="64"/>
        <v>1.8791753799655472E-2</v>
      </c>
    </row>
    <row r="1633" spans="1:12" x14ac:dyDescent="0.35">
      <c r="A1633" s="18">
        <v>44622</v>
      </c>
      <c r="B1633" s="15">
        <v>416.5843505859375</v>
      </c>
      <c r="C1633" s="15">
        <v>72.382400512695313</v>
      </c>
      <c r="D1633" s="15">
        <v>179.72999572753909</v>
      </c>
      <c r="E1633" s="15">
        <v>339.40460205078119</v>
      </c>
      <c r="F1633" s="15">
        <v>210.6550598144531</v>
      </c>
      <c r="H1633" s="16">
        <f t="shared" si="65"/>
        <v>-4.9908831191673728E-3</v>
      </c>
      <c r="I1633" s="16">
        <f t="shared" si="65"/>
        <v>4.4228645078019527E-3</v>
      </c>
      <c r="J1633" s="16">
        <f t="shared" si="65"/>
        <v>5.9357638448756557E-3</v>
      </c>
      <c r="K1633" s="16">
        <f t="shared" si="64"/>
        <v>-1.4388085894056001E-2</v>
      </c>
      <c r="L1633" s="16">
        <f t="shared" si="64"/>
        <v>-7.6470029307911325E-3</v>
      </c>
    </row>
    <row r="1634" spans="1:12" x14ac:dyDescent="0.35">
      <c r="A1634" s="18">
        <v>44623</v>
      </c>
      <c r="B1634" s="15">
        <v>414.51040649414063</v>
      </c>
      <c r="C1634" s="15">
        <v>72.7032470703125</v>
      </c>
      <c r="D1634" s="15">
        <v>180.80000305175781</v>
      </c>
      <c r="E1634" s="15">
        <v>334.55618286132813</v>
      </c>
      <c r="F1634" s="15">
        <v>209.0503234863281</v>
      </c>
      <c r="H1634" s="16">
        <f t="shared" si="65"/>
        <v>-8.1578721934413446E-3</v>
      </c>
      <c r="I1634" s="16">
        <f t="shared" si="65"/>
        <v>3.5495455520283669E-3</v>
      </c>
      <c r="J1634" s="16">
        <f t="shared" si="65"/>
        <v>1.5803608419048869E-2</v>
      </c>
      <c r="K1634" s="16">
        <f t="shared" si="64"/>
        <v>-1.4598128700080889E-2</v>
      </c>
      <c r="L1634" s="16">
        <f t="shared" si="64"/>
        <v>-1.0042946833795875E-2</v>
      </c>
    </row>
    <row r="1635" spans="1:12" x14ac:dyDescent="0.35">
      <c r="A1635" s="18">
        <v>44624</v>
      </c>
      <c r="B1635" s="15">
        <v>411.14263916015619</v>
      </c>
      <c r="C1635" s="15">
        <v>72.961769104003906</v>
      </c>
      <c r="D1635" s="15">
        <v>183.67999267578119</v>
      </c>
      <c r="E1635" s="15">
        <v>329.707763671875</v>
      </c>
      <c r="F1635" s="15">
        <v>206.96134948730469</v>
      </c>
      <c r="H1635" s="16">
        <f t="shared" si="65"/>
        <v>-2.992227038016778E-2</v>
      </c>
      <c r="I1635" s="16">
        <f t="shared" si="65"/>
        <v>-4.8987095019775231E-3</v>
      </c>
      <c r="J1635" s="16">
        <f t="shared" si="65"/>
        <v>1.4753495270293491E-2</v>
      </c>
      <c r="K1635" s="16">
        <f t="shared" si="64"/>
        <v>-3.7578176926566308E-2</v>
      </c>
      <c r="L1635" s="16">
        <f t="shared" si="64"/>
        <v>-3.1316673465805703E-2</v>
      </c>
    </row>
    <row r="1636" spans="1:12" x14ac:dyDescent="0.35">
      <c r="A1636" s="18">
        <v>44627</v>
      </c>
      <c r="B1636" s="15">
        <v>399.02255249023438</v>
      </c>
      <c r="C1636" s="15">
        <v>72.605224609375</v>
      </c>
      <c r="D1636" s="15">
        <v>186.4100036621094</v>
      </c>
      <c r="E1636" s="15">
        <v>317.5478515625</v>
      </c>
      <c r="F1636" s="15">
        <v>200.5804443359375</v>
      </c>
      <c r="H1636" s="16">
        <f t="shared" si="65"/>
        <v>-7.6107394723523483E-3</v>
      </c>
      <c r="I1636" s="16">
        <f t="shared" si="65"/>
        <v>-4.6754369864293556E-3</v>
      </c>
      <c r="J1636" s="16">
        <f t="shared" si="65"/>
        <v>2.6991429368425874E-2</v>
      </c>
      <c r="K1636" s="16">
        <f t="shared" si="64"/>
        <v>-4.6590927199796897E-3</v>
      </c>
      <c r="L1636" s="16">
        <f t="shared" si="64"/>
        <v>-5.6492972226913022E-3</v>
      </c>
    </row>
    <row r="1637" spans="1:12" x14ac:dyDescent="0.35">
      <c r="A1637" s="18">
        <v>44628</v>
      </c>
      <c r="B1637" s="15">
        <v>395.99722290039063</v>
      </c>
      <c r="C1637" s="15">
        <v>72.266555786132813</v>
      </c>
      <c r="D1637" s="15">
        <v>191.50999450683591</v>
      </c>
      <c r="E1637" s="15">
        <v>316.07180786132813</v>
      </c>
      <c r="F1637" s="15">
        <v>199.45050048828119</v>
      </c>
      <c r="H1637" s="16">
        <f t="shared" si="65"/>
        <v>2.6457768170548995E-2</v>
      </c>
      <c r="I1637" s="16">
        <f t="shared" si="65"/>
        <v>-2.7171243759323573E-3</v>
      </c>
      <c r="J1637" s="16">
        <f t="shared" si="65"/>
        <v>-3.0161495266205304E-2</v>
      </c>
      <c r="K1637" s="16">
        <f t="shared" si="64"/>
        <v>3.536560831308988E-2</v>
      </c>
      <c r="L1637" s="16">
        <f t="shared" si="64"/>
        <v>2.7377122712773642E-2</v>
      </c>
    </row>
    <row r="1638" spans="1:12" x14ac:dyDescent="0.35">
      <c r="A1638" s="18">
        <v>44629</v>
      </c>
      <c r="B1638" s="15">
        <v>406.6142578125</v>
      </c>
      <c r="C1638" s="15">
        <v>72.070465087890625</v>
      </c>
      <c r="D1638" s="15">
        <v>185.82000732421881</v>
      </c>
      <c r="E1638" s="15">
        <v>327.44989013671881</v>
      </c>
      <c r="F1638" s="15">
        <v>204.98631286621091</v>
      </c>
      <c r="H1638" s="16">
        <f t="shared" si="65"/>
        <v>-4.5257834904817735E-3</v>
      </c>
      <c r="I1638" s="16">
        <f t="shared" si="65"/>
        <v>-5.3318650657212538E-3</v>
      </c>
      <c r="J1638" s="16">
        <f t="shared" si="65"/>
        <v>3.116366878477576E-3</v>
      </c>
      <c r="K1638" s="16">
        <f t="shared" si="64"/>
        <v>-1.1167187266257768E-2</v>
      </c>
      <c r="L1638" s="16">
        <f t="shared" si="64"/>
        <v>-4.5035062832561833E-3</v>
      </c>
    </row>
    <row r="1639" spans="1:12" x14ac:dyDescent="0.35">
      <c r="A1639" s="18">
        <v>44630</v>
      </c>
      <c r="B1639" s="15">
        <v>404.77816772460938</v>
      </c>
      <c r="C1639" s="15">
        <v>71.687217712402344</v>
      </c>
      <c r="D1639" s="15">
        <v>186.3999938964844</v>
      </c>
      <c r="E1639" s="15">
        <v>323.81353759765619</v>
      </c>
      <c r="F1639" s="15">
        <v>204.06523132324219</v>
      </c>
      <c r="H1639" s="16">
        <f t="shared" si="65"/>
        <v>-1.2796768110723443E-2</v>
      </c>
      <c r="I1639" s="16">
        <f t="shared" si="65"/>
        <v>-7.4653874923046471E-4</v>
      </c>
      <c r="J1639" s="16">
        <f t="shared" si="65"/>
        <v>-7.0526960242433649E-3</v>
      </c>
      <c r="K1639" s="16">
        <f t="shared" si="64"/>
        <v>-2.0956230006350614E-2</v>
      </c>
      <c r="L1639" s="16">
        <f t="shared" si="64"/>
        <v>-1.3680272197261863E-2</v>
      </c>
    </row>
    <row r="1640" spans="1:12" x14ac:dyDescent="0.35">
      <c r="A1640" s="18">
        <v>44631</v>
      </c>
      <c r="B1640" s="15">
        <v>399.63131713867188</v>
      </c>
      <c r="C1640" s="15">
        <v>71.633720397949219</v>
      </c>
      <c r="D1640" s="15">
        <v>185.0899963378906</v>
      </c>
      <c r="E1640" s="15">
        <v>317.09823608398438</v>
      </c>
      <c r="F1640" s="15">
        <v>201.2925720214844</v>
      </c>
      <c r="H1640" s="16">
        <f t="shared" si="65"/>
        <v>-7.3349012012246476E-3</v>
      </c>
      <c r="I1640" s="16">
        <f t="shared" si="65"/>
        <v>-9.2502769335464762E-3</v>
      </c>
      <c r="J1640" s="16">
        <f t="shared" si="65"/>
        <v>-1.5188475058141164E-2</v>
      </c>
      <c r="K1640" s="16">
        <f t="shared" si="64"/>
        <v>-1.9391427694098486E-2</v>
      </c>
      <c r="L1640" s="16">
        <f t="shared" si="64"/>
        <v>-9.9078420784430681E-3</v>
      </c>
    </row>
    <row r="1641" spans="1:12" x14ac:dyDescent="0.35">
      <c r="A1641" s="18">
        <v>44634</v>
      </c>
      <c r="B1641" s="15">
        <v>396.71078491210938</v>
      </c>
      <c r="C1641" s="15">
        <v>70.974143981933594</v>
      </c>
      <c r="D1641" s="15">
        <v>182.30000305175781</v>
      </c>
      <c r="E1641" s="15">
        <v>311.00848388671881</v>
      </c>
      <c r="F1641" s="15">
        <v>199.30804443359381</v>
      </c>
      <c r="H1641" s="16">
        <f t="shared" si="65"/>
        <v>2.1752066507791039E-2</v>
      </c>
      <c r="I1641" s="16">
        <f t="shared" si="65"/>
        <v>1.6316309017942645E-3</v>
      </c>
      <c r="J1641" s="16">
        <f t="shared" si="65"/>
        <v>-1.8882610033681319E-2</v>
      </c>
      <c r="K1641" s="16">
        <f t="shared" si="64"/>
        <v>3.0884911811173952E-2</v>
      </c>
      <c r="L1641" s="16">
        <f t="shared" si="64"/>
        <v>2.065244131025774E-2</v>
      </c>
    </row>
    <row r="1642" spans="1:12" x14ac:dyDescent="0.35">
      <c r="A1642" s="18">
        <v>44635</v>
      </c>
      <c r="B1642" s="15">
        <v>405.43460083007813</v>
      </c>
      <c r="C1642" s="15">
        <v>71.090042114257813</v>
      </c>
      <c r="D1642" s="15">
        <v>178.88999938964841</v>
      </c>
      <c r="E1642" s="15">
        <v>320.76382446289063</v>
      </c>
      <c r="F1642" s="15">
        <v>203.467041015625</v>
      </c>
      <c r="H1642" s="16">
        <f t="shared" si="65"/>
        <v>2.1931965797303627E-2</v>
      </c>
      <c r="I1642" s="16">
        <f t="shared" si="65"/>
        <v>1.5029619968598283E-3</v>
      </c>
      <c r="J1642" s="16">
        <f t="shared" si="65"/>
        <v>6.2412859954877054E-3</v>
      </c>
      <c r="K1642" s="16">
        <f t="shared" si="64"/>
        <v>3.6415396683778474E-2</v>
      </c>
      <c r="L1642" s="16">
        <f t="shared" si="64"/>
        <v>2.4706191883331063E-2</v>
      </c>
    </row>
    <row r="1643" spans="1:12" x14ac:dyDescent="0.35">
      <c r="A1643" s="18">
        <v>44636</v>
      </c>
      <c r="B1643" s="15">
        <v>414.4248046875</v>
      </c>
      <c r="C1643" s="15">
        <v>71.196968078613281</v>
      </c>
      <c r="D1643" s="15">
        <v>180.00999450683591</v>
      </c>
      <c r="E1643" s="15">
        <v>332.65985107421881</v>
      </c>
      <c r="F1643" s="15">
        <v>208.5565490722656</v>
      </c>
      <c r="H1643" s="16">
        <f t="shared" si="65"/>
        <v>1.2433182054250853E-2</v>
      </c>
      <c r="I1643" s="16">
        <f t="shared" si="65"/>
        <v>8.7639063794733775E-4</v>
      </c>
      <c r="J1643" s="16">
        <f t="shared" si="65"/>
        <v>4.8767339526550983E-3</v>
      </c>
      <c r="K1643" s="16">
        <f t="shared" si="64"/>
        <v>1.2033794353086628E-2</v>
      </c>
      <c r="L1643" s="16">
        <f t="shared" si="64"/>
        <v>1.3296813597879407E-2</v>
      </c>
    </row>
    <row r="1644" spans="1:12" x14ac:dyDescent="0.35">
      <c r="A1644" s="18">
        <v>44637</v>
      </c>
      <c r="B1644" s="15">
        <v>419.60958862304688</v>
      </c>
      <c r="C1644" s="15">
        <v>71.259391784667969</v>
      </c>
      <c r="D1644" s="15">
        <v>180.88999938964841</v>
      </c>
      <c r="E1644" s="15">
        <v>336.68719482421881</v>
      </c>
      <c r="F1644" s="15">
        <v>211.34820556640619</v>
      </c>
      <c r="H1644" s="16">
        <f t="shared" si="65"/>
        <v>1.0893292210785967E-2</v>
      </c>
      <c r="I1644" s="16">
        <f t="shared" si="65"/>
        <v>2.8723890149285466E-3</v>
      </c>
      <c r="J1644" s="16">
        <f t="shared" si="65"/>
        <v>-8.8287107078971697E-3</v>
      </c>
      <c r="K1644" s="16">
        <f t="shared" si="64"/>
        <v>2.0261206955932178E-2</v>
      </c>
      <c r="L1644" s="16">
        <f t="shared" si="64"/>
        <v>1.1613407274574578E-2</v>
      </c>
    </row>
    <row r="1645" spans="1:12" x14ac:dyDescent="0.35">
      <c r="A1645" s="18">
        <v>44638</v>
      </c>
      <c r="B1645" s="15">
        <v>424.20550537109381</v>
      </c>
      <c r="C1645" s="15">
        <v>71.464370727539063</v>
      </c>
      <c r="D1645" s="15">
        <v>179.30000305175781</v>
      </c>
      <c r="E1645" s="15">
        <v>343.57846069335938</v>
      </c>
      <c r="F1645" s="15">
        <v>213.8169860839844</v>
      </c>
      <c r="H1645" s="16">
        <f t="shared" si="65"/>
        <v>-2.9248111142104555E-4</v>
      </c>
      <c r="I1645" s="16">
        <f t="shared" si="65"/>
        <v>-1.0279538152350314E-2</v>
      </c>
      <c r="J1645" s="16">
        <f t="shared" si="65"/>
        <v>7.6117550195462401E-3</v>
      </c>
      <c r="K1645" s="16">
        <f t="shared" si="64"/>
        <v>-2.7840233644901998E-3</v>
      </c>
      <c r="L1645" s="16">
        <f t="shared" si="64"/>
        <v>-9.3294561494220742E-4</v>
      </c>
    </row>
    <row r="1646" spans="1:12" x14ac:dyDescent="0.35">
      <c r="A1646" s="18">
        <v>44641</v>
      </c>
      <c r="B1646" s="15">
        <v>424.08145141601563</v>
      </c>
      <c r="C1646" s="15">
        <v>70.733512878417969</v>
      </c>
      <c r="D1646" s="15">
        <v>180.66999816894531</v>
      </c>
      <c r="E1646" s="15">
        <v>342.62326049804688</v>
      </c>
      <c r="F1646" s="15">
        <v>213.61759948730469</v>
      </c>
      <c r="H1646" s="16">
        <f t="shared" si="65"/>
        <v>1.1633668870170734E-2</v>
      </c>
      <c r="I1646" s="16">
        <f t="shared" si="65"/>
        <v>-2.52324746183571E-3</v>
      </c>
      <c r="J1646" s="16">
        <f t="shared" si="65"/>
        <v>-7.2771899242424143E-3</v>
      </c>
      <c r="K1646" s="16">
        <f t="shared" si="64"/>
        <v>1.9462130181553017E-2</v>
      </c>
      <c r="L1646" s="16">
        <f t="shared" si="64"/>
        <v>1.2193525861590369E-2</v>
      </c>
    </row>
    <row r="1647" spans="1:12" x14ac:dyDescent="0.35">
      <c r="A1647" s="18">
        <v>44642</v>
      </c>
      <c r="B1647" s="15">
        <v>429.04388427734381</v>
      </c>
      <c r="C1647" s="15">
        <v>70.555259704589844</v>
      </c>
      <c r="D1647" s="15">
        <v>179.36000061035159</v>
      </c>
      <c r="E1647" s="15">
        <v>349.35675048828119</v>
      </c>
      <c r="F1647" s="15">
        <v>216.23829650878909</v>
      </c>
      <c r="H1647" s="16">
        <f t="shared" si="65"/>
        <v>-1.2962170424361276E-2</v>
      </c>
      <c r="I1647" s="16">
        <f t="shared" si="65"/>
        <v>4.5370345354531416E-3</v>
      </c>
      <c r="J1647" s="16">
        <f t="shared" si="65"/>
        <v>1.3567209576051686E-2</v>
      </c>
      <c r="K1647" s="16">
        <f t="shared" si="64"/>
        <v>-1.4475687205592471E-2</v>
      </c>
      <c r="L1647" s="16">
        <f t="shared" si="64"/>
        <v>-1.3713433349920928E-2</v>
      </c>
    </row>
    <row r="1648" spans="1:12" x14ac:dyDescent="0.35">
      <c r="A1648" s="18">
        <v>44643</v>
      </c>
      <c r="B1648" s="15">
        <v>423.5184326171875</v>
      </c>
      <c r="C1648" s="15">
        <v>70.8760986328125</v>
      </c>
      <c r="D1648" s="15">
        <v>181.80999755859381</v>
      </c>
      <c r="E1648" s="15">
        <v>344.33599853515619</v>
      </c>
      <c r="F1648" s="15">
        <v>213.29316711425781</v>
      </c>
      <c r="H1648" s="16">
        <f t="shared" si="65"/>
        <v>1.496181857117921E-2</v>
      </c>
      <c r="I1648" s="16">
        <f t="shared" si="65"/>
        <v>-1.2577509052888738E-3</v>
      </c>
      <c r="J1648" s="16">
        <f t="shared" si="65"/>
        <v>7.234137513108389E-3</v>
      </c>
      <c r="K1648" s="16">
        <f t="shared" si="64"/>
        <v>2.1983257154914899E-2</v>
      </c>
      <c r="L1648" s="16">
        <f t="shared" si="64"/>
        <v>1.4144913912722596E-2</v>
      </c>
    </row>
    <row r="1649" spans="1:12" x14ac:dyDescent="0.35">
      <c r="A1649" s="18">
        <v>44644</v>
      </c>
      <c r="B1649" s="15">
        <v>429.90267944335938</v>
      </c>
      <c r="C1649" s="15">
        <v>70.787010192871094</v>
      </c>
      <c r="D1649" s="15">
        <v>183.1300048828125</v>
      </c>
      <c r="E1649" s="15">
        <v>351.98944091796881</v>
      </c>
      <c r="F1649" s="15">
        <v>216.33161926269531</v>
      </c>
      <c r="H1649" s="16">
        <f t="shared" si="65"/>
        <v>4.871818298288943E-3</v>
      </c>
      <c r="I1649" s="16">
        <f t="shared" si="65"/>
        <v>-8.8531806319864931E-3</v>
      </c>
      <c r="J1649" s="16">
        <f t="shared" si="65"/>
        <v>-4.1038605376913289E-3</v>
      </c>
      <c r="K1649" s="16">
        <f t="shared" si="64"/>
        <v>-8.3449134939058453E-4</v>
      </c>
      <c r="L1649" s="16">
        <f t="shared" si="64"/>
        <v>4.2619655018579922E-3</v>
      </c>
    </row>
    <row r="1650" spans="1:12" x14ac:dyDescent="0.35">
      <c r="A1650" s="18">
        <v>44645</v>
      </c>
      <c r="B1650" s="15">
        <v>432.002197265625</v>
      </c>
      <c r="C1650" s="15">
        <v>70.1630859375</v>
      </c>
      <c r="D1650" s="15">
        <v>182.3800048828125</v>
      </c>
      <c r="E1650" s="15">
        <v>351.69583129882813</v>
      </c>
      <c r="F1650" s="15">
        <v>217.2555847167969</v>
      </c>
      <c r="H1650" s="16">
        <f t="shared" si="65"/>
        <v>7.0877835833443046E-3</v>
      </c>
      <c r="I1650" s="16">
        <f t="shared" si="65"/>
        <v>2.9174218471428428E-3</v>
      </c>
      <c r="J1650" s="16">
        <f t="shared" si="65"/>
        <v>-1.8371517706820755E-2</v>
      </c>
      <c r="K1650" s="16">
        <f t="shared" si="64"/>
        <v>1.5353782209456525E-2</v>
      </c>
      <c r="L1650" s="16">
        <f t="shared" si="64"/>
        <v>6.4677032194605756E-3</v>
      </c>
    </row>
    <row r="1651" spans="1:12" x14ac:dyDescent="0.35">
      <c r="A1651" s="18">
        <v>44648</v>
      </c>
      <c r="B1651" s="15">
        <v>435.07501220703119</v>
      </c>
      <c r="C1651" s="15">
        <v>70.368080139160156</v>
      </c>
      <c r="D1651" s="15">
        <v>179.05999755859381</v>
      </c>
      <c r="E1651" s="15">
        <v>357.13735961914063</v>
      </c>
      <c r="F1651" s="15">
        <v>218.665283203125</v>
      </c>
      <c r="H1651" s="16">
        <f t="shared" si="65"/>
        <v>1.2294991427039091E-2</v>
      </c>
      <c r="I1651" s="16">
        <f t="shared" si="65"/>
        <v>4.4235461958673237E-3</v>
      </c>
      <c r="J1651" s="16">
        <f t="shared" si="65"/>
        <v>4.4668806848930796E-4</v>
      </c>
      <c r="K1651" s="16">
        <f t="shared" si="64"/>
        <v>1.7063243427954379E-2</v>
      </c>
      <c r="L1651" s="16">
        <f t="shared" si="64"/>
        <v>1.5045163775267595E-2</v>
      </c>
    </row>
    <row r="1652" spans="1:12" x14ac:dyDescent="0.35">
      <c r="A1652" s="18">
        <v>44649</v>
      </c>
      <c r="B1652" s="15">
        <v>440.457275390625</v>
      </c>
      <c r="C1652" s="15">
        <v>70.680046081542969</v>
      </c>
      <c r="D1652" s="15">
        <v>179.13999938964841</v>
      </c>
      <c r="E1652" s="15">
        <v>363.2835693359375</v>
      </c>
      <c r="F1652" s="15">
        <v>221.9800109863281</v>
      </c>
      <c r="H1652" s="16">
        <f t="shared" si="65"/>
        <v>-6.1939920277182025E-3</v>
      </c>
      <c r="I1652" s="16">
        <f t="shared" si="65"/>
        <v>2.2670314090500977E-3</v>
      </c>
      <c r="J1652" s="16">
        <f t="shared" si="65"/>
        <v>8.0062833792575953E-3</v>
      </c>
      <c r="K1652" s="16">
        <f t="shared" si="64"/>
        <v>-1.1106829494305566E-2</v>
      </c>
      <c r="L1652" s="16">
        <f t="shared" si="64"/>
        <v>-8.1430856622325409E-3</v>
      </c>
    </row>
    <row r="1653" spans="1:12" x14ac:dyDescent="0.35">
      <c r="A1653" s="18">
        <v>44650</v>
      </c>
      <c r="B1653" s="15">
        <v>437.73751831054688</v>
      </c>
      <c r="C1653" s="15">
        <v>70.840461730957031</v>
      </c>
      <c r="D1653" s="15">
        <v>180.58000183105469</v>
      </c>
      <c r="E1653" s="15">
        <v>359.27096557617188</v>
      </c>
      <c r="F1653" s="15">
        <v>220.17974853515619</v>
      </c>
      <c r="H1653" s="16">
        <f t="shared" si="65"/>
        <v>-1.5510800921707842E-2</v>
      </c>
      <c r="I1653" s="16">
        <f t="shared" si="65"/>
        <v>7.5457234945869322E-4</v>
      </c>
      <c r="J1653" s="16">
        <f t="shared" si="65"/>
        <v>3.8752078804899328E-4</v>
      </c>
      <c r="K1653" s="16">
        <f t="shared" si="64"/>
        <v>-1.247217788736096E-2</v>
      </c>
      <c r="L1653" s="16">
        <f t="shared" si="64"/>
        <v>-1.5212810725953129E-2</v>
      </c>
    </row>
    <row r="1654" spans="1:12" x14ac:dyDescent="0.35">
      <c r="A1654" s="18">
        <v>44651</v>
      </c>
      <c r="B1654" s="15">
        <v>431.000244140625</v>
      </c>
      <c r="C1654" s="15">
        <v>70.893936157226563</v>
      </c>
      <c r="D1654" s="15">
        <v>180.6499938964844</v>
      </c>
      <c r="E1654" s="15">
        <v>354.81790161132813</v>
      </c>
      <c r="F1654" s="15">
        <v>216.85554504394531</v>
      </c>
      <c r="H1654" s="16">
        <f t="shared" si="65"/>
        <v>2.8298062859780817E-3</v>
      </c>
      <c r="I1654" s="16">
        <f t="shared" si="65"/>
        <v>-2.170190521414493E-3</v>
      </c>
      <c r="J1654" s="16">
        <f t="shared" si="65"/>
        <v>-6.3862158789015815E-3</v>
      </c>
      <c r="K1654" s="16">
        <f t="shared" si="64"/>
        <v>-1.9050233777743863E-3</v>
      </c>
      <c r="L1654" s="16">
        <f t="shared" si="64"/>
        <v>3.9890511261065067E-3</v>
      </c>
    </row>
    <row r="1655" spans="1:12" x14ac:dyDescent="0.35">
      <c r="A1655" s="18">
        <v>44652</v>
      </c>
      <c r="B1655" s="15">
        <v>432.22161865234381</v>
      </c>
      <c r="C1655" s="15">
        <v>70.740249633789063</v>
      </c>
      <c r="D1655" s="15">
        <v>179.5</v>
      </c>
      <c r="E1655" s="15">
        <v>354.14260864257813</v>
      </c>
      <c r="F1655" s="15">
        <v>217.7223205566406</v>
      </c>
      <c r="H1655" s="16">
        <f t="shared" si="65"/>
        <v>8.5301792158731463E-3</v>
      </c>
      <c r="I1655" s="16">
        <f t="shared" si="65"/>
        <v>7.577962733836711E-4</v>
      </c>
      <c r="J1655" s="16">
        <f t="shared" si="65"/>
        <v>4.8350616826839249E-3</v>
      </c>
      <c r="K1655" s="16">
        <f t="shared" si="64"/>
        <v>2.0379491383863774E-2</v>
      </c>
      <c r="L1655" s="16">
        <f t="shared" si="64"/>
        <v>8.451324623517352E-3</v>
      </c>
    </row>
    <row r="1656" spans="1:12" x14ac:dyDescent="0.35">
      <c r="A1656" s="18">
        <v>44655</v>
      </c>
      <c r="B1656" s="15">
        <v>435.92431640625</v>
      </c>
      <c r="C1656" s="15">
        <v>70.793876647949219</v>
      </c>
      <c r="D1656" s="15">
        <v>180.3699951171875</v>
      </c>
      <c r="E1656" s="15">
        <v>361.43389892578119</v>
      </c>
      <c r="F1656" s="15">
        <v>219.5701599121094</v>
      </c>
      <c r="H1656" s="16">
        <f t="shared" si="65"/>
        <v>-1.2711814224241409E-2</v>
      </c>
      <c r="I1656" s="16">
        <f t="shared" si="65"/>
        <v>-1.0148426901684415E-2</v>
      </c>
      <c r="J1656" s="16">
        <f t="shared" si="65"/>
        <v>-6.2845490460990382E-3</v>
      </c>
      <c r="K1656" s="16">
        <f t="shared" si="64"/>
        <v>-2.2454537518697637E-2</v>
      </c>
      <c r="L1656" s="16">
        <f t="shared" si="64"/>
        <v>-1.472706887902578E-2</v>
      </c>
    </row>
    <row r="1657" spans="1:12" x14ac:dyDescent="0.35">
      <c r="A1657" s="18">
        <v>44656</v>
      </c>
      <c r="B1657" s="15">
        <v>430.41799926757813</v>
      </c>
      <c r="C1657" s="15">
        <v>70.079063415527344</v>
      </c>
      <c r="D1657" s="15">
        <v>179.24000549316409</v>
      </c>
      <c r="E1657" s="15">
        <v>353.40850830078119</v>
      </c>
      <c r="F1657" s="15">
        <v>216.3602294921875</v>
      </c>
      <c r="H1657" s="16">
        <f t="shared" si="65"/>
        <v>-1.0049664789578704E-2</v>
      </c>
      <c r="I1657" s="16">
        <f t="shared" si="65"/>
        <v>-3.0650917990044072E-3</v>
      </c>
      <c r="J1657" s="16">
        <f t="shared" si="65"/>
        <v>2.3404756196963713E-3</v>
      </c>
      <c r="K1657" s="16">
        <f t="shared" si="64"/>
        <v>-2.1950679564713436E-2</v>
      </c>
      <c r="L1657" s="16">
        <f t="shared" si="64"/>
        <v>-1.1556725403332161E-2</v>
      </c>
    </row>
    <row r="1658" spans="1:12" x14ac:dyDescent="0.35">
      <c r="A1658" s="18">
        <v>44657</v>
      </c>
      <c r="B1658" s="15">
        <v>426.11410522460938</v>
      </c>
      <c r="C1658" s="15">
        <v>69.864593505859375</v>
      </c>
      <c r="D1658" s="15">
        <v>179.6600036621094</v>
      </c>
      <c r="E1658" s="15">
        <v>345.7354736328125</v>
      </c>
      <c r="F1658" s="15">
        <v>213.87420654296881</v>
      </c>
      <c r="H1658" s="16">
        <f t="shared" si="65"/>
        <v>5.0263404308623751E-3</v>
      </c>
      <c r="I1658" s="16">
        <f t="shared" si="65"/>
        <v>-2.0482251027236532E-3</v>
      </c>
      <c r="J1658" s="16">
        <f t="shared" si="65"/>
        <v>3.7777415804504692E-3</v>
      </c>
      <c r="K1658" s="16">
        <f t="shared" si="64"/>
        <v>2.3752206499268336E-3</v>
      </c>
      <c r="L1658" s="16">
        <f t="shared" si="64"/>
        <v>3.77833103995091E-3</v>
      </c>
    </row>
    <row r="1659" spans="1:12" x14ac:dyDescent="0.35">
      <c r="A1659" s="18">
        <v>44658</v>
      </c>
      <c r="B1659" s="15">
        <v>428.26129150390619</v>
      </c>
      <c r="C1659" s="15">
        <v>69.721641540527344</v>
      </c>
      <c r="D1659" s="15">
        <v>180.3399963378906</v>
      </c>
      <c r="E1659" s="15">
        <v>346.55764770507813</v>
      </c>
      <c r="F1659" s="15">
        <v>214.68382263183591</v>
      </c>
      <c r="H1659" s="16">
        <f t="shared" si="65"/>
        <v>-2.6776563122709865E-3</v>
      </c>
      <c r="I1659" s="16">
        <f t="shared" si="65"/>
        <v>-5.3970078865117265E-3</v>
      </c>
      <c r="J1659" s="16">
        <f t="shared" si="65"/>
        <v>6.2464197486159318E-3</v>
      </c>
      <c r="K1659" s="16">
        <f t="shared" si="64"/>
        <v>-1.4077757001455792E-2</v>
      </c>
      <c r="L1659" s="16">
        <f t="shared" si="64"/>
        <v>-3.1104824190580477E-3</v>
      </c>
    </row>
    <row r="1660" spans="1:12" x14ac:dyDescent="0.35">
      <c r="A1660" s="18">
        <v>44659</v>
      </c>
      <c r="B1660" s="15">
        <v>427.1160888671875</v>
      </c>
      <c r="C1660" s="15">
        <v>69.346366882324219</v>
      </c>
      <c r="D1660" s="15">
        <v>181.4700012207031</v>
      </c>
      <c r="E1660" s="15">
        <v>341.71307373046881</v>
      </c>
      <c r="F1660" s="15">
        <v>214.01708984375</v>
      </c>
      <c r="H1660" s="16">
        <f t="shared" si="65"/>
        <v>-1.723988597620519E-2</v>
      </c>
      <c r="I1660" s="16">
        <f t="shared" si="65"/>
        <v>-4.6497301630991994E-3</v>
      </c>
      <c r="J1660" s="16">
        <f t="shared" si="65"/>
        <v>4.9472061408501154E-3</v>
      </c>
      <c r="K1660" s="16">
        <f t="shared" si="64"/>
        <v>-2.3941554242734801E-2</v>
      </c>
      <c r="L1660" s="16">
        <f t="shared" si="64"/>
        <v>-1.5744844179533646E-2</v>
      </c>
    </row>
    <row r="1661" spans="1:12" x14ac:dyDescent="0.35">
      <c r="A1661" s="18">
        <v>44662</v>
      </c>
      <c r="B1661" s="15">
        <v>419.81576538085938</v>
      </c>
      <c r="C1661" s="15">
        <v>69.024673461914063</v>
      </c>
      <c r="D1661" s="15">
        <v>182.3699951171875</v>
      </c>
      <c r="E1661" s="15">
        <v>333.62908935546881</v>
      </c>
      <c r="F1661" s="15">
        <v>210.67381286621091</v>
      </c>
      <c r="H1661" s="16">
        <f t="shared" si="65"/>
        <v>-3.7121054057658491E-3</v>
      </c>
      <c r="I1661" s="16">
        <f t="shared" si="65"/>
        <v>3.2312441401134641E-3</v>
      </c>
      <c r="J1661" s="16">
        <f t="shared" si="65"/>
        <v>7.6474353017587223E-3</v>
      </c>
      <c r="K1661" s="16">
        <f t="shared" si="64"/>
        <v>-4.2334717089923118E-3</v>
      </c>
      <c r="L1661" s="16">
        <f t="shared" si="64"/>
        <v>-3.0791082943905511E-3</v>
      </c>
    </row>
    <row r="1662" spans="1:12" x14ac:dyDescent="0.35">
      <c r="A1662" s="18">
        <v>44663</v>
      </c>
      <c r="B1662" s="15">
        <v>418.26025390625</v>
      </c>
      <c r="C1662" s="15">
        <v>69.248069763183594</v>
      </c>
      <c r="D1662" s="15">
        <v>183.77000427246091</v>
      </c>
      <c r="E1662" s="15">
        <v>332.21966552734381</v>
      </c>
      <c r="F1662" s="15">
        <v>210.026123046875</v>
      </c>
      <c r="H1662" s="16">
        <f t="shared" si="65"/>
        <v>1.1388510571245587E-2</v>
      </c>
      <c r="I1662" s="16">
        <f t="shared" si="65"/>
        <v>1.1608991615061105E-3</v>
      </c>
      <c r="J1662" s="16">
        <f t="shared" si="65"/>
        <v>4.7771092877698373E-3</v>
      </c>
      <c r="K1662" s="16">
        <f t="shared" si="64"/>
        <v>2.0123230875164298E-2</v>
      </c>
      <c r="L1662" s="16">
        <f t="shared" si="64"/>
        <v>1.3021322102389446E-2</v>
      </c>
    </row>
    <row r="1663" spans="1:12" x14ac:dyDescent="0.35">
      <c r="A1663" s="18">
        <v>44664</v>
      </c>
      <c r="B1663" s="15">
        <v>423.05084228515619</v>
      </c>
      <c r="C1663" s="15">
        <v>69.328506469726563</v>
      </c>
      <c r="D1663" s="15">
        <v>184.6499938964844</v>
      </c>
      <c r="E1663" s="15">
        <v>338.97271728515619</v>
      </c>
      <c r="F1663" s="15">
        <v>212.77882385253909</v>
      </c>
      <c r="H1663" s="16">
        <f t="shared" si="65"/>
        <v>-1.2530013370018404E-2</v>
      </c>
      <c r="I1663" s="16">
        <f t="shared" si="65"/>
        <v>-6.8544962942014218E-3</v>
      </c>
      <c r="J1663" s="16">
        <f t="shared" si="65"/>
        <v>-3.309019437270788E-3</v>
      </c>
      <c r="K1663" s="16">
        <f t="shared" si="64"/>
        <v>-2.3132575022568002E-2</v>
      </c>
      <c r="L1663" s="16">
        <f t="shared" si="64"/>
        <v>-1.225056499276527E-2</v>
      </c>
    </row>
    <row r="1664" spans="1:12" x14ac:dyDescent="0.35">
      <c r="A1664" s="18">
        <v>44665</v>
      </c>
      <c r="B1664" s="15">
        <v>417.7830810546875</v>
      </c>
      <c r="C1664" s="15">
        <v>68.85491943359375</v>
      </c>
      <c r="D1664" s="15">
        <v>184.03999328613281</v>
      </c>
      <c r="E1664" s="15">
        <v>331.22140502929688</v>
      </c>
      <c r="F1664" s="15">
        <v>210.18806457519531</v>
      </c>
      <c r="H1664" s="16">
        <f t="shared" si="65"/>
        <v>4.110940531016242E-4</v>
      </c>
      <c r="I1664" s="16">
        <f t="shared" si="65"/>
        <v>-3.2495016974953069E-3</v>
      </c>
      <c r="J1664" s="16">
        <f t="shared" si="65"/>
        <v>3.0924062818564585E-3</v>
      </c>
      <c r="K1664" s="16">
        <f t="shared" si="64"/>
        <v>7.6775499273000372E-4</v>
      </c>
      <c r="L1664" s="16">
        <f t="shared" si="64"/>
        <v>-1.7236041928575651E-3</v>
      </c>
    </row>
    <row r="1665" spans="1:12" x14ac:dyDescent="0.35">
      <c r="A1665" s="18">
        <v>44669</v>
      </c>
      <c r="B1665" s="15">
        <v>417.95486450195313</v>
      </c>
      <c r="C1665" s="15">
        <v>68.631538391113281</v>
      </c>
      <c r="D1665" s="15">
        <v>184.61000061035159</v>
      </c>
      <c r="E1665" s="15">
        <v>331.47579956054688</v>
      </c>
      <c r="F1665" s="15">
        <v>209.82609558105469</v>
      </c>
      <c r="H1665" s="16">
        <f t="shared" si="65"/>
        <v>1.6013714856252054E-2</v>
      </c>
      <c r="I1665" s="16">
        <f t="shared" si="65"/>
        <v>-6.2684992712055947E-3</v>
      </c>
      <c r="J1665" s="16">
        <f t="shared" si="65"/>
        <v>-1.5228268112133661E-2</v>
      </c>
      <c r="K1665" s="16">
        <f t="shared" si="64"/>
        <v>2.210487079095895E-2</v>
      </c>
      <c r="L1665" s="16">
        <f t="shared" si="64"/>
        <v>1.7459814887825179E-2</v>
      </c>
    </row>
    <row r="1666" spans="1:12" x14ac:dyDescent="0.35">
      <c r="A1666" s="18">
        <v>44670</v>
      </c>
      <c r="B1666" s="15">
        <v>424.70175170898438</v>
      </c>
      <c r="C1666" s="15">
        <v>68.202667236328125</v>
      </c>
      <c r="D1666" s="15">
        <v>181.82000732421881</v>
      </c>
      <c r="E1666" s="15">
        <v>338.88461303710938</v>
      </c>
      <c r="F1666" s="15">
        <v>213.52178955078119</v>
      </c>
      <c r="H1666" s="16">
        <f t="shared" si="65"/>
        <v>-7.4169027114887596E-4</v>
      </c>
      <c r="I1666" s="16">
        <f t="shared" si="65"/>
        <v>6.2684992712056329E-3</v>
      </c>
      <c r="J1666" s="16">
        <f t="shared" si="65"/>
        <v>4.8830061930917783E-3</v>
      </c>
      <c r="K1666" s="16">
        <f t="shared" si="64"/>
        <v>-1.4691934458099899E-2</v>
      </c>
      <c r="L1666" s="16">
        <f t="shared" si="64"/>
        <v>-1.2945937224853943E-3</v>
      </c>
    </row>
    <row r="1667" spans="1:12" x14ac:dyDescent="0.35">
      <c r="A1667" s="18">
        <v>44671</v>
      </c>
      <c r="B1667" s="15">
        <v>424.38687133789063</v>
      </c>
      <c r="C1667" s="15">
        <v>68.631538391113281</v>
      </c>
      <c r="D1667" s="15">
        <v>182.71000671386719</v>
      </c>
      <c r="E1667" s="15">
        <v>333.942138671875</v>
      </c>
      <c r="F1667" s="15">
        <v>213.24554443359381</v>
      </c>
      <c r="H1667" s="16">
        <f t="shared" si="65"/>
        <v>-1.5066650417728216E-2</v>
      </c>
      <c r="I1667" s="16">
        <f t="shared" si="65"/>
        <v>-5.3523089262261306E-3</v>
      </c>
      <c r="J1667" s="16">
        <f t="shared" si="65"/>
        <v>-3.5639435023598898E-3</v>
      </c>
      <c r="K1667" s="16">
        <f t="shared" si="64"/>
        <v>-2.0907902439649999E-2</v>
      </c>
      <c r="L1667" s="16">
        <f t="shared" si="64"/>
        <v>-1.6483135718390284E-2</v>
      </c>
    </row>
    <row r="1668" spans="1:12" x14ac:dyDescent="0.35">
      <c r="A1668" s="18">
        <v>44672</v>
      </c>
      <c r="B1668" s="15">
        <v>418.04071044921881</v>
      </c>
      <c r="C1668" s="15">
        <v>68.265182495117188</v>
      </c>
      <c r="D1668" s="15">
        <v>182.05999755859381</v>
      </c>
      <c r="E1668" s="15">
        <v>327.0325927734375</v>
      </c>
      <c r="F1668" s="15">
        <v>209.7593994140625</v>
      </c>
      <c r="H1668" s="16">
        <f t="shared" si="65"/>
        <v>-2.7822462118812636E-2</v>
      </c>
      <c r="I1668" s="16">
        <f t="shared" si="65"/>
        <v>-1.3093562451292323E-3</v>
      </c>
      <c r="J1668" s="16">
        <f t="shared" si="65"/>
        <v>-9.7696613524011523E-3</v>
      </c>
      <c r="K1668" s="16">
        <f t="shared" si="64"/>
        <v>-2.6534909035698311E-2</v>
      </c>
      <c r="L1668" s="16">
        <f t="shared" si="64"/>
        <v>-2.7623374945267259E-2</v>
      </c>
    </row>
    <row r="1669" spans="1:12" x14ac:dyDescent="0.35">
      <c r="A1669" s="18">
        <v>44673</v>
      </c>
      <c r="B1669" s="15">
        <v>406.57009887695313</v>
      </c>
      <c r="C1669" s="15">
        <v>68.175857543945313</v>
      </c>
      <c r="D1669" s="15">
        <v>180.28999328613281</v>
      </c>
      <c r="E1669" s="15">
        <v>318.46893310546881</v>
      </c>
      <c r="F1669" s="15">
        <v>204.04443359375</v>
      </c>
      <c r="H1669" s="16">
        <f t="shared" si="65"/>
        <v>5.7806748406169723E-3</v>
      </c>
      <c r="I1669" s="16">
        <f t="shared" si="65"/>
        <v>6.271512642787057E-3</v>
      </c>
      <c r="J1669" s="16">
        <f t="shared" si="65"/>
        <v>-1.8134432520229594E-2</v>
      </c>
      <c r="K1669" s="16">
        <f t="shared" si="64"/>
        <v>1.2764039668346154E-2</v>
      </c>
      <c r="L1669" s="16">
        <f t="shared" si="64"/>
        <v>5.4467459892466796E-3</v>
      </c>
    </row>
    <row r="1670" spans="1:12" x14ac:dyDescent="0.35">
      <c r="A1670" s="18">
        <v>44676</v>
      </c>
      <c r="B1670" s="15">
        <v>408.92715454101563</v>
      </c>
      <c r="C1670" s="15">
        <v>68.604766845703125</v>
      </c>
      <c r="D1670" s="15">
        <v>177.05000305175781</v>
      </c>
      <c r="E1670" s="15">
        <v>322.5599365234375</v>
      </c>
      <c r="F1670" s="15">
        <v>205.1588439941406</v>
      </c>
      <c r="H1670" s="16">
        <f t="shared" si="65"/>
        <v>-2.9388536377368085E-2</v>
      </c>
      <c r="I1670" s="16">
        <f t="shared" si="65"/>
        <v>2.6008822204726077E-3</v>
      </c>
      <c r="J1670" s="16">
        <f t="shared" si="65"/>
        <v>1.5238553873302442E-3</v>
      </c>
      <c r="K1670" s="16">
        <f t="shared" si="64"/>
        <v>-3.8475868077762813E-2</v>
      </c>
      <c r="L1670" s="16">
        <f t="shared" si="64"/>
        <v>-2.8920688669354634E-2</v>
      </c>
    </row>
    <row r="1671" spans="1:12" x14ac:dyDescent="0.35">
      <c r="A1671" s="18">
        <v>44677</v>
      </c>
      <c r="B1671" s="15">
        <v>397.08425903320313</v>
      </c>
      <c r="C1671" s="15">
        <v>68.783432006835938</v>
      </c>
      <c r="D1671" s="15">
        <v>177.32000732421881</v>
      </c>
      <c r="E1671" s="15">
        <v>310.3848876953125</v>
      </c>
      <c r="F1671" s="15">
        <v>199.31048583984381</v>
      </c>
      <c r="H1671" s="16">
        <f t="shared" si="65"/>
        <v>2.807917346951982E-3</v>
      </c>
      <c r="I1671" s="16">
        <f t="shared" si="65"/>
        <v>-3.1225835034877293E-3</v>
      </c>
      <c r="J1671" s="16">
        <f t="shared" si="65"/>
        <v>-7.5857232426339112E-3</v>
      </c>
      <c r="K1671" s="16">
        <f t="shared" si="64"/>
        <v>-1.1989653560757457E-3</v>
      </c>
      <c r="L1671" s="16">
        <f t="shared" si="64"/>
        <v>1.9575053197829415E-3</v>
      </c>
    </row>
    <row r="1672" spans="1:12" x14ac:dyDescent="0.35">
      <c r="A1672" s="18">
        <v>44678</v>
      </c>
      <c r="B1672" s="15">
        <v>398.2008056640625</v>
      </c>
      <c r="C1672" s="15">
        <v>68.568984985351563</v>
      </c>
      <c r="D1672" s="15">
        <v>175.97999572753909</v>
      </c>
      <c r="E1672" s="15">
        <v>310.01296997070313</v>
      </c>
      <c r="F1672" s="15">
        <v>199.7010192871094</v>
      </c>
      <c r="H1672" s="16">
        <f t="shared" si="65"/>
        <v>2.4945817111198913E-2</v>
      </c>
      <c r="I1672" s="16">
        <f t="shared" si="65"/>
        <v>-3.908424507320447E-4</v>
      </c>
      <c r="J1672" s="16">
        <f t="shared" si="65"/>
        <v>5.383804789462575E-3</v>
      </c>
      <c r="K1672" s="16">
        <f t="shared" si="64"/>
        <v>3.4899904200760383E-2</v>
      </c>
      <c r="L1672" s="16">
        <f t="shared" si="64"/>
        <v>2.4080552436403561E-2</v>
      </c>
    </row>
    <row r="1673" spans="1:12" x14ac:dyDescent="0.35">
      <c r="A1673" s="18">
        <v>44679</v>
      </c>
      <c r="B1673" s="15">
        <v>408.25918579101563</v>
      </c>
      <c r="C1673" s="15">
        <v>68.542190551757813</v>
      </c>
      <c r="D1673" s="15">
        <v>176.92999267578119</v>
      </c>
      <c r="E1673" s="15">
        <v>321.02340698242188</v>
      </c>
      <c r="F1673" s="15">
        <v>204.56829833984381</v>
      </c>
      <c r="H1673" s="16">
        <f t="shared" si="65"/>
        <v>-3.7655840487256717E-2</v>
      </c>
      <c r="I1673" s="16">
        <f t="shared" si="65"/>
        <v>-6.8019385249564381E-3</v>
      </c>
      <c r="J1673" s="16">
        <f t="shared" si="65"/>
        <v>-1.1298334784049397E-4</v>
      </c>
      <c r="K1673" s="16">
        <f t="shared" si="64"/>
        <v>-4.6042716613885995E-2</v>
      </c>
      <c r="L1673" s="16">
        <f t="shared" si="64"/>
        <v>-3.7428735833275155E-2</v>
      </c>
    </row>
    <row r="1674" spans="1:12" x14ac:dyDescent="0.35">
      <c r="A1674" s="18">
        <v>44680</v>
      </c>
      <c r="B1674" s="15">
        <v>393.17169189453119</v>
      </c>
      <c r="C1674" s="15">
        <v>68.077552795410156</v>
      </c>
      <c r="D1674" s="15">
        <v>176.9100036621094</v>
      </c>
      <c r="E1674" s="15">
        <v>306.57772827148438</v>
      </c>
      <c r="F1674" s="15">
        <v>197.05308532714841</v>
      </c>
      <c r="H1674" s="16">
        <f t="shared" si="65"/>
        <v>6.0013836440307687E-3</v>
      </c>
      <c r="I1674" s="16">
        <f t="shared" si="65"/>
        <v>-5.1280749120188058E-3</v>
      </c>
      <c r="J1674" s="16">
        <f t="shared" si="65"/>
        <v>-1.8714522902945094E-2</v>
      </c>
      <c r="K1674" s="16">
        <f t="shared" si="64"/>
        <v>1.6558056326422033E-2</v>
      </c>
      <c r="L1674" s="16">
        <f t="shared" si="64"/>
        <v>7.5122469442826124E-3</v>
      </c>
    </row>
    <row r="1675" spans="1:12" x14ac:dyDescent="0.35">
      <c r="A1675" s="18">
        <v>44683</v>
      </c>
      <c r="B1675" s="15">
        <v>395.53836059570313</v>
      </c>
      <c r="C1675" s="15">
        <v>67.729339599609375</v>
      </c>
      <c r="D1675" s="15">
        <v>173.6300048828125</v>
      </c>
      <c r="E1675" s="15">
        <v>311.69631958007813</v>
      </c>
      <c r="F1675" s="15">
        <v>198.5389709472656</v>
      </c>
      <c r="H1675" s="16">
        <f t="shared" si="65"/>
        <v>4.5735847166197613E-3</v>
      </c>
      <c r="I1675" s="16">
        <f t="shared" si="65"/>
        <v>2.3760193329756302E-3</v>
      </c>
      <c r="J1675" s="16">
        <f t="shared" si="65"/>
        <v>2.6457593569147908E-3</v>
      </c>
      <c r="K1675" s="16">
        <f t="shared" si="64"/>
        <v>1.0672154911132109E-3</v>
      </c>
      <c r="L1675" s="16">
        <f t="shared" si="64"/>
        <v>4.7383422461811783E-3</v>
      </c>
    </row>
    <row r="1676" spans="1:12" x14ac:dyDescent="0.35">
      <c r="A1676" s="18">
        <v>44684</v>
      </c>
      <c r="B1676" s="15">
        <v>397.35153198242188</v>
      </c>
      <c r="C1676" s="15">
        <v>67.890457153320313</v>
      </c>
      <c r="D1676" s="15">
        <v>174.0899963378906</v>
      </c>
      <c r="E1676" s="15">
        <v>312.02914428710938</v>
      </c>
      <c r="F1676" s="15">
        <v>199.48194885253909</v>
      </c>
      <c r="H1676" s="16">
        <f t="shared" si="65"/>
        <v>2.9998608422525663E-2</v>
      </c>
      <c r="I1676" s="16">
        <f t="shared" si="65"/>
        <v>6.440501485519186E-3</v>
      </c>
      <c r="J1676" s="16">
        <f t="shared" si="65"/>
        <v>9.7746167754347111E-3</v>
      </c>
      <c r="K1676" s="16">
        <f t="shared" si="64"/>
        <v>3.3253112168126292E-2</v>
      </c>
      <c r="L1676" s="16">
        <f t="shared" si="64"/>
        <v>2.8896037232933346E-2</v>
      </c>
    </row>
    <row r="1677" spans="1:12" x14ac:dyDescent="0.35">
      <c r="A1677" s="18">
        <v>44685</v>
      </c>
      <c r="B1677" s="15">
        <v>409.45211791992188</v>
      </c>
      <c r="C1677" s="15">
        <v>68.329116821289063</v>
      </c>
      <c r="D1677" s="15">
        <v>175.80000305175781</v>
      </c>
      <c r="E1677" s="15">
        <v>322.57952880859381</v>
      </c>
      <c r="F1677" s="15">
        <v>205.33027648925781</v>
      </c>
      <c r="H1677" s="16">
        <f t="shared" si="65"/>
        <v>-3.619004296145336E-2</v>
      </c>
      <c r="I1677" s="16">
        <f t="shared" si="65"/>
        <v>-1.0006876453348202E-2</v>
      </c>
      <c r="J1677" s="16">
        <f t="shared" si="65"/>
        <v>-3.8184194446891804E-3</v>
      </c>
      <c r="K1677" s="16">
        <f t="shared" si="64"/>
        <v>-5.1676736496248793E-2</v>
      </c>
      <c r="L1677" s="16">
        <f t="shared" si="64"/>
        <v>-3.757628891157172E-2</v>
      </c>
    </row>
    <row r="1678" spans="1:12" x14ac:dyDescent="0.35">
      <c r="A1678" s="18">
        <v>44686</v>
      </c>
      <c r="B1678" s="15">
        <v>394.89895629882813</v>
      </c>
      <c r="C1678" s="15">
        <v>67.648765563964844</v>
      </c>
      <c r="D1678" s="15">
        <v>175.1300048828125</v>
      </c>
      <c r="E1678" s="15">
        <v>306.33306884765619</v>
      </c>
      <c r="F1678" s="15">
        <v>197.75788879394531</v>
      </c>
      <c r="H1678" s="16">
        <f t="shared" si="65"/>
        <v>-5.9867960912193905E-3</v>
      </c>
      <c r="I1678" s="16">
        <f t="shared" si="65"/>
        <v>-4.2434099690496141E-3</v>
      </c>
      <c r="J1678" s="16">
        <f t="shared" si="65"/>
        <v>1.6545049194706565E-3</v>
      </c>
      <c r="K1678" s="16">
        <f t="shared" si="64"/>
        <v>-1.205311435607569E-2</v>
      </c>
      <c r="L1678" s="16">
        <f t="shared" si="64"/>
        <v>-8.075956620724278E-3</v>
      </c>
    </row>
    <row r="1679" spans="1:12" x14ac:dyDescent="0.35">
      <c r="A1679" s="18">
        <v>44687</v>
      </c>
      <c r="B1679" s="15">
        <v>392.54183959960938</v>
      </c>
      <c r="C1679" s="15">
        <v>67.362312316894531</v>
      </c>
      <c r="D1679" s="15">
        <v>175.41999816894531</v>
      </c>
      <c r="E1679" s="15">
        <v>302.6629638671875</v>
      </c>
      <c r="F1679" s="15">
        <v>196.167236328125</v>
      </c>
      <c r="H1679" s="16">
        <f t="shared" si="65"/>
        <v>-3.2541185954864174E-2</v>
      </c>
      <c r="I1679" s="16">
        <f t="shared" si="65"/>
        <v>4.5080684503644363E-3</v>
      </c>
      <c r="J1679" s="16">
        <f t="shared" si="65"/>
        <v>-1.4585347642546313E-2</v>
      </c>
      <c r="K1679" s="16">
        <f t="shared" si="64"/>
        <v>-3.9913003073179402E-2</v>
      </c>
      <c r="L1679" s="16">
        <f t="shared" si="64"/>
        <v>-3.6088868472426858E-2</v>
      </c>
    </row>
    <row r="1680" spans="1:12" x14ac:dyDescent="0.35">
      <c r="A1680" s="18">
        <v>44690</v>
      </c>
      <c r="B1680" s="15">
        <v>379.97366333007813</v>
      </c>
      <c r="C1680" s="15">
        <v>67.666671752929688</v>
      </c>
      <c r="D1680" s="15">
        <v>172.8800048828125</v>
      </c>
      <c r="E1680" s="15">
        <v>290.8206787109375</v>
      </c>
      <c r="F1680" s="15">
        <v>189.21400451660159</v>
      </c>
      <c r="H1680" s="16">
        <f t="shared" si="65"/>
        <v>2.3080767023379999E-3</v>
      </c>
      <c r="I1680" s="16">
        <f t="shared" si="65"/>
        <v>2.9061800520759247E-3</v>
      </c>
      <c r="J1680" s="16">
        <f t="shared" si="65"/>
        <v>-8.4810656535207803E-3</v>
      </c>
      <c r="K1680" s="16">
        <f t="shared" si="64"/>
        <v>1.2075559315406326E-2</v>
      </c>
      <c r="L1680" s="16">
        <f t="shared" si="64"/>
        <v>2.0113096384912553E-3</v>
      </c>
    </row>
    <row r="1681" spans="1:12" x14ac:dyDescent="0.35">
      <c r="A1681" s="18">
        <v>44691</v>
      </c>
      <c r="B1681" s="15">
        <v>380.8516845703125</v>
      </c>
      <c r="C1681" s="15">
        <v>67.863609313964844</v>
      </c>
      <c r="D1681" s="15">
        <v>171.41999816894531</v>
      </c>
      <c r="E1681" s="15">
        <v>294.35379028320313</v>
      </c>
      <c r="F1681" s="15">
        <v>189.59495544433591</v>
      </c>
      <c r="H1681" s="16">
        <f t="shared" si="65"/>
        <v>-1.6013756719719292E-2</v>
      </c>
      <c r="I1681" s="16">
        <f t="shared" si="65"/>
        <v>3.4236923180831647E-3</v>
      </c>
      <c r="J1681" s="16">
        <f t="shared" si="65"/>
        <v>8.1339580048224985E-3</v>
      </c>
      <c r="K1681" s="16">
        <f t="shared" si="64"/>
        <v>-3.0106924338753963E-2</v>
      </c>
      <c r="L1681" s="16">
        <f t="shared" si="64"/>
        <v>-1.8251150416112024E-2</v>
      </c>
    </row>
    <row r="1682" spans="1:12" x14ac:dyDescent="0.35">
      <c r="A1682" s="18">
        <v>44692</v>
      </c>
      <c r="B1682" s="15">
        <v>374.8013916015625</v>
      </c>
      <c r="C1682" s="15">
        <v>68.096351623535156</v>
      </c>
      <c r="D1682" s="15">
        <v>172.82000732421881</v>
      </c>
      <c r="E1682" s="15">
        <v>285.623779296875</v>
      </c>
      <c r="F1682" s="15">
        <v>186.166015625</v>
      </c>
      <c r="H1682" s="16">
        <f t="shared" si="65"/>
        <v>-1.0444738118897488E-3</v>
      </c>
      <c r="I1682" s="16">
        <f t="shared" si="65"/>
        <v>1.9698193960404047E-3</v>
      </c>
      <c r="J1682" s="16">
        <f t="shared" si="65"/>
        <v>-1.5452706170677172E-2</v>
      </c>
      <c r="K1682" s="16">
        <f t="shared" si="64"/>
        <v>-2.3671807358498424E-3</v>
      </c>
      <c r="L1682" s="16">
        <f t="shared" si="64"/>
        <v>1.0737169011945439E-3</v>
      </c>
    </row>
    <row r="1683" spans="1:12" x14ac:dyDescent="0.35">
      <c r="A1683" s="18">
        <v>44693</v>
      </c>
      <c r="B1683" s="15">
        <v>374.41012573242188</v>
      </c>
      <c r="C1683" s="15">
        <v>68.230621337890625</v>
      </c>
      <c r="D1683" s="15">
        <v>170.16999816894531</v>
      </c>
      <c r="E1683" s="15">
        <v>284.94845581054688</v>
      </c>
      <c r="F1683" s="15">
        <v>186.36601257324219</v>
      </c>
      <c r="H1683" s="16">
        <f t="shared" si="65"/>
        <v>2.3626568476950202E-2</v>
      </c>
      <c r="I1683" s="16">
        <f t="shared" si="65"/>
        <v>-3.679863657159714E-3</v>
      </c>
      <c r="J1683" s="16">
        <f t="shared" si="65"/>
        <v>-8.1426276988109478E-3</v>
      </c>
      <c r="K1683" s="16">
        <f t="shared" si="65"/>
        <v>3.6389755960499266E-2</v>
      </c>
      <c r="L1683" s="16">
        <f t="shared" si="65"/>
        <v>2.6428933326511202E-2</v>
      </c>
    </row>
    <row r="1684" spans="1:12" x14ac:dyDescent="0.35">
      <c r="A1684" s="18">
        <v>44694</v>
      </c>
      <c r="B1684" s="15">
        <v>383.36148071289063</v>
      </c>
      <c r="C1684" s="15">
        <v>67.980003356933594</v>
      </c>
      <c r="D1684" s="15">
        <v>168.78999328613281</v>
      </c>
      <c r="E1684" s="15">
        <v>295.50863647460938</v>
      </c>
      <c r="F1684" s="15">
        <v>191.35713195800781</v>
      </c>
      <c r="H1684" s="16">
        <f t="shared" ref="H1684:K1747" si="66">LN(B1685/B1684)</f>
        <v>-4.0657323773772578E-3</v>
      </c>
      <c r="I1684" s="16">
        <f t="shared" si="66"/>
        <v>1.5789509426572077E-3</v>
      </c>
      <c r="J1684" s="16">
        <f t="shared" si="66"/>
        <v>9.4932796520766291E-3</v>
      </c>
      <c r="K1684" s="16">
        <f t="shared" si="66"/>
        <v>-1.1659400971615951E-2</v>
      </c>
      <c r="L1684" s="16">
        <f t="shared" ref="L1684:L1747" si="67">LN(F1685/F1684)</f>
        <v>-4.9401050005056764E-3</v>
      </c>
    </row>
    <row r="1685" spans="1:12" x14ac:dyDescent="0.35">
      <c r="A1685" s="18">
        <v>44697</v>
      </c>
      <c r="B1685" s="15">
        <v>381.80599975585938</v>
      </c>
      <c r="C1685" s="15">
        <v>68.087425231933594</v>
      </c>
      <c r="D1685" s="15">
        <v>170.3999938964844</v>
      </c>
      <c r="E1685" s="15">
        <v>292.08319091796881</v>
      </c>
      <c r="F1685" s="15">
        <v>190.41413879394531</v>
      </c>
      <c r="H1685" s="16">
        <f t="shared" si="66"/>
        <v>2.0361556260715393E-2</v>
      </c>
      <c r="I1685" s="16">
        <f t="shared" si="66"/>
        <v>-5.9343033158039014E-3</v>
      </c>
      <c r="J1685" s="16">
        <f t="shared" si="66"/>
        <v>-6.2990940856841029E-3</v>
      </c>
      <c r="K1685" s="16">
        <f t="shared" si="66"/>
        <v>2.5571759600826621E-2</v>
      </c>
      <c r="L1685" s="16">
        <f t="shared" si="67"/>
        <v>2.1134599096490788E-2</v>
      </c>
    </row>
    <row r="1686" spans="1:12" x14ac:dyDescent="0.35">
      <c r="A1686" s="18">
        <v>44698</v>
      </c>
      <c r="B1686" s="15">
        <v>389.65985107421881</v>
      </c>
      <c r="C1686" s="15">
        <v>67.6845703125</v>
      </c>
      <c r="D1686" s="15">
        <v>169.33000183105469</v>
      </c>
      <c r="E1686" s="15">
        <v>299.64859008789063</v>
      </c>
      <c r="F1686" s="15">
        <v>194.4812927246094</v>
      </c>
      <c r="H1686" s="16">
        <f t="shared" si="66"/>
        <v>-4.1146501165447907E-2</v>
      </c>
      <c r="I1686" s="16">
        <f t="shared" si="66"/>
        <v>4.2233612042418545E-3</v>
      </c>
      <c r="J1686" s="16">
        <f t="shared" si="66"/>
        <v>5.31343704844183E-4</v>
      </c>
      <c r="K1686" s="16">
        <f t="shared" si="66"/>
        <v>-5.0336386726113021E-2</v>
      </c>
      <c r="L1686" s="16">
        <f t="shared" si="67"/>
        <v>-3.9918160963950747E-2</v>
      </c>
    </row>
    <row r="1687" spans="1:12" x14ac:dyDescent="0.35">
      <c r="A1687" s="18">
        <v>44699</v>
      </c>
      <c r="B1687" s="15">
        <v>373.95208740234381</v>
      </c>
      <c r="C1687" s="15">
        <v>67.971031188964844</v>
      </c>
      <c r="D1687" s="15">
        <v>169.41999816894531</v>
      </c>
      <c r="E1687" s="15">
        <v>284.93869018554688</v>
      </c>
      <c r="F1687" s="15">
        <v>186.87086486816409</v>
      </c>
      <c r="H1687" s="16">
        <f t="shared" si="66"/>
        <v>-6.1435326118904985E-3</v>
      </c>
      <c r="I1687" s="16">
        <f t="shared" si="66"/>
        <v>2.1052906098300668E-3</v>
      </c>
      <c r="J1687" s="16">
        <f t="shared" si="66"/>
        <v>1.4590277160261117E-2</v>
      </c>
      <c r="K1687" s="16">
        <f t="shared" si="66"/>
        <v>-5.3726257853075341E-3</v>
      </c>
      <c r="L1687" s="16">
        <f t="shared" si="67"/>
        <v>-4.4443371899640285E-3</v>
      </c>
    </row>
    <row r="1688" spans="1:12" x14ac:dyDescent="0.35">
      <c r="A1688" s="18">
        <v>44700</v>
      </c>
      <c r="B1688" s="15">
        <v>371.6617431640625</v>
      </c>
      <c r="C1688" s="15">
        <v>68.114280700683594</v>
      </c>
      <c r="D1688" s="15">
        <v>171.9100036621094</v>
      </c>
      <c r="E1688" s="15">
        <v>283.41192626953119</v>
      </c>
      <c r="F1688" s="15">
        <v>186.04219055175781</v>
      </c>
      <c r="H1688" s="16">
        <f t="shared" si="66"/>
        <v>4.3648978030796557E-4</v>
      </c>
      <c r="I1688" s="16">
        <f t="shared" si="66"/>
        <v>3.0177736789729482E-3</v>
      </c>
      <c r="J1688" s="16">
        <f t="shared" si="66"/>
        <v>6.9776775719203603E-4</v>
      </c>
      <c r="K1688" s="16">
        <f t="shared" si="66"/>
        <v>-3.1128933371075062E-3</v>
      </c>
      <c r="L1688" s="16">
        <f t="shared" si="67"/>
        <v>0</v>
      </c>
    </row>
    <row r="1689" spans="1:12" x14ac:dyDescent="0.35">
      <c r="A1689" s="18">
        <v>44701</v>
      </c>
      <c r="B1689" s="15">
        <v>371.82400512695313</v>
      </c>
      <c r="C1689" s="15">
        <v>68.320144653320313</v>
      </c>
      <c r="D1689" s="15">
        <v>172.0299987792969</v>
      </c>
      <c r="E1689" s="15">
        <v>282.53106689453119</v>
      </c>
      <c r="F1689" s="15">
        <v>186.04219055175781</v>
      </c>
      <c r="H1689" s="16">
        <f t="shared" si="66"/>
        <v>1.8536934758430063E-2</v>
      </c>
      <c r="I1689" s="16">
        <f t="shared" si="66"/>
        <v>-3.5437930216121456E-3</v>
      </c>
      <c r="J1689" s="16">
        <f t="shared" si="66"/>
        <v>4.6395898938689671E-3</v>
      </c>
      <c r="K1689" s="16">
        <f t="shared" si="66"/>
        <v>1.6490879765334157E-2</v>
      </c>
      <c r="L1689" s="16">
        <f t="shared" si="67"/>
        <v>1.6955514587282158E-2</v>
      </c>
    </row>
    <row r="1690" spans="1:12" x14ac:dyDescent="0.35">
      <c r="A1690" s="18">
        <v>44704</v>
      </c>
      <c r="B1690" s="15">
        <v>378.78076171875</v>
      </c>
      <c r="C1690" s="15">
        <v>68.078460693359375</v>
      </c>
      <c r="D1690" s="15">
        <v>172.83000183105469</v>
      </c>
      <c r="E1690" s="15">
        <v>287.2288818359375</v>
      </c>
      <c r="F1690" s="15">
        <v>189.22352600097659</v>
      </c>
      <c r="H1690" s="16">
        <f t="shared" si="66"/>
        <v>-7.6627723455505326E-3</v>
      </c>
      <c r="I1690" s="16">
        <f t="shared" si="66"/>
        <v>8.1193117213868952E-3</v>
      </c>
      <c r="J1690" s="16">
        <f t="shared" si="66"/>
        <v>7.4937117255380282E-3</v>
      </c>
      <c r="K1690" s="16">
        <f t="shared" si="66"/>
        <v>-2.1491600806941416E-2</v>
      </c>
      <c r="L1690" s="16">
        <f t="shared" si="67"/>
        <v>-1.0067723883057966E-2</v>
      </c>
    </row>
    <row r="1691" spans="1:12" x14ac:dyDescent="0.35">
      <c r="A1691" s="18">
        <v>44705</v>
      </c>
      <c r="B1691" s="15">
        <v>375.88934326171881</v>
      </c>
      <c r="C1691" s="15">
        <v>68.633460998535156</v>
      </c>
      <c r="D1691" s="15">
        <v>174.1300048828125</v>
      </c>
      <c r="E1691" s="15">
        <v>281.12173461914063</v>
      </c>
      <c r="F1691" s="15">
        <v>187.3280334472656</v>
      </c>
      <c r="H1691" s="16">
        <f t="shared" si="66"/>
        <v>8.7959623819302037E-3</v>
      </c>
      <c r="I1691" s="16">
        <f t="shared" si="66"/>
        <v>4.035233793058206E-3</v>
      </c>
      <c r="J1691" s="16">
        <f t="shared" si="66"/>
        <v>-6.0482487965583861E-3</v>
      </c>
      <c r="K1691" s="16">
        <f t="shared" si="66"/>
        <v>1.3898284764470548E-2</v>
      </c>
      <c r="L1691" s="16">
        <f t="shared" si="67"/>
        <v>1.1073994885518365E-2</v>
      </c>
    </row>
    <row r="1692" spans="1:12" x14ac:dyDescent="0.35">
      <c r="A1692" s="18">
        <v>44706</v>
      </c>
      <c r="B1692" s="15">
        <v>379.21023559570313</v>
      </c>
      <c r="C1692" s="15">
        <v>68.910972595214844</v>
      </c>
      <c r="D1692" s="15">
        <v>173.08000183105469</v>
      </c>
      <c r="E1692" s="15">
        <v>285.05612182617188</v>
      </c>
      <c r="F1692" s="15">
        <v>189.4140319824219</v>
      </c>
      <c r="H1692" s="16">
        <f t="shared" si="66"/>
        <v>1.9784463072724714E-2</v>
      </c>
      <c r="I1692" s="16">
        <f t="shared" si="66"/>
        <v>-1.0398107057041676E-3</v>
      </c>
      <c r="J1692" s="16">
        <f t="shared" si="66"/>
        <v>-1.8506096399275144E-3</v>
      </c>
      <c r="K1692" s="16">
        <f t="shared" si="66"/>
        <v>2.7330179733387347E-2</v>
      </c>
      <c r="L1692" s="16">
        <f t="shared" si="67"/>
        <v>2.02599049845858E-2</v>
      </c>
    </row>
    <row r="1693" spans="1:12" x14ac:dyDescent="0.35">
      <c r="A1693" s="18">
        <v>44707</v>
      </c>
      <c r="B1693" s="15">
        <v>386.78741455078119</v>
      </c>
      <c r="C1693" s="15">
        <v>68.83935546875</v>
      </c>
      <c r="D1693" s="15">
        <v>172.75999450683591</v>
      </c>
      <c r="E1693" s="15">
        <v>292.95419311523438</v>
      </c>
      <c r="F1693" s="15">
        <v>193.2906799316406</v>
      </c>
      <c r="H1693" s="16">
        <f t="shared" si="66"/>
        <v>2.4252657209382477E-2</v>
      </c>
      <c r="I1693" s="16">
        <f t="shared" si="66"/>
        <v>2.8569647234579294E-3</v>
      </c>
      <c r="J1693" s="16">
        <f t="shared" si="66"/>
        <v>5.2088538269084745E-4</v>
      </c>
      <c r="K1693" s="16">
        <f t="shared" si="66"/>
        <v>3.211838467246881E-2</v>
      </c>
      <c r="L1693" s="16">
        <f t="shared" si="67"/>
        <v>2.5013609314147239E-2</v>
      </c>
    </row>
    <row r="1694" spans="1:12" x14ac:dyDescent="0.35">
      <c r="A1694" s="18">
        <v>44708</v>
      </c>
      <c r="B1694" s="15">
        <v>396.28271484375</v>
      </c>
      <c r="C1694" s="15">
        <v>69.036308288574219</v>
      </c>
      <c r="D1694" s="15">
        <v>172.8500061035156</v>
      </c>
      <c r="E1694" s="15">
        <v>302.51614379882813</v>
      </c>
      <c r="F1694" s="15">
        <v>198.1865539550781</v>
      </c>
      <c r="H1694" s="16">
        <f t="shared" si="66"/>
        <v>-5.6268755651237316E-3</v>
      </c>
      <c r="I1694" s="16">
        <f t="shared" si="66"/>
        <v>-5.7218927921129812E-3</v>
      </c>
      <c r="J1694" s="16">
        <f t="shared" si="66"/>
        <v>-9.9422702551653017E-3</v>
      </c>
      <c r="K1694" s="16">
        <f t="shared" si="66"/>
        <v>-2.656243401819222E-3</v>
      </c>
      <c r="L1694" s="16">
        <f t="shared" si="67"/>
        <v>-8.2523969333543491E-3</v>
      </c>
    </row>
    <row r="1695" spans="1:12" x14ac:dyDescent="0.35">
      <c r="A1695" s="18">
        <v>44712</v>
      </c>
      <c r="B1695" s="15">
        <v>394.05914306640619</v>
      </c>
      <c r="C1695" s="15">
        <v>68.642417907714844</v>
      </c>
      <c r="D1695" s="15">
        <v>171.13999938964841</v>
      </c>
      <c r="E1695" s="15">
        <v>301.71365356445313</v>
      </c>
      <c r="F1695" s="15">
        <v>196.5577697753906</v>
      </c>
      <c r="H1695" s="16">
        <f t="shared" si="66"/>
        <v>-8.121311396545098E-3</v>
      </c>
      <c r="I1695" s="16">
        <f t="shared" si="66"/>
        <v>-4.4786769388255919E-3</v>
      </c>
      <c r="J1695" s="16">
        <f t="shared" si="66"/>
        <v>6.3488366174165208E-3</v>
      </c>
      <c r="K1695" s="16">
        <f t="shared" si="66"/>
        <v>-7.4236953224475263E-3</v>
      </c>
      <c r="L1695" s="16">
        <f t="shared" si="67"/>
        <v>-6.6122155016277205E-3</v>
      </c>
    </row>
    <row r="1696" spans="1:12" x14ac:dyDescent="0.35">
      <c r="A1696" s="18">
        <v>44713</v>
      </c>
      <c r="B1696" s="15">
        <v>390.871826171875</v>
      </c>
      <c r="C1696" s="15">
        <v>68.335678100585938</v>
      </c>
      <c r="D1696" s="15">
        <v>172.22999572753909</v>
      </c>
      <c r="E1696" s="15">
        <v>299.48211669921881</v>
      </c>
      <c r="F1696" s="15">
        <v>195.26237487792969</v>
      </c>
      <c r="H1696" s="16">
        <f t="shared" si="66"/>
        <v>1.8864532354454944E-2</v>
      </c>
      <c r="I1696" s="16">
        <f t="shared" si="66"/>
        <v>9.1831188178091532E-4</v>
      </c>
      <c r="J1696" s="16">
        <f t="shared" si="66"/>
        <v>1.2234040087980916E-2</v>
      </c>
      <c r="K1696" s="16">
        <f t="shared" si="66"/>
        <v>2.7017554229110081E-2</v>
      </c>
      <c r="L1696" s="16">
        <f t="shared" si="67"/>
        <v>2.0185058882521173E-2</v>
      </c>
    </row>
    <row r="1697" spans="1:12" x14ac:dyDescent="0.35">
      <c r="A1697" s="18">
        <v>44714</v>
      </c>
      <c r="B1697" s="15">
        <v>398.3154296875</v>
      </c>
      <c r="C1697" s="15">
        <v>68.398460388183594</v>
      </c>
      <c r="D1697" s="15">
        <v>174.3500061035156</v>
      </c>
      <c r="E1697" s="15">
        <v>307.68368530273438</v>
      </c>
      <c r="F1697" s="15">
        <v>199.2438049316406</v>
      </c>
      <c r="H1697" s="16">
        <f t="shared" si="66"/>
        <v>-1.6547979978335632E-2</v>
      </c>
      <c r="I1697" s="16">
        <f t="shared" si="66"/>
        <v>-1.4431850755361997E-3</v>
      </c>
      <c r="J1697" s="16">
        <f t="shared" si="66"/>
        <v>-1.0203900438867805E-2</v>
      </c>
      <c r="K1697" s="16">
        <f t="shared" si="66"/>
        <v>-2.6363868119705217E-2</v>
      </c>
      <c r="L1697" s="16">
        <f t="shared" si="67"/>
        <v>-1.6095894951811258E-2</v>
      </c>
    </row>
    <row r="1698" spans="1:12" x14ac:dyDescent="0.35">
      <c r="A1698" s="18">
        <v>44715</v>
      </c>
      <c r="B1698" s="15">
        <v>391.77835083007813</v>
      </c>
      <c r="C1698" s="15">
        <v>68.299819946289063</v>
      </c>
      <c r="D1698" s="15">
        <v>172.58000183105469</v>
      </c>
      <c r="E1698" s="15">
        <v>299.67794799804688</v>
      </c>
      <c r="F1698" s="15">
        <v>196.0624694824219</v>
      </c>
      <c r="H1698" s="16">
        <f t="shared" si="66"/>
        <v>3.0404448474804146E-3</v>
      </c>
      <c r="I1698" s="16">
        <f t="shared" si="66"/>
        <v>-5.9273683718268719E-3</v>
      </c>
      <c r="J1698" s="16">
        <f t="shared" si="66"/>
        <v>-4.413447852863679E-3</v>
      </c>
      <c r="K1698" s="16">
        <f t="shared" si="66"/>
        <v>3.3253721105255046E-3</v>
      </c>
      <c r="L1698" s="16">
        <f t="shared" si="67"/>
        <v>2.9590821043097397E-3</v>
      </c>
    </row>
    <row r="1699" spans="1:12" x14ac:dyDescent="0.35">
      <c r="A1699" s="18">
        <v>44718</v>
      </c>
      <c r="B1699" s="15">
        <v>392.97134399414063</v>
      </c>
      <c r="C1699" s="15">
        <v>67.89617919921875</v>
      </c>
      <c r="D1699" s="15">
        <v>171.82000732421881</v>
      </c>
      <c r="E1699" s="15">
        <v>300.6761474609375</v>
      </c>
      <c r="F1699" s="15">
        <v>196.64349365234381</v>
      </c>
      <c r="H1699" s="16">
        <f t="shared" si="66"/>
        <v>9.5462826187238913E-3</v>
      </c>
      <c r="I1699" s="16">
        <f t="shared" si="66"/>
        <v>3.4288838166403801E-3</v>
      </c>
      <c r="J1699" s="16">
        <f t="shared" si="66"/>
        <v>6.4972678121677889E-3</v>
      </c>
      <c r="K1699" s="16">
        <f t="shared" si="66"/>
        <v>8.5887924791550364E-3</v>
      </c>
      <c r="L1699" s="16">
        <f t="shared" si="67"/>
        <v>1.0791605309224451E-2</v>
      </c>
    </row>
    <row r="1700" spans="1:12" x14ac:dyDescent="0.35">
      <c r="A1700" s="18">
        <v>44719</v>
      </c>
      <c r="B1700" s="15">
        <v>396.74072265625</v>
      </c>
      <c r="C1700" s="15">
        <v>68.129386901855469</v>
      </c>
      <c r="D1700" s="15">
        <v>172.94000244140619</v>
      </c>
      <c r="E1700" s="15">
        <v>303.26971435546881</v>
      </c>
      <c r="F1700" s="15">
        <v>198.77708435058591</v>
      </c>
      <c r="H1700" s="16">
        <f t="shared" si="66"/>
        <v>-1.0931504948836731E-2</v>
      </c>
      <c r="I1700" s="16">
        <f t="shared" si="66"/>
        <v>-4.0893794371611846E-3</v>
      </c>
      <c r="J1700" s="16">
        <f t="shared" si="66"/>
        <v>-9.2562578368830957E-4</v>
      </c>
      <c r="K1700" s="16">
        <f t="shared" si="66"/>
        <v>-7.2225682653428531E-3</v>
      </c>
      <c r="L1700" s="16">
        <f t="shared" si="67"/>
        <v>-1.1276078165752077E-2</v>
      </c>
    </row>
    <row r="1701" spans="1:12" x14ac:dyDescent="0.35">
      <c r="A1701" s="18">
        <v>44720</v>
      </c>
      <c r="B1701" s="15">
        <v>392.4273681640625</v>
      </c>
      <c r="C1701" s="15">
        <v>67.851348876953125</v>
      </c>
      <c r="D1701" s="15">
        <v>172.7799987792969</v>
      </c>
      <c r="E1701" s="15">
        <v>301.08721923828119</v>
      </c>
      <c r="F1701" s="15">
        <v>196.5482482910156</v>
      </c>
      <c r="H1701" s="16">
        <f t="shared" si="66"/>
        <v>-2.407029964545573E-2</v>
      </c>
      <c r="I1701" s="16">
        <f t="shared" si="66"/>
        <v>-1.3226392216714726E-3</v>
      </c>
      <c r="J1701" s="16">
        <f t="shared" si="66"/>
        <v>-3.1883338247287547E-3</v>
      </c>
      <c r="K1701" s="16">
        <f t="shared" si="66"/>
        <v>-2.7149785789931442E-2</v>
      </c>
      <c r="L1701" s="16">
        <f t="shared" si="67"/>
        <v>-2.4231234571369921E-2</v>
      </c>
    </row>
    <row r="1702" spans="1:12" x14ac:dyDescent="0.35">
      <c r="A1702" s="18">
        <v>44721</v>
      </c>
      <c r="B1702" s="15">
        <v>383.09429931640619</v>
      </c>
      <c r="C1702" s="15">
        <v>67.761665344238281</v>
      </c>
      <c r="D1702" s="15">
        <v>172.22999572753909</v>
      </c>
      <c r="E1702" s="15">
        <v>293.02273559570313</v>
      </c>
      <c r="F1702" s="15">
        <v>191.84288024902341</v>
      </c>
      <c r="H1702" s="16">
        <f t="shared" si="66"/>
        <v>-2.9424398102248884E-2</v>
      </c>
      <c r="I1702" s="16">
        <f t="shared" si="66"/>
        <v>-8.5074784065723649E-3</v>
      </c>
      <c r="J1702" s="16">
        <f t="shared" si="66"/>
        <v>1.3323135228160744E-2</v>
      </c>
      <c r="K1702" s="16">
        <f t="shared" si="66"/>
        <v>-3.5907398972442404E-2</v>
      </c>
      <c r="L1702" s="16">
        <f t="shared" si="67"/>
        <v>-3.0140331658392226E-2</v>
      </c>
    </row>
    <row r="1703" spans="1:12" x14ac:dyDescent="0.35">
      <c r="A1703" s="18">
        <v>44722</v>
      </c>
      <c r="B1703" s="15">
        <v>371.9862060546875</v>
      </c>
      <c r="C1703" s="15">
        <v>67.187629699707031</v>
      </c>
      <c r="D1703" s="15">
        <v>174.53999328613281</v>
      </c>
      <c r="E1703" s="15">
        <v>282.68771362304688</v>
      </c>
      <c r="F1703" s="15">
        <v>186.1469421386719</v>
      </c>
      <c r="H1703" s="16">
        <f t="shared" si="66"/>
        <v>-3.8707716954838232E-2</v>
      </c>
      <c r="I1703" s="16">
        <f t="shared" si="66"/>
        <v>-1.6284644778862441E-2</v>
      </c>
      <c r="J1703" s="16">
        <f t="shared" si="66"/>
        <v>-2.6767358824472873E-2</v>
      </c>
      <c r="K1703" s="16">
        <f t="shared" si="66"/>
        <v>-4.761215601956871E-2</v>
      </c>
      <c r="L1703" s="16">
        <f t="shared" si="67"/>
        <v>-4.1690072816701888E-2</v>
      </c>
    </row>
    <row r="1704" spans="1:12" x14ac:dyDescent="0.35">
      <c r="A1704" s="18">
        <v>44725</v>
      </c>
      <c r="B1704" s="15">
        <v>357.86257934570313</v>
      </c>
      <c r="C1704" s="15">
        <v>66.102363586425781</v>
      </c>
      <c r="D1704" s="15">
        <v>169.92999267578119</v>
      </c>
      <c r="E1704" s="15">
        <v>269.54373168945313</v>
      </c>
      <c r="F1704" s="15">
        <v>178.54600524902341</v>
      </c>
      <c r="H1704" s="16">
        <f t="shared" si="66"/>
        <v>-3.0178247804607552E-3</v>
      </c>
      <c r="I1704" s="16">
        <f t="shared" si="66"/>
        <v>-5.4421921922001171E-3</v>
      </c>
      <c r="J1704" s="16">
        <f t="shared" si="66"/>
        <v>-8.0354072032860525E-3</v>
      </c>
      <c r="K1704" s="16">
        <f t="shared" si="66"/>
        <v>1.813827013461428E-3</v>
      </c>
      <c r="L1704" s="16">
        <f t="shared" si="67"/>
        <v>-2.831494854512348E-3</v>
      </c>
    </row>
    <row r="1705" spans="1:12" x14ac:dyDescent="0.35">
      <c r="A1705" s="18">
        <v>44726</v>
      </c>
      <c r="B1705" s="15">
        <v>356.78424072265619</v>
      </c>
      <c r="C1705" s="15">
        <v>65.743598937988281</v>
      </c>
      <c r="D1705" s="15">
        <v>168.57000732421881</v>
      </c>
      <c r="E1705" s="15">
        <v>270.0330810546875</v>
      </c>
      <c r="F1705" s="15">
        <v>178.0411682128906</v>
      </c>
      <c r="H1705" s="16">
        <f t="shared" si="66"/>
        <v>1.4155557451785582E-2</v>
      </c>
      <c r="I1705" s="16">
        <f t="shared" si="66"/>
        <v>1.1394432148333087E-2</v>
      </c>
      <c r="J1705" s="16">
        <f t="shared" si="66"/>
        <v>1.2966509676610546E-2</v>
      </c>
      <c r="K1705" s="16">
        <f t="shared" si="66"/>
        <v>2.466525726200362E-2</v>
      </c>
      <c r="L1705" s="16">
        <f t="shared" si="67"/>
        <v>1.4446858796381754E-2</v>
      </c>
    </row>
    <row r="1706" spans="1:12" x14ac:dyDescent="0.35">
      <c r="A1706" s="18">
        <v>44727</v>
      </c>
      <c r="B1706" s="15">
        <v>361.87063598632813</v>
      </c>
      <c r="C1706" s="15">
        <v>66.496994018554688</v>
      </c>
      <c r="D1706" s="15">
        <v>170.77000427246091</v>
      </c>
      <c r="E1706" s="15">
        <v>276.77633666992188</v>
      </c>
      <c r="F1706" s="15">
        <v>180.63197326660159</v>
      </c>
      <c r="H1706" s="16">
        <f t="shared" si="66"/>
        <v>-3.3656240089870629E-2</v>
      </c>
      <c r="I1706" s="16">
        <f t="shared" si="66"/>
        <v>2.1562588258633802E-3</v>
      </c>
      <c r="J1706" s="16">
        <f t="shared" si="66"/>
        <v>1.1180446816136244E-2</v>
      </c>
      <c r="K1706" s="16">
        <f t="shared" si="66"/>
        <v>-4.1182901864331857E-2</v>
      </c>
      <c r="L1706" s="16">
        <f t="shared" si="67"/>
        <v>-3.5532168518847607E-2</v>
      </c>
    </row>
    <row r="1707" spans="1:12" x14ac:dyDescent="0.35">
      <c r="A1707" s="18">
        <v>44728</v>
      </c>
      <c r="B1707" s="15">
        <v>349.89410400390619</v>
      </c>
      <c r="C1707" s="15">
        <v>66.640533447265625</v>
      </c>
      <c r="D1707" s="15">
        <v>172.69000244140619</v>
      </c>
      <c r="E1707" s="15">
        <v>265.60940551757813</v>
      </c>
      <c r="F1707" s="15">
        <v>174.326416015625</v>
      </c>
      <c r="H1707" s="16">
        <f t="shared" si="66"/>
        <v>2.1536572804473648E-3</v>
      </c>
      <c r="I1707" s="16">
        <f t="shared" si="66"/>
        <v>5.3759525454860808E-4</v>
      </c>
      <c r="J1707" s="16">
        <f t="shared" si="66"/>
        <v>-8.256810144045541E-3</v>
      </c>
      <c r="K1707" s="16">
        <f t="shared" si="66"/>
        <v>1.2086158685537925E-2</v>
      </c>
      <c r="L1707" s="16">
        <f t="shared" si="67"/>
        <v>3.7632642534161007E-3</v>
      </c>
    </row>
    <row r="1708" spans="1:12" x14ac:dyDescent="0.35">
      <c r="A1708" s="18">
        <v>44729</v>
      </c>
      <c r="B1708" s="15">
        <v>350.64846801757813</v>
      </c>
      <c r="C1708" s="15">
        <v>66.676368713378906</v>
      </c>
      <c r="D1708" s="15">
        <v>171.27000427246091</v>
      </c>
      <c r="E1708" s="15">
        <v>268.83908081054688</v>
      </c>
      <c r="F1708" s="15">
        <v>174.98368835449219</v>
      </c>
      <c r="H1708" s="16">
        <f t="shared" si="66"/>
        <v>2.4861972804419041E-2</v>
      </c>
      <c r="I1708" s="16">
        <f t="shared" si="66"/>
        <v>-4.5835687240267618E-3</v>
      </c>
      <c r="J1708" s="16">
        <f t="shared" si="66"/>
        <v>-3.7437854344900372E-3</v>
      </c>
      <c r="K1708" s="16">
        <f t="shared" si="66"/>
        <v>2.4916300220357263E-2</v>
      </c>
      <c r="L1708" s="16">
        <f t="shared" si="67"/>
        <v>2.3933948730017914E-2</v>
      </c>
    </row>
    <row r="1709" spans="1:12" x14ac:dyDescent="0.35">
      <c r="A1709" s="18">
        <v>44733</v>
      </c>
      <c r="B1709" s="15">
        <v>359.47555541992188</v>
      </c>
      <c r="C1709" s="15">
        <v>66.371452331542969</v>
      </c>
      <c r="D1709" s="15">
        <v>170.6300048828125</v>
      </c>
      <c r="E1709" s="15">
        <v>275.6217041015625</v>
      </c>
      <c r="F1709" s="15">
        <v>179.2222595214844</v>
      </c>
      <c r="H1709" s="16">
        <f t="shared" si="66"/>
        <v>-1.8147422733363664E-3</v>
      </c>
      <c r="I1709" s="16">
        <f t="shared" si="66"/>
        <v>8.209385812987486E-3</v>
      </c>
      <c r="J1709" s="16">
        <f t="shared" si="66"/>
        <v>3.9772683354231545E-3</v>
      </c>
      <c r="K1709" s="16">
        <f t="shared" si="66"/>
        <v>-1.4595039081718596E-3</v>
      </c>
      <c r="L1709" s="16">
        <f t="shared" si="67"/>
        <v>-1.5930760232831298E-4</v>
      </c>
    </row>
    <row r="1710" spans="1:12" x14ac:dyDescent="0.35">
      <c r="A1710" s="18">
        <v>44734</v>
      </c>
      <c r="B1710" s="15">
        <v>358.82379150390619</v>
      </c>
      <c r="C1710" s="15">
        <v>66.918563842773438</v>
      </c>
      <c r="D1710" s="15">
        <v>171.30999755859381</v>
      </c>
      <c r="E1710" s="15">
        <v>275.2197265625</v>
      </c>
      <c r="F1710" s="15">
        <v>179.19371032714841</v>
      </c>
      <c r="H1710" s="16">
        <f t="shared" si="66"/>
        <v>9.7548356303113655E-3</v>
      </c>
      <c r="I1710" s="16">
        <f t="shared" si="66"/>
        <v>4.813646755218207E-3</v>
      </c>
      <c r="J1710" s="16">
        <f t="shared" si="66"/>
        <v>-6.148118298449164E-3</v>
      </c>
      <c r="K1710" s="16">
        <f t="shared" si="66"/>
        <v>1.4783184808769074E-2</v>
      </c>
      <c r="L1710" s="16">
        <f t="shared" si="67"/>
        <v>9.0263462005865658E-3</v>
      </c>
    </row>
    <row r="1711" spans="1:12" x14ac:dyDescent="0.35">
      <c r="A1711" s="18">
        <v>44735</v>
      </c>
      <c r="B1711" s="15">
        <v>362.3411865234375</v>
      </c>
      <c r="C1711" s="15">
        <v>67.241462707519531</v>
      </c>
      <c r="D1711" s="15">
        <v>170.25999450683591</v>
      </c>
      <c r="E1711" s="15">
        <v>279.31857299804688</v>
      </c>
      <c r="F1711" s="15">
        <v>180.81849670410159</v>
      </c>
      <c r="H1711" s="16">
        <f t="shared" si="66"/>
        <v>3.129908422834566E-2</v>
      </c>
      <c r="I1711" s="16">
        <f t="shared" si="66"/>
        <v>-1.8693413450602855E-3</v>
      </c>
      <c r="J1711" s="16">
        <f t="shared" si="66"/>
        <v>-9.9896099694593912E-4</v>
      </c>
      <c r="K1711" s="16">
        <f t="shared" si="66"/>
        <v>3.3689377089297042E-2</v>
      </c>
      <c r="L1711" s="16">
        <f t="shared" si="67"/>
        <v>3.180330860754383E-2</v>
      </c>
    </row>
    <row r="1712" spans="1:12" x14ac:dyDescent="0.35">
      <c r="A1712" s="18">
        <v>44736</v>
      </c>
      <c r="B1712" s="15">
        <v>373.86148071289063</v>
      </c>
      <c r="C1712" s="15">
        <v>67.115882873535156</v>
      </c>
      <c r="D1712" s="15">
        <v>170.0899963378906</v>
      </c>
      <c r="E1712" s="15">
        <v>288.88894653320313</v>
      </c>
      <c r="F1712" s="15">
        <v>186.66154479980469</v>
      </c>
      <c r="H1712" s="16">
        <f t="shared" si="66"/>
        <v>-3.8270159741175462E-3</v>
      </c>
      <c r="I1712" s="16">
        <f t="shared" si="66"/>
        <v>-4.822218375272194E-3</v>
      </c>
      <c r="J1712" s="16">
        <f t="shared" si="66"/>
        <v>-1.1176944418576733E-3</v>
      </c>
      <c r="K1712" s="16">
        <f t="shared" si="66"/>
        <v>-7.3585848159290314E-3</v>
      </c>
      <c r="L1712" s="16">
        <f t="shared" si="67"/>
        <v>-3.0788657399865331E-3</v>
      </c>
    </row>
    <row r="1713" spans="1:12" x14ac:dyDescent="0.35">
      <c r="A1713" s="18">
        <v>44739</v>
      </c>
      <c r="B1713" s="15">
        <v>372.43344116210938</v>
      </c>
      <c r="C1713" s="15">
        <v>66.793014526367188</v>
      </c>
      <c r="D1713" s="15">
        <v>169.8999938964844</v>
      </c>
      <c r="E1713" s="15">
        <v>286.77093505859381</v>
      </c>
      <c r="F1713" s="15">
        <v>186.08772277832031</v>
      </c>
      <c r="H1713" s="16">
        <f t="shared" si="66"/>
        <v>-2.064461925022297E-2</v>
      </c>
      <c r="I1713" s="16">
        <f t="shared" si="66"/>
        <v>5.3671080250618155E-4</v>
      </c>
      <c r="J1713" s="16">
        <f t="shared" si="66"/>
        <v>-1.649380606940693E-3</v>
      </c>
      <c r="K1713" s="16">
        <f t="shared" si="66"/>
        <v>-3.094036531815304E-2</v>
      </c>
      <c r="L1713" s="16">
        <f t="shared" si="67"/>
        <v>-2.0822660786589148E-2</v>
      </c>
    </row>
    <row r="1714" spans="1:12" x14ac:dyDescent="0.35">
      <c r="A1714" s="18">
        <v>44740</v>
      </c>
      <c r="B1714" s="15">
        <v>364.82351684570313</v>
      </c>
      <c r="C1714" s="15">
        <v>66.828872680664063</v>
      </c>
      <c r="D1714" s="15">
        <v>169.6199951171875</v>
      </c>
      <c r="E1714" s="15">
        <v>278.03399658203119</v>
      </c>
      <c r="F1714" s="15">
        <v>182.25294494628909</v>
      </c>
      <c r="H1714" s="16">
        <f t="shared" si="66"/>
        <v>-8.1475064611226356E-4</v>
      </c>
      <c r="I1714" s="16">
        <f t="shared" si="66"/>
        <v>5.7540185171683971E-3</v>
      </c>
      <c r="J1714" s="16">
        <f t="shared" si="66"/>
        <v>-7.6665170685783705E-4</v>
      </c>
      <c r="K1714" s="16">
        <f t="shared" si="66"/>
        <v>9.1664158400622949E-4</v>
      </c>
      <c r="L1714" s="16">
        <f t="shared" si="67"/>
        <v>-1.6804788127223773E-3</v>
      </c>
    </row>
    <row r="1715" spans="1:12" x14ac:dyDescent="0.35">
      <c r="A1715" s="18">
        <v>44741</v>
      </c>
      <c r="B1715" s="15">
        <v>364.52639770507813</v>
      </c>
      <c r="C1715" s="15">
        <v>67.214515686035156</v>
      </c>
      <c r="D1715" s="15">
        <v>169.49000549316409</v>
      </c>
      <c r="E1715" s="15">
        <v>278.28897094726563</v>
      </c>
      <c r="F1715" s="15">
        <v>181.9469299316406</v>
      </c>
      <c r="H1715" s="16">
        <f t="shared" si="66"/>
        <v>-8.1574695801061598E-3</v>
      </c>
      <c r="I1715" s="16">
        <f t="shared" si="66"/>
        <v>4.2614239027867025E-3</v>
      </c>
      <c r="J1715" s="16">
        <f t="shared" si="66"/>
        <v>-6.0955876983354463E-3</v>
      </c>
      <c r="K1715" s="16">
        <f t="shared" si="66"/>
        <v>-1.2480934258331224E-2</v>
      </c>
      <c r="L1715" s="16">
        <f t="shared" si="67"/>
        <v>-8.6572386889441546E-3</v>
      </c>
    </row>
    <row r="1716" spans="1:12" x14ac:dyDescent="0.35">
      <c r="A1716" s="18">
        <v>44742</v>
      </c>
      <c r="B1716" s="15">
        <v>361.56488037109381</v>
      </c>
      <c r="C1716" s="15">
        <v>67.501556396484375</v>
      </c>
      <c r="D1716" s="15">
        <v>168.46000671386719</v>
      </c>
      <c r="E1716" s="15">
        <v>274.83724975585938</v>
      </c>
      <c r="F1716" s="15">
        <v>180.3785705566406</v>
      </c>
      <c r="H1716" s="16">
        <f t="shared" si="66"/>
        <v>1.052089223297494E-2</v>
      </c>
      <c r="I1716" s="16">
        <f t="shared" si="66"/>
        <v>7.9432194159161206E-3</v>
      </c>
      <c r="J1716" s="16">
        <f t="shared" si="66"/>
        <v>-8.3139967858545218E-4</v>
      </c>
      <c r="K1716" s="16">
        <f t="shared" si="66"/>
        <v>6.5790078682430239E-3</v>
      </c>
      <c r="L1716" s="16">
        <f t="shared" si="67"/>
        <v>1.0495104621312312E-2</v>
      </c>
    </row>
    <row r="1717" spans="1:12" x14ac:dyDescent="0.35">
      <c r="A1717" s="18">
        <v>44743</v>
      </c>
      <c r="B1717" s="15">
        <v>365.38894653320313</v>
      </c>
      <c r="C1717" s="15">
        <v>68.039871215820313</v>
      </c>
      <c r="D1717" s="15">
        <v>168.32000732421881</v>
      </c>
      <c r="E1717" s="15">
        <v>276.6513671875</v>
      </c>
      <c r="F1717" s="15">
        <v>182.28163146972659</v>
      </c>
      <c r="H1717" s="16">
        <f t="shared" si="66"/>
        <v>1.88695800747593E-3</v>
      </c>
      <c r="I1717" s="16">
        <f t="shared" si="66"/>
        <v>1.7154811328613817E-3</v>
      </c>
      <c r="J1717" s="16">
        <f t="shared" si="66"/>
        <v>-2.1437799680384825E-2</v>
      </c>
      <c r="K1717" s="16">
        <f t="shared" si="66"/>
        <v>1.6974763504581037E-2</v>
      </c>
      <c r="L1717" s="16">
        <f t="shared" si="67"/>
        <v>3.5610358641260417E-3</v>
      </c>
    </row>
    <row r="1718" spans="1:12" x14ac:dyDescent="0.35">
      <c r="A1718" s="18">
        <v>44747</v>
      </c>
      <c r="B1718" s="15">
        <v>366.07907104492188</v>
      </c>
      <c r="C1718" s="15">
        <v>68.156692504882813</v>
      </c>
      <c r="D1718" s="15">
        <v>164.75</v>
      </c>
      <c r="E1718" s="15">
        <v>281.38754272460938</v>
      </c>
      <c r="F1718" s="15">
        <v>182.93190002441409</v>
      </c>
      <c r="H1718" s="16">
        <f t="shared" si="66"/>
        <v>3.3716091750374691E-3</v>
      </c>
      <c r="I1718" s="16">
        <f t="shared" si="66"/>
        <v>-6.0837734642086071E-3</v>
      </c>
      <c r="J1718" s="16">
        <f t="shared" si="66"/>
        <v>-1.5969017587404762E-2</v>
      </c>
      <c r="K1718" s="16">
        <f t="shared" si="66"/>
        <v>6.3919733916290716E-3</v>
      </c>
      <c r="L1718" s="16">
        <f t="shared" si="67"/>
        <v>1.9845791696684245E-3</v>
      </c>
    </row>
    <row r="1719" spans="1:12" x14ac:dyDescent="0.35">
      <c r="A1719" s="18">
        <v>44748</v>
      </c>
      <c r="B1719" s="15">
        <v>367.3154296875</v>
      </c>
      <c r="C1719" s="15">
        <v>67.743301391601563</v>
      </c>
      <c r="D1719" s="15">
        <v>162.13999938964841</v>
      </c>
      <c r="E1719" s="15">
        <v>283.19192504882813</v>
      </c>
      <c r="F1719" s="15">
        <v>183.29530334472659</v>
      </c>
      <c r="H1719" s="16">
        <f t="shared" si="66"/>
        <v>1.4866030100194938E-2</v>
      </c>
      <c r="I1719" s="16">
        <f t="shared" si="66"/>
        <v>-2.7900473056011801E-3</v>
      </c>
      <c r="J1719" s="16">
        <f t="shared" si="66"/>
        <v>5.5489929127025615E-4</v>
      </c>
      <c r="K1719" s="16">
        <f t="shared" si="66"/>
        <v>2.1173059250060949E-2</v>
      </c>
      <c r="L1719" s="16">
        <f t="shared" si="67"/>
        <v>1.6352228036399987E-2</v>
      </c>
    </row>
    <row r="1720" spans="1:12" x14ac:dyDescent="0.35">
      <c r="A1720" s="18">
        <v>44749</v>
      </c>
      <c r="B1720" s="15">
        <v>372.81674194335938</v>
      </c>
      <c r="C1720" s="15">
        <v>67.554557800292969</v>
      </c>
      <c r="D1720" s="15">
        <v>162.22999572753909</v>
      </c>
      <c r="E1720" s="15">
        <v>289.25189208984381</v>
      </c>
      <c r="F1720" s="15">
        <v>186.3172302246094</v>
      </c>
      <c r="H1720" s="16">
        <f t="shared" si="66"/>
        <v>-8.2291728847209294E-4</v>
      </c>
      <c r="I1720" s="16">
        <f t="shared" si="66"/>
        <v>-3.3313050680394509E-3</v>
      </c>
      <c r="J1720" s="16">
        <f t="shared" si="66"/>
        <v>4.3143823725367127E-4</v>
      </c>
      <c r="K1720" s="16">
        <f t="shared" si="66"/>
        <v>1.2534598837531058E-3</v>
      </c>
      <c r="L1720" s="16">
        <f t="shared" si="67"/>
        <v>-1.027021975081981E-3</v>
      </c>
    </row>
    <row r="1721" spans="1:12" x14ac:dyDescent="0.35">
      <c r="A1721" s="18">
        <v>44750</v>
      </c>
      <c r="B1721" s="15">
        <v>372.51007080078119</v>
      </c>
      <c r="C1721" s="15">
        <v>67.329887390136719</v>
      </c>
      <c r="D1721" s="15">
        <v>162.30000305175781</v>
      </c>
      <c r="E1721" s="15">
        <v>289.61468505859381</v>
      </c>
      <c r="F1721" s="15">
        <v>186.1259765625</v>
      </c>
      <c r="H1721" s="16">
        <f t="shared" si="66"/>
        <v>-1.1489338497499743E-2</v>
      </c>
      <c r="I1721" s="16">
        <f t="shared" si="66"/>
        <v>3.7305698209875592E-3</v>
      </c>
      <c r="J1721" s="16">
        <f t="shared" si="66"/>
        <v>-5.3749265251642883E-3</v>
      </c>
      <c r="K1721" s="16">
        <f t="shared" si="66"/>
        <v>-2.1596012276568436E-2</v>
      </c>
      <c r="L1721" s="16">
        <f t="shared" si="67"/>
        <v>-1.2719973790498692E-2</v>
      </c>
    </row>
    <row r="1722" spans="1:12" x14ac:dyDescent="0.35">
      <c r="A1722" s="18">
        <v>44753</v>
      </c>
      <c r="B1722" s="15">
        <v>368.25466918945313</v>
      </c>
      <c r="C1722" s="15">
        <v>67.581535339355469</v>
      </c>
      <c r="D1722" s="15">
        <v>161.42999267578119</v>
      </c>
      <c r="E1722" s="15">
        <v>283.42721557617188</v>
      </c>
      <c r="F1722" s="15">
        <v>183.77345275878909</v>
      </c>
      <c r="H1722" s="16">
        <f t="shared" si="66"/>
        <v>-8.888334025146943E-3</v>
      </c>
      <c r="I1722" s="16">
        <f t="shared" si="66"/>
        <v>1.7271054315908731E-3</v>
      </c>
      <c r="J1722" s="16">
        <f t="shared" si="66"/>
        <v>-3.7236489059835993E-3</v>
      </c>
      <c r="K1722" s="16">
        <f t="shared" si="66"/>
        <v>-9.7344969314171487E-3</v>
      </c>
      <c r="L1722" s="16">
        <f t="shared" si="67"/>
        <v>-8.6757628217231774E-3</v>
      </c>
    </row>
    <row r="1723" spans="1:12" x14ac:dyDescent="0.35">
      <c r="A1723" s="18">
        <v>44754</v>
      </c>
      <c r="B1723" s="15">
        <v>364.99600219726563</v>
      </c>
      <c r="C1723" s="15">
        <v>67.698356628417969</v>
      </c>
      <c r="D1723" s="15">
        <v>160.83000183105469</v>
      </c>
      <c r="E1723" s="15">
        <v>280.68157958984381</v>
      </c>
      <c r="F1723" s="15">
        <v>182.18597412109381</v>
      </c>
      <c r="H1723" s="16">
        <f t="shared" si="66"/>
        <v>-5.2654273156226847E-3</v>
      </c>
      <c r="I1723" s="16">
        <f t="shared" si="66"/>
        <v>3.1808768406779058E-3</v>
      </c>
      <c r="J1723" s="16">
        <f t="shared" si="66"/>
        <v>4.7762659636859583E-3</v>
      </c>
      <c r="K1723" s="16">
        <f t="shared" si="66"/>
        <v>-2.0633678036286176E-3</v>
      </c>
      <c r="L1723" s="16">
        <f t="shared" si="67"/>
        <v>-4.3660611661832096E-3</v>
      </c>
    </row>
    <row r="1724" spans="1:12" x14ac:dyDescent="0.35">
      <c r="A1724" s="18">
        <v>44755</v>
      </c>
      <c r="B1724" s="15">
        <v>363.07919311523438</v>
      </c>
      <c r="C1724" s="15">
        <v>67.914039611816406</v>
      </c>
      <c r="D1724" s="15">
        <v>161.6000061035156</v>
      </c>
      <c r="E1724" s="15">
        <v>280.10302734375</v>
      </c>
      <c r="F1724" s="15">
        <v>181.39227294921881</v>
      </c>
      <c r="H1724" s="16">
        <f t="shared" si="66"/>
        <v>-2.4313874557122537E-3</v>
      </c>
      <c r="I1724" s="16">
        <f t="shared" si="66"/>
        <v>-3.1808768406780068E-3</v>
      </c>
      <c r="J1724" s="16">
        <f t="shared" si="66"/>
        <v>-1.4146649261641164E-2</v>
      </c>
      <c r="K1724" s="16">
        <f t="shared" si="66"/>
        <v>3.5645171430429587E-3</v>
      </c>
      <c r="L1724" s="16">
        <f t="shared" si="67"/>
        <v>-4.4383529569445059E-3</v>
      </c>
    </row>
    <row r="1725" spans="1:12" x14ac:dyDescent="0.35">
      <c r="A1725" s="18">
        <v>44756</v>
      </c>
      <c r="B1725" s="15">
        <v>362.19747924804688</v>
      </c>
      <c r="C1725" s="15">
        <v>67.698356628417969</v>
      </c>
      <c r="D1725" s="15">
        <v>159.33000183105469</v>
      </c>
      <c r="E1725" s="15">
        <v>281.10324096679688</v>
      </c>
      <c r="F1725" s="15">
        <v>180.58897399902341</v>
      </c>
      <c r="H1725" s="16">
        <f t="shared" si="66"/>
        <v>1.8924754410503911E-2</v>
      </c>
      <c r="I1725" s="16">
        <f t="shared" si="66"/>
        <v>3.5779163352617793E-3</v>
      </c>
      <c r="J1725" s="16">
        <f t="shared" si="66"/>
        <v>-2.0104758163570226E-3</v>
      </c>
      <c r="K1725" s="16">
        <f t="shared" si="66"/>
        <v>1.7976473060728415E-2</v>
      </c>
      <c r="L1725" s="16">
        <f t="shared" si="67"/>
        <v>1.92478261643136E-2</v>
      </c>
    </row>
    <row r="1726" spans="1:12" x14ac:dyDescent="0.35">
      <c r="A1726" s="18">
        <v>44757</v>
      </c>
      <c r="B1726" s="15">
        <v>369.11724853515619</v>
      </c>
      <c r="C1726" s="15">
        <v>67.941009521484375</v>
      </c>
      <c r="D1726" s="15">
        <v>159.00999450683591</v>
      </c>
      <c r="E1726" s="15">
        <v>286.20217895507813</v>
      </c>
      <c r="F1726" s="15">
        <v>184.09858703613281</v>
      </c>
      <c r="H1726" s="16">
        <f t="shared" si="66"/>
        <v>-8.2909988070709335E-3</v>
      </c>
      <c r="I1726" s="16">
        <f t="shared" si="66"/>
        <v>-3.0471421524509599E-3</v>
      </c>
      <c r="J1726" s="16">
        <f t="shared" si="66"/>
        <v>9.4294978943276666E-4</v>
      </c>
      <c r="K1726" s="16">
        <f t="shared" si="66"/>
        <v>-8.4987645576030599E-3</v>
      </c>
      <c r="L1726" s="16">
        <f t="shared" si="67"/>
        <v>-6.9325876962314228E-3</v>
      </c>
    </row>
    <row r="1727" spans="1:12" x14ac:dyDescent="0.35">
      <c r="A1727" s="18">
        <v>44760</v>
      </c>
      <c r="B1727" s="15">
        <v>366.06954956054688</v>
      </c>
      <c r="C1727" s="15">
        <v>67.734298706054688</v>
      </c>
      <c r="D1727" s="15">
        <v>159.1600036621094</v>
      </c>
      <c r="E1727" s="15">
        <v>283.78012084960938</v>
      </c>
      <c r="F1727" s="15">
        <v>182.82672119140619</v>
      </c>
      <c r="H1727" s="16">
        <f t="shared" si="66"/>
        <v>2.6660445794181916E-2</v>
      </c>
      <c r="I1727" s="16">
        <f t="shared" si="66"/>
        <v>-7.9666150101682259E-4</v>
      </c>
      <c r="J1727" s="16">
        <f t="shared" si="66"/>
        <v>2.3846238326164825E-3</v>
      </c>
      <c r="K1727" s="16">
        <f t="shared" si="66"/>
        <v>3.0290303479672299E-2</v>
      </c>
      <c r="L1727" s="16">
        <f t="shared" si="67"/>
        <v>2.7548875854390902E-2</v>
      </c>
    </row>
    <row r="1728" spans="1:12" x14ac:dyDescent="0.35">
      <c r="A1728" s="18">
        <v>44761</v>
      </c>
      <c r="B1728" s="15">
        <v>375.96038818359381</v>
      </c>
      <c r="C1728" s="15">
        <v>67.68035888671875</v>
      </c>
      <c r="D1728" s="15">
        <v>159.53999328613281</v>
      </c>
      <c r="E1728" s="15">
        <v>292.50741577148438</v>
      </c>
      <c r="F1728" s="15">
        <v>187.93341064453119</v>
      </c>
      <c r="H1728" s="16">
        <f t="shared" si="66"/>
        <v>6.353021706945643E-3</v>
      </c>
      <c r="I1728" s="16">
        <f t="shared" si="66"/>
        <v>-9.2952667939165249E-4</v>
      </c>
      <c r="J1728" s="16">
        <f t="shared" si="66"/>
        <v>-9.4465093392112429E-3</v>
      </c>
      <c r="K1728" s="16">
        <f t="shared" si="66"/>
        <v>1.5731822005190736E-2</v>
      </c>
      <c r="L1728" s="16">
        <f t="shared" si="67"/>
        <v>8.0581191940997405E-3</v>
      </c>
    </row>
    <row r="1729" spans="1:12" x14ac:dyDescent="0.35">
      <c r="A1729" s="18">
        <v>44762</v>
      </c>
      <c r="B1729" s="15">
        <v>378.35647583007813</v>
      </c>
      <c r="C1729" s="15">
        <v>67.617477416992188</v>
      </c>
      <c r="D1729" s="15">
        <v>158.03999328613281</v>
      </c>
      <c r="E1729" s="15">
        <v>297.14547729492188</v>
      </c>
      <c r="F1729" s="15">
        <v>189.45391845703119</v>
      </c>
      <c r="H1729" s="16">
        <f t="shared" si="66"/>
        <v>1.0131607854854032E-2</v>
      </c>
      <c r="I1729" s="16">
        <f t="shared" si="66"/>
        <v>8.2062224554474341E-3</v>
      </c>
      <c r="J1729" s="16">
        <f t="shared" si="66"/>
        <v>1.401179660226533E-2</v>
      </c>
      <c r="K1729" s="16">
        <f t="shared" si="66"/>
        <v>1.4253077344871749E-2</v>
      </c>
      <c r="L1729" s="16">
        <f t="shared" si="67"/>
        <v>9.8450224678419927E-3</v>
      </c>
    </row>
    <row r="1730" spans="1:12" x14ac:dyDescent="0.35">
      <c r="A1730" s="18">
        <v>44763</v>
      </c>
      <c r="B1730" s="15">
        <v>382.20932006835938</v>
      </c>
      <c r="C1730" s="15">
        <v>68.174644470214844</v>
      </c>
      <c r="D1730" s="15">
        <v>160.27000427246091</v>
      </c>
      <c r="E1730" s="15">
        <v>301.41104125976563</v>
      </c>
      <c r="F1730" s="15">
        <v>191.32830810546881</v>
      </c>
      <c r="H1730" s="16">
        <f t="shared" si="66"/>
        <v>-9.3214012231725586E-3</v>
      </c>
      <c r="I1730" s="16">
        <f t="shared" si="66"/>
        <v>8.1404271467041978E-3</v>
      </c>
      <c r="J1730" s="16">
        <f t="shared" si="66"/>
        <v>2.4926409954949894E-3</v>
      </c>
      <c r="K1730" s="16">
        <f t="shared" si="66"/>
        <v>-1.7690885992023432E-2</v>
      </c>
      <c r="L1730" s="16">
        <f t="shared" si="67"/>
        <v>-1.0905502819731573E-2</v>
      </c>
    </row>
    <row r="1731" spans="1:12" x14ac:dyDescent="0.35">
      <c r="A1731" s="18">
        <v>44764</v>
      </c>
      <c r="B1731" s="15">
        <v>378.66314697265619</v>
      </c>
      <c r="C1731" s="15">
        <v>68.731880187988281</v>
      </c>
      <c r="D1731" s="15">
        <v>160.66999816894531</v>
      </c>
      <c r="E1731" s="15">
        <v>296.12570190429688</v>
      </c>
      <c r="F1731" s="15">
        <v>189.25311279296881</v>
      </c>
      <c r="H1731" s="16">
        <f t="shared" si="66"/>
        <v>1.2142012030674921E-3</v>
      </c>
      <c r="I1731" s="16">
        <f t="shared" si="66"/>
        <v>-3.6677949211841284E-3</v>
      </c>
      <c r="J1731" s="16">
        <f t="shared" si="66"/>
        <v>-2.7423043036362824E-3</v>
      </c>
      <c r="K1731" s="16">
        <f t="shared" si="66"/>
        <v>-5.7116793882024224E-3</v>
      </c>
      <c r="L1731" s="16">
        <f t="shared" si="67"/>
        <v>1.3632682902295992E-3</v>
      </c>
    </row>
    <row r="1732" spans="1:12" x14ac:dyDescent="0.35">
      <c r="A1732" s="18">
        <v>44767</v>
      </c>
      <c r="B1732" s="15">
        <v>379.12319946289063</v>
      </c>
      <c r="C1732" s="15">
        <v>68.480247497558594</v>
      </c>
      <c r="D1732" s="15">
        <v>160.22999572753909</v>
      </c>
      <c r="E1732" s="15">
        <v>294.43914794921881</v>
      </c>
      <c r="F1732" s="15">
        <v>189.51129150390619</v>
      </c>
      <c r="H1732" s="16">
        <f t="shared" si="66"/>
        <v>-1.1901640771111988E-2</v>
      </c>
      <c r="I1732" s="16">
        <f t="shared" si="66"/>
        <v>2.6166820031302442E-4</v>
      </c>
      <c r="J1732" s="16">
        <f t="shared" si="66"/>
        <v>-1.1865143173866082E-3</v>
      </c>
      <c r="K1732" s="16">
        <f t="shared" si="66"/>
        <v>-1.9844700356079492E-2</v>
      </c>
      <c r="L1732" s="16">
        <f t="shared" si="67"/>
        <v>-1.2440046584913954E-2</v>
      </c>
    </row>
    <row r="1733" spans="1:12" x14ac:dyDescent="0.35">
      <c r="A1733" s="18">
        <v>44768</v>
      </c>
      <c r="B1733" s="15">
        <v>374.63775634765619</v>
      </c>
      <c r="C1733" s="15">
        <v>68.4981689453125</v>
      </c>
      <c r="D1733" s="15">
        <v>160.03999328613281</v>
      </c>
      <c r="E1733" s="15">
        <v>288.6536865234375</v>
      </c>
      <c r="F1733" s="15">
        <v>187.1683654785156</v>
      </c>
      <c r="H1733" s="16">
        <f t="shared" si="66"/>
        <v>2.5634926055471217E-2</v>
      </c>
      <c r="I1733" s="16">
        <f t="shared" si="66"/>
        <v>2.751998469426704E-3</v>
      </c>
      <c r="J1733" s="16">
        <f t="shared" si="66"/>
        <v>1.0133467249785824E-2</v>
      </c>
      <c r="K1733" s="16">
        <f t="shared" si="66"/>
        <v>4.1391269549110696E-2</v>
      </c>
      <c r="L1733" s="16">
        <f t="shared" si="67"/>
        <v>2.5922941500550387E-2</v>
      </c>
    </row>
    <row r="1734" spans="1:12" x14ac:dyDescent="0.35">
      <c r="A1734" s="18">
        <v>44769</v>
      </c>
      <c r="B1734" s="15">
        <v>384.36572265625</v>
      </c>
      <c r="C1734" s="15">
        <v>68.686935424804688</v>
      </c>
      <c r="D1734" s="15">
        <v>161.66999816894531</v>
      </c>
      <c r="E1734" s="15">
        <v>300.85214233398438</v>
      </c>
      <c r="F1734" s="15">
        <v>192.08375549316409</v>
      </c>
      <c r="H1734" s="16">
        <f t="shared" si="66"/>
        <v>1.2464534959888774E-2</v>
      </c>
      <c r="I1734" s="16">
        <f t="shared" si="66"/>
        <v>6.9101427010811378E-3</v>
      </c>
      <c r="J1734" s="16">
        <f t="shared" si="66"/>
        <v>1.2111680043717252E-2</v>
      </c>
      <c r="K1734" s="16">
        <f t="shared" si="66"/>
        <v>9.7304361732082241E-3</v>
      </c>
      <c r="L1734" s="16">
        <f t="shared" si="67"/>
        <v>1.2959494784238546E-2</v>
      </c>
    </row>
    <row r="1735" spans="1:12" x14ac:dyDescent="0.35">
      <c r="A1735" s="18">
        <v>44770</v>
      </c>
      <c r="B1735" s="15">
        <v>389.1866455078125</v>
      </c>
      <c r="C1735" s="15">
        <v>69.163215637207031</v>
      </c>
      <c r="D1735" s="15">
        <v>163.63999938964841</v>
      </c>
      <c r="E1735" s="15">
        <v>303.79385375976563</v>
      </c>
      <c r="F1735" s="15">
        <v>194.5892639160156</v>
      </c>
      <c r="H1735" s="16">
        <f t="shared" si="66"/>
        <v>1.4473434140385405E-2</v>
      </c>
      <c r="I1735" s="16">
        <f t="shared" si="66"/>
        <v>-7.7975441136386757E-4</v>
      </c>
      <c r="J1735" s="16">
        <f t="shared" si="66"/>
        <v>2.8071459585694595E-3</v>
      </c>
      <c r="K1735" s="16">
        <f t="shared" si="66"/>
        <v>1.8072584647875659E-2</v>
      </c>
      <c r="L1735" s="16">
        <f t="shared" si="67"/>
        <v>1.3521394370497951E-2</v>
      </c>
    </row>
    <row r="1736" spans="1:12" x14ac:dyDescent="0.35">
      <c r="A1736" s="18">
        <v>44771</v>
      </c>
      <c r="B1736" s="15">
        <v>394.8604736328125</v>
      </c>
      <c r="C1736" s="15">
        <v>69.109306335449219</v>
      </c>
      <c r="D1736" s="15">
        <v>164.1000061035156</v>
      </c>
      <c r="E1736" s="15">
        <v>309.3341064453125</v>
      </c>
      <c r="F1736" s="15">
        <v>197.2382507324219</v>
      </c>
      <c r="H1736" s="16">
        <f t="shared" si="66"/>
        <v>-2.9656442637306132E-3</v>
      </c>
      <c r="I1736" s="16">
        <f t="shared" si="66"/>
        <v>4.3297299750611066E-3</v>
      </c>
      <c r="J1736" s="16">
        <f t="shared" si="66"/>
        <v>5.6512328686969295E-3</v>
      </c>
      <c r="K1736" s="16">
        <f t="shared" si="66"/>
        <v>-6.02277174547695E-4</v>
      </c>
      <c r="L1736" s="16">
        <f t="shared" si="67"/>
        <v>-2.3299224824745376E-3</v>
      </c>
    </row>
    <row r="1737" spans="1:12" x14ac:dyDescent="0.35">
      <c r="A1737" s="18">
        <v>44774</v>
      </c>
      <c r="B1737" s="15">
        <v>393.69119262695313</v>
      </c>
      <c r="C1737" s="15">
        <v>69.4091796875</v>
      </c>
      <c r="D1737" s="15">
        <v>165.0299987792969</v>
      </c>
      <c r="E1737" s="15">
        <v>309.14785766601563</v>
      </c>
      <c r="F1737" s="15">
        <v>196.77923583984381</v>
      </c>
      <c r="H1737" s="16">
        <f t="shared" si="66"/>
        <v>-6.6192917669739863E-3</v>
      </c>
      <c r="I1737" s="16">
        <f t="shared" si="66"/>
        <v>-1.0170810002143354E-2</v>
      </c>
      <c r="J1737" s="16">
        <f t="shared" si="66"/>
        <v>-5.9559901489024316E-3</v>
      </c>
      <c r="K1737" s="16">
        <f t="shared" si="66"/>
        <v>-2.9860462887010756E-3</v>
      </c>
      <c r="L1737" s="16">
        <f t="shared" si="67"/>
        <v>-5.4089359426234612E-3</v>
      </c>
    </row>
    <row r="1738" spans="1:12" x14ac:dyDescent="0.35">
      <c r="A1738" s="18">
        <v>44775</v>
      </c>
      <c r="B1738" s="15">
        <v>391.09384155273438</v>
      </c>
      <c r="C1738" s="15">
        <v>68.706809997558594</v>
      </c>
      <c r="D1738" s="15">
        <v>164.05000305175781</v>
      </c>
      <c r="E1738" s="15">
        <v>308.22610473632813</v>
      </c>
      <c r="F1738" s="15">
        <v>195.7177429199219</v>
      </c>
      <c r="H1738" s="16">
        <f t="shared" si="66"/>
        <v>1.5538141598990673E-2</v>
      </c>
      <c r="I1738" s="16">
        <f t="shared" si="66"/>
        <v>4.9677972485935688E-3</v>
      </c>
      <c r="J1738" s="16">
        <f t="shared" si="66"/>
        <v>2.435276067987767E-3</v>
      </c>
      <c r="K1738" s="16">
        <f t="shared" si="66"/>
        <v>2.6868295745722186E-2</v>
      </c>
      <c r="L1738" s="16">
        <f t="shared" si="67"/>
        <v>1.5947555128299248E-2</v>
      </c>
    </row>
    <row r="1739" spans="1:12" x14ac:dyDescent="0.35">
      <c r="A1739" s="18">
        <v>44776</v>
      </c>
      <c r="B1739" s="15">
        <v>397.21817016601563</v>
      </c>
      <c r="C1739" s="15">
        <v>69.048980712890625</v>
      </c>
      <c r="D1739" s="15">
        <v>164.44999694824219</v>
      </c>
      <c r="E1739" s="15">
        <v>316.619873046875</v>
      </c>
      <c r="F1739" s="15">
        <v>198.8639831542969</v>
      </c>
      <c r="H1739" s="16">
        <f t="shared" si="66"/>
        <v>-6.7562535667749495E-4</v>
      </c>
      <c r="I1739" s="16">
        <f t="shared" si="66"/>
        <v>2.4748398706022708E-3</v>
      </c>
      <c r="J1739" s="16">
        <f t="shared" si="66"/>
        <v>1.6404693683584038E-2</v>
      </c>
      <c r="K1739" s="16">
        <f t="shared" si="66"/>
        <v>4.6656291261717277E-3</v>
      </c>
      <c r="L1739" s="16">
        <f t="shared" si="67"/>
        <v>-9.6227058741692282E-4</v>
      </c>
    </row>
    <row r="1740" spans="1:12" x14ac:dyDescent="0.35">
      <c r="A1740" s="18">
        <v>44777</v>
      </c>
      <c r="B1740" s="15">
        <v>396.94989013671881</v>
      </c>
      <c r="C1740" s="15">
        <v>69.220077514648438</v>
      </c>
      <c r="D1740" s="15">
        <v>167.16999816894531</v>
      </c>
      <c r="E1740" s="15">
        <v>318.10055541992188</v>
      </c>
      <c r="F1740" s="15">
        <v>198.67271423339841</v>
      </c>
      <c r="H1740" s="16">
        <f t="shared" si="66"/>
        <v>-1.691563715940942E-3</v>
      </c>
      <c r="I1740" s="16">
        <f t="shared" si="66"/>
        <v>-1.1382412353397856E-2</v>
      </c>
      <c r="J1740" s="16">
        <f t="shared" si="66"/>
        <v>-1.1309781450742627E-2</v>
      </c>
      <c r="K1740" s="16">
        <f t="shared" si="66"/>
        <v>-8.2024788212865501E-3</v>
      </c>
      <c r="L1740" s="16">
        <f t="shared" si="67"/>
        <v>-3.369175471885892E-4</v>
      </c>
    </row>
    <row r="1741" spans="1:12" x14ac:dyDescent="0.35">
      <c r="A1741" s="18">
        <v>44778</v>
      </c>
      <c r="B1741" s="15">
        <v>396.27899169921881</v>
      </c>
      <c r="C1741" s="15">
        <v>68.436653137207031</v>
      </c>
      <c r="D1741" s="15">
        <v>165.28999328613281</v>
      </c>
      <c r="E1741" s="15">
        <v>315.50201416015619</v>
      </c>
      <c r="F1741" s="15">
        <v>198.60578918457031</v>
      </c>
      <c r="H1741" s="16">
        <f t="shared" si="66"/>
        <v>-1.1616823105479886E-3</v>
      </c>
      <c r="I1741" s="16">
        <f t="shared" si="66"/>
        <v>4.4636488222453124E-3</v>
      </c>
      <c r="J1741" s="16">
        <f t="shared" si="66"/>
        <v>8.4343482908356866E-3</v>
      </c>
      <c r="K1741" s="16">
        <f t="shared" si="66"/>
        <v>-3.2376600231153216E-3</v>
      </c>
      <c r="L1741" s="16">
        <f t="shared" si="67"/>
        <v>9.1431424895761727E-4</v>
      </c>
    </row>
    <row r="1742" spans="1:12" x14ac:dyDescent="0.35">
      <c r="A1742" s="18">
        <v>44781</v>
      </c>
      <c r="B1742" s="15">
        <v>395.81890869140619</v>
      </c>
      <c r="C1742" s="15">
        <v>68.742813110351563</v>
      </c>
      <c r="D1742" s="15">
        <v>166.69000244140619</v>
      </c>
      <c r="E1742" s="15">
        <v>314.482177734375</v>
      </c>
      <c r="F1742" s="15">
        <v>198.78746032714841</v>
      </c>
      <c r="H1742" s="16">
        <f t="shared" si="66"/>
        <v>-3.9790106004436946E-3</v>
      </c>
      <c r="I1742" s="16">
        <f t="shared" si="66"/>
        <v>-2.2291670446364107E-3</v>
      </c>
      <c r="J1742" s="16">
        <f t="shared" si="66"/>
        <v>3.0548677970777781E-3</v>
      </c>
      <c r="K1742" s="16">
        <f t="shared" si="66"/>
        <v>-1.1383081031380185E-2</v>
      </c>
      <c r="L1742" s="16">
        <f t="shared" si="67"/>
        <v>-6.321957959715011E-3</v>
      </c>
    </row>
    <row r="1743" spans="1:12" x14ac:dyDescent="0.35">
      <c r="A1743" s="18">
        <v>44782</v>
      </c>
      <c r="B1743" s="15">
        <v>394.2470703125</v>
      </c>
      <c r="C1743" s="15">
        <v>68.589744567871094</v>
      </c>
      <c r="D1743" s="15">
        <v>167.19999694824219</v>
      </c>
      <c r="E1743" s="15">
        <v>310.92269897460938</v>
      </c>
      <c r="F1743" s="15">
        <v>197.5346984863281</v>
      </c>
      <c r="H1743" s="16">
        <f t="shared" si="66"/>
        <v>2.0786599225793737E-2</v>
      </c>
      <c r="I1743" s="16">
        <f t="shared" si="66"/>
        <v>2.7528772593466071E-3</v>
      </c>
      <c r="J1743" s="16">
        <f t="shared" si="66"/>
        <v>-2.5151110588633083E-3</v>
      </c>
      <c r="K1743" s="16">
        <f t="shared" si="66"/>
        <v>2.7528581683729576E-2</v>
      </c>
      <c r="L1743" s="16">
        <f t="shared" si="67"/>
        <v>2.2546195778877676E-2</v>
      </c>
    </row>
    <row r="1744" spans="1:12" x14ac:dyDescent="0.35">
      <c r="A1744" s="18">
        <v>44783</v>
      </c>
      <c r="B1744" s="15">
        <v>402.52789306640619</v>
      </c>
      <c r="C1744" s="15">
        <v>68.778823852539063</v>
      </c>
      <c r="D1744" s="15">
        <v>166.7799987792969</v>
      </c>
      <c r="E1744" s="15">
        <v>319.60086059570313</v>
      </c>
      <c r="F1744" s="15">
        <v>202.0389404296875</v>
      </c>
      <c r="H1744" s="16">
        <f t="shared" si="66"/>
        <v>0</v>
      </c>
      <c r="I1744" s="16">
        <f t="shared" si="66"/>
        <v>-5.6455371408205661E-3</v>
      </c>
      <c r="J1744" s="16">
        <f t="shared" si="66"/>
        <v>-2.6417069148639769E-3</v>
      </c>
      <c r="K1744" s="16">
        <f t="shared" si="66"/>
        <v>-5.6923677822264141E-3</v>
      </c>
      <c r="L1744" s="16">
        <f t="shared" si="67"/>
        <v>4.7201386385400045E-5</v>
      </c>
    </row>
    <row r="1745" spans="1:12" x14ac:dyDescent="0.35">
      <c r="A1745" s="18">
        <v>44784</v>
      </c>
      <c r="B1745" s="15">
        <v>402.52789306640619</v>
      </c>
      <c r="C1745" s="15">
        <v>68.391624450683594</v>
      </c>
      <c r="D1745" s="15">
        <v>166.3399963378906</v>
      </c>
      <c r="E1745" s="15">
        <v>317.7867431640625</v>
      </c>
      <c r="F1745" s="15">
        <v>202.04847717285159</v>
      </c>
      <c r="H1745" s="16">
        <f t="shared" si="66"/>
        <v>1.6787220519977067E-2</v>
      </c>
      <c r="I1745" s="16">
        <f t="shared" si="66"/>
        <v>4.5979533380670337E-3</v>
      </c>
      <c r="J1745" s="16">
        <f t="shared" si="66"/>
        <v>9.1559768227206118E-3</v>
      </c>
      <c r="K1745" s="16">
        <f t="shared" si="66"/>
        <v>1.9283477391358477E-2</v>
      </c>
      <c r="L1745" s="16">
        <f t="shared" si="67"/>
        <v>1.7174695561456708E-2</v>
      </c>
    </row>
    <row r="1746" spans="1:12" x14ac:dyDescent="0.35">
      <c r="A1746" s="18">
        <v>44785</v>
      </c>
      <c r="B1746" s="15">
        <v>409.34225463867188</v>
      </c>
      <c r="C1746" s="15">
        <v>68.706809997558594</v>
      </c>
      <c r="D1746" s="15">
        <v>167.8699951171875</v>
      </c>
      <c r="E1746" s="15">
        <v>323.9742431640625</v>
      </c>
      <c r="F1746" s="15">
        <v>205.54856872558591</v>
      </c>
      <c r="H1746" s="16">
        <f t="shared" si="66"/>
        <v>4.1122853947896977E-3</v>
      </c>
      <c r="I1746" s="16">
        <f t="shared" si="66"/>
        <v>1.0475838027535016E-3</v>
      </c>
      <c r="J1746" s="16">
        <f t="shared" si="66"/>
        <v>-1.2950528089989187E-2</v>
      </c>
      <c r="K1746" s="16">
        <f t="shared" si="66"/>
        <v>8.0487292277356941E-3</v>
      </c>
      <c r="L1746" s="16">
        <f t="shared" si="67"/>
        <v>3.9004569921471267E-3</v>
      </c>
    </row>
    <row r="1747" spans="1:12" x14ac:dyDescent="0.35">
      <c r="A1747" s="18">
        <v>44788</v>
      </c>
      <c r="B1747" s="15">
        <v>411.029052734375</v>
      </c>
      <c r="C1747" s="15">
        <v>68.778823852539063</v>
      </c>
      <c r="D1747" s="15">
        <v>165.71000671386719</v>
      </c>
      <c r="E1747" s="15">
        <v>326.59234619140619</v>
      </c>
      <c r="F1747" s="15">
        <v>206.35186767578119</v>
      </c>
      <c r="H1747" s="16">
        <f t="shared" si="66"/>
        <v>1.9568622906807665E-3</v>
      </c>
      <c r="I1747" s="16">
        <f t="shared" si="66"/>
        <v>-1.3099012287758598E-3</v>
      </c>
      <c r="J1747" s="16">
        <f t="shared" si="66"/>
        <v>-1.7516299628300418E-3</v>
      </c>
      <c r="K1747" s="16">
        <f t="shared" ref="K1747:L1810" si="68">LN(E1748/E1747)</f>
        <v>-2.3446002773437179E-3</v>
      </c>
      <c r="L1747" s="16">
        <f t="shared" si="67"/>
        <v>2.12950539779205E-3</v>
      </c>
    </row>
    <row r="1748" spans="1:12" x14ac:dyDescent="0.35">
      <c r="A1748" s="18">
        <v>44789</v>
      </c>
      <c r="B1748" s="15">
        <v>411.83416748046881</v>
      </c>
      <c r="C1748" s="15">
        <v>68.688789367675781</v>
      </c>
      <c r="D1748" s="15">
        <v>165.41999816894531</v>
      </c>
      <c r="E1748" s="15">
        <v>325.8275146484375</v>
      </c>
      <c r="F1748" s="15">
        <v>206.79176330566409</v>
      </c>
      <c r="H1748" s="16">
        <f t="shared" ref="H1748:L1811" si="69">LN(B1749/B1748)</f>
        <v>-7.1234313789971379E-3</v>
      </c>
      <c r="I1748" s="16">
        <f t="shared" si="69"/>
        <v>-5.9170554093062617E-3</v>
      </c>
      <c r="J1748" s="16">
        <f t="shared" si="69"/>
        <v>-6.4893459471052793E-3</v>
      </c>
      <c r="K1748" s="16">
        <f t="shared" si="68"/>
        <v>-1.1471488320741753E-2</v>
      </c>
      <c r="L1748" s="16">
        <f t="shared" si="68"/>
        <v>-9.0120231435766827E-3</v>
      </c>
    </row>
    <row r="1749" spans="1:12" x14ac:dyDescent="0.35">
      <c r="A1749" s="18">
        <v>44790</v>
      </c>
      <c r="B1749" s="15">
        <v>408.91091918945313</v>
      </c>
      <c r="C1749" s="15">
        <v>68.283554077148438</v>
      </c>
      <c r="D1749" s="15">
        <v>164.3500061035156</v>
      </c>
      <c r="E1749" s="15">
        <v>322.11114501953119</v>
      </c>
      <c r="F1749" s="15">
        <v>204.9365234375</v>
      </c>
      <c r="H1749" s="16">
        <f t="shared" si="69"/>
        <v>2.9023025678154716E-3</v>
      </c>
      <c r="I1749" s="16">
        <f t="shared" si="69"/>
        <v>1.8445419796174482E-3</v>
      </c>
      <c r="J1749" s="16">
        <f t="shared" si="69"/>
        <v>-2.6198444873021119E-3</v>
      </c>
      <c r="K1749" s="16">
        <f t="shared" si="68"/>
        <v>2.4019589448833864E-3</v>
      </c>
      <c r="L1749" s="16">
        <f t="shared" si="68"/>
        <v>2.6098540951273535E-3</v>
      </c>
    </row>
    <row r="1750" spans="1:12" x14ac:dyDescent="0.35">
      <c r="A1750" s="18">
        <v>44791</v>
      </c>
      <c r="B1750" s="15">
        <v>410.09942626953119</v>
      </c>
      <c r="C1750" s="15">
        <v>68.409622192382813</v>
      </c>
      <c r="D1750" s="15">
        <v>163.91999816894531</v>
      </c>
      <c r="E1750" s="15">
        <v>322.88577270507813</v>
      </c>
      <c r="F1750" s="15">
        <v>205.4720764160156</v>
      </c>
      <c r="H1750" s="16">
        <f t="shared" si="69"/>
        <v>-1.3529129786189337E-2</v>
      </c>
      <c r="I1750" s="16">
        <f t="shared" si="69"/>
        <v>-6.338055334542827E-3</v>
      </c>
      <c r="J1750" s="16">
        <f t="shared" si="69"/>
        <v>-7.3475529581151821E-3</v>
      </c>
      <c r="K1750" s="16">
        <f t="shared" si="68"/>
        <v>-1.9689716491866682E-2</v>
      </c>
      <c r="L1750" s="16">
        <f t="shared" si="68"/>
        <v>-1.4391462552213942E-2</v>
      </c>
    </row>
    <row r="1751" spans="1:12" x14ac:dyDescent="0.35">
      <c r="A1751" s="18">
        <v>44792</v>
      </c>
      <c r="B1751" s="15">
        <v>404.5885009765625</v>
      </c>
      <c r="C1751" s="15">
        <v>67.977409362792969</v>
      </c>
      <c r="D1751" s="15">
        <v>162.7200012207031</v>
      </c>
      <c r="E1751" s="15">
        <v>316.59042358398438</v>
      </c>
      <c r="F1751" s="15">
        <v>202.53620910644531</v>
      </c>
      <c r="H1751" s="16">
        <f t="shared" si="69"/>
        <v>-2.1042310008844906E-2</v>
      </c>
      <c r="I1751" s="16">
        <f t="shared" si="69"/>
        <v>-4.5139089346996515E-3</v>
      </c>
      <c r="J1751" s="16">
        <f t="shared" si="69"/>
        <v>-6.6593033678330202E-3</v>
      </c>
      <c r="K1751" s="16">
        <f t="shared" si="68"/>
        <v>-2.6680035939454668E-2</v>
      </c>
      <c r="L1751" s="16">
        <f t="shared" si="68"/>
        <v>-2.162113426764441E-2</v>
      </c>
    </row>
    <row r="1752" spans="1:12" x14ac:dyDescent="0.35">
      <c r="A1752" s="18">
        <v>44795</v>
      </c>
      <c r="B1752" s="15">
        <v>396.16397094726563</v>
      </c>
      <c r="C1752" s="15">
        <v>67.671257019042969</v>
      </c>
      <c r="D1752" s="15">
        <v>161.63999938964841</v>
      </c>
      <c r="E1752" s="15">
        <v>308.25546264648438</v>
      </c>
      <c r="F1752" s="15">
        <v>198.20414733886719</v>
      </c>
      <c r="H1752" s="16">
        <f t="shared" si="69"/>
        <v>-2.4223744485774965E-3</v>
      </c>
      <c r="I1752" s="16">
        <f t="shared" si="69"/>
        <v>-3.9952479296316714E-4</v>
      </c>
      <c r="J1752" s="16">
        <f t="shared" si="69"/>
        <v>6.9665512175815054E-3</v>
      </c>
      <c r="K1752" s="16">
        <f t="shared" si="68"/>
        <v>-8.2729690151090286E-4</v>
      </c>
      <c r="L1752" s="16">
        <f t="shared" si="68"/>
        <v>-1.8835994760976037E-3</v>
      </c>
    </row>
    <row r="1753" spans="1:12" x14ac:dyDescent="0.35">
      <c r="A1753" s="18">
        <v>44796</v>
      </c>
      <c r="B1753" s="15">
        <v>395.20547485351563</v>
      </c>
      <c r="C1753" s="15">
        <v>67.64422607421875</v>
      </c>
      <c r="D1753" s="15">
        <v>162.77000427246091</v>
      </c>
      <c r="E1753" s="15">
        <v>308.00054931640619</v>
      </c>
      <c r="F1753" s="15">
        <v>197.83116149902341</v>
      </c>
      <c r="H1753" s="16">
        <f t="shared" si="69"/>
        <v>3.1964074523104825E-3</v>
      </c>
      <c r="I1753" s="16">
        <f t="shared" si="69"/>
        <v>-2.5326803035293482E-3</v>
      </c>
      <c r="J1753" s="16">
        <f t="shared" si="69"/>
        <v>2.944580504679667E-3</v>
      </c>
      <c r="K1753" s="16">
        <f t="shared" si="68"/>
        <v>2.893191940588903E-3</v>
      </c>
      <c r="L1753" s="16">
        <f t="shared" si="68"/>
        <v>4.1968680540141528E-3</v>
      </c>
    </row>
    <row r="1754" spans="1:12" x14ac:dyDescent="0.35">
      <c r="A1754" s="18">
        <v>44797</v>
      </c>
      <c r="B1754" s="15">
        <v>396.47073364257813</v>
      </c>
      <c r="C1754" s="15">
        <v>67.473121643066406</v>
      </c>
      <c r="D1754" s="15">
        <v>163.25</v>
      </c>
      <c r="E1754" s="15">
        <v>308.8929443359375</v>
      </c>
      <c r="F1754" s="15">
        <v>198.6631774902344</v>
      </c>
      <c r="H1754" s="16">
        <f t="shared" si="69"/>
        <v>1.4018605428872575E-2</v>
      </c>
      <c r="I1754" s="16">
        <f t="shared" si="69"/>
        <v>5.4566920901501356E-3</v>
      </c>
      <c r="J1754" s="16">
        <f t="shared" si="69"/>
        <v>3.0581063588208724E-3</v>
      </c>
      <c r="K1754" s="16">
        <f t="shared" si="68"/>
        <v>1.75272262811416E-2</v>
      </c>
      <c r="L1754" s="16">
        <f t="shared" si="68"/>
        <v>1.4385201016731314E-2</v>
      </c>
    </row>
    <row r="1755" spans="1:12" x14ac:dyDescent="0.35">
      <c r="A1755" s="18">
        <v>44798</v>
      </c>
      <c r="B1755" s="15">
        <v>402.06784057617188</v>
      </c>
      <c r="C1755" s="15">
        <v>67.842308044433594</v>
      </c>
      <c r="D1755" s="15">
        <v>163.75</v>
      </c>
      <c r="E1755" s="15">
        <v>314.35470581054688</v>
      </c>
      <c r="F1755" s="15">
        <v>201.54164123535159</v>
      </c>
      <c r="H1755" s="16">
        <f t="shared" si="69"/>
        <v>-3.4435206140596981E-2</v>
      </c>
      <c r="I1755" s="16">
        <f t="shared" si="69"/>
        <v>-1.9927115386917838E-3</v>
      </c>
      <c r="J1755" s="16">
        <f t="shared" si="69"/>
        <v>-1.2227153201930182E-2</v>
      </c>
      <c r="K1755" s="16">
        <f t="shared" si="68"/>
        <v>-4.1851876827422307E-2</v>
      </c>
      <c r="L1755" s="16">
        <f t="shared" si="68"/>
        <v>-3.3680598449080265E-2</v>
      </c>
    </row>
    <row r="1756" spans="1:12" x14ac:dyDescent="0.35">
      <c r="A1756" s="18">
        <v>44799</v>
      </c>
      <c r="B1756" s="15">
        <v>388.45822143554688</v>
      </c>
      <c r="C1756" s="15">
        <v>67.707252502441406</v>
      </c>
      <c r="D1756" s="15">
        <v>161.75999450683591</v>
      </c>
      <c r="E1756" s="15">
        <v>301.46987915039063</v>
      </c>
      <c r="F1756" s="15">
        <v>194.86663818359381</v>
      </c>
      <c r="H1756" s="16">
        <f t="shared" si="69"/>
        <v>-6.6342612613010596E-3</v>
      </c>
      <c r="I1756" s="16">
        <f t="shared" si="69"/>
        <v>-4.5318474394108552E-3</v>
      </c>
      <c r="J1756" s="16">
        <f t="shared" si="69"/>
        <v>6.1804652498583239E-4</v>
      </c>
      <c r="K1756" s="16">
        <f t="shared" si="68"/>
        <v>-9.904366731393768E-3</v>
      </c>
      <c r="L1756" s="16">
        <f t="shared" si="68"/>
        <v>-7.3393414547776453E-3</v>
      </c>
    </row>
    <row r="1757" spans="1:12" x14ac:dyDescent="0.35">
      <c r="A1757" s="18">
        <v>44802</v>
      </c>
      <c r="B1757" s="15">
        <v>385.88961791992188</v>
      </c>
      <c r="C1757" s="15">
        <v>67.401107788085938</v>
      </c>
      <c r="D1757" s="15">
        <v>161.86000061035159</v>
      </c>
      <c r="E1757" s="15">
        <v>298.49874877929688</v>
      </c>
      <c r="F1757" s="15">
        <v>193.4416809082031</v>
      </c>
      <c r="H1757" s="16">
        <f t="shared" si="69"/>
        <v>-1.1038386690030778E-2</v>
      </c>
      <c r="I1757" s="16">
        <f t="shared" si="69"/>
        <v>8.008656746828982E-4</v>
      </c>
      <c r="J1757" s="16">
        <f t="shared" si="69"/>
        <v>-8.3755561364803801E-3</v>
      </c>
      <c r="K1757" s="16">
        <f t="shared" si="68"/>
        <v>-1.1198932514333924E-2</v>
      </c>
      <c r="L1757" s="16">
        <f t="shared" si="68"/>
        <v>-1.1185191249251108E-2</v>
      </c>
    </row>
    <row r="1758" spans="1:12" x14ac:dyDescent="0.35">
      <c r="A1758" s="18">
        <v>44803</v>
      </c>
      <c r="B1758" s="15">
        <v>381.6534423828125</v>
      </c>
      <c r="C1758" s="15">
        <v>67.455108642578125</v>
      </c>
      <c r="D1758" s="15">
        <v>160.50999450683591</v>
      </c>
      <c r="E1758" s="15">
        <v>295.17453002929688</v>
      </c>
      <c r="F1758" s="15">
        <v>191.29005432128909</v>
      </c>
      <c r="H1758" s="16">
        <f t="shared" si="69"/>
        <v>-7.637990884532396E-3</v>
      </c>
      <c r="I1758" s="16">
        <f t="shared" si="69"/>
        <v>-4.1462413496111857E-3</v>
      </c>
      <c r="J1758" s="16">
        <f t="shared" si="69"/>
        <v>-7.7553096129762645E-3</v>
      </c>
      <c r="K1758" s="16">
        <f t="shared" si="68"/>
        <v>-5.8305895893695442E-3</v>
      </c>
      <c r="L1758" s="16">
        <f t="shared" si="68"/>
        <v>-7.3760651457856242E-3</v>
      </c>
    </row>
    <row r="1759" spans="1:12" x14ac:dyDescent="0.35">
      <c r="A1759" s="18">
        <v>44804</v>
      </c>
      <c r="B1759" s="15">
        <v>378.74948120117188</v>
      </c>
      <c r="C1759" s="15">
        <v>67.176002502441406</v>
      </c>
      <c r="D1759" s="15">
        <v>159.27000427246091</v>
      </c>
      <c r="E1759" s="15">
        <v>293.45849609375</v>
      </c>
      <c r="F1759" s="15">
        <v>189.88427734375</v>
      </c>
      <c r="H1759" s="16">
        <f t="shared" si="69"/>
        <v>3.1328226457901414E-3</v>
      </c>
      <c r="I1759" s="16">
        <f t="shared" si="69"/>
        <v>-5.4422188121963332E-3</v>
      </c>
      <c r="J1759" s="16">
        <f t="shared" si="69"/>
        <v>-8.8290234746502376E-3</v>
      </c>
      <c r="K1759" s="16">
        <f t="shared" si="68"/>
        <v>4.3449161188895011E-4</v>
      </c>
      <c r="L1759" s="16">
        <f t="shared" si="68"/>
        <v>6.0395173274787434E-4</v>
      </c>
    </row>
    <row r="1760" spans="1:12" x14ac:dyDescent="0.35">
      <c r="A1760" s="18">
        <v>44805</v>
      </c>
      <c r="B1760" s="15">
        <v>379.93789672851563</v>
      </c>
      <c r="C1760" s="15">
        <v>66.811408996582031</v>
      </c>
      <c r="D1760" s="15">
        <v>157.8699951171875</v>
      </c>
      <c r="E1760" s="15">
        <v>293.58602905273438</v>
      </c>
      <c r="F1760" s="15">
        <v>189.9989929199219</v>
      </c>
      <c r="H1760" s="16">
        <f t="shared" si="69"/>
        <v>-1.0600489689926293E-2</v>
      </c>
      <c r="I1760" s="16">
        <f t="shared" si="69"/>
        <v>2.562744033318826E-3</v>
      </c>
      <c r="J1760" s="16">
        <f t="shared" si="69"/>
        <v>8.766173723187819E-3</v>
      </c>
      <c r="K1760" s="16">
        <f t="shared" si="68"/>
        <v>-1.4229006773737786E-2</v>
      </c>
      <c r="L1760" s="16">
        <f t="shared" si="68"/>
        <v>-9.9647778949667944E-3</v>
      </c>
    </row>
    <row r="1761" spans="1:12" x14ac:dyDescent="0.35">
      <c r="A1761" s="18">
        <v>44806</v>
      </c>
      <c r="B1761" s="15">
        <v>375.931640625</v>
      </c>
      <c r="C1761" s="15">
        <v>66.98284912109375</v>
      </c>
      <c r="D1761" s="15">
        <v>159.25999450683591</v>
      </c>
      <c r="E1761" s="15">
        <v>289.43817138671881</v>
      </c>
      <c r="F1761" s="15">
        <v>188.11509704589841</v>
      </c>
      <c r="H1761" s="16">
        <f t="shared" si="69"/>
        <v>-3.7803144873818206E-3</v>
      </c>
      <c r="I1761" s="16">
        <f t="shared" si="69"/>
        <v>-9.0670439953761534E-3</v>
      </c>
      <c r="J1761" s="16">
        <f t="shared" si="69"/>
        <v>-5.8565782593558834E-3</v>
      </c>
      <c r="K1761" s="16">
        <f t="shared" si="68"/>
        <v>-7.2085185251264325E-3</v>
      </c>
      <c r="L1761" s="16">
        <f t="shared" si="68"/>
        <v>-4.0752731214556848E-3</v>
      </c>
    </row>
    <row r="1762" spans="1:12" x14ac:dyDescent="0.35">
      <c r="A1762" s="18">
        <v>44810</v>
      </c>
      <c r="B1762" s="15">
        <v>374.51318359375</v>
      </c>
      <c r="C1762" s="15">
        <v>66.378257751464844</v>
      </c>
      <c r="D1762" s="15">
        <v>158.33000183105469</v>
      </c>
      <c r="E1762" s="15">
        <v>287.3592529296875</v>
      </c>
      <c r="F1762" s="15">
        <v>187.35003662109381</v>
      </c>
      <c r="H1762" s="16">
        <f t="shared" si="69"/>
        <v>1.7805508995788921E-2</v>
      </c>
      <c r="I1762" s="16">
        <f t="shared" si="69"/>
        <v>7.1794093647783233E-3</v>
      </c>
      <c r="J1762" s="16">
        <f t="shared" si="69"/>
        <v>1.0117286090114598E-2</v>
      </c>
      <c r="K1762" s="16">
        <f t="shared" si="68"/>
        <v>2.0000144117978218E-2</v>
      </c>
      <c r="L1762" s="16">
        <f t="shared" si="68"/>
        <v>1.8309431051128876E-2</v>
      </c>
    </row>
    <row r="1763" spans="1:12" x14ac:dyDescent="0.35">
      <c r="A1763" s="18">
        <v>44811</v>
      </c>
      <c r="B1763" s="15">
        <v>381.24130249023438</v>
      </c>
      <c r="C1763" s="15">
        <v>66.856529235839844</v>
      </c>
      <c r="D1763" s="15">
        <v>159.94000244140619</v>
      </c>
      <c r="E1763" s="15">
        <v>293.16433715820313</v>
      </c>
      <c r="F1763" s="15">
        <v>190.81190490722659</v>
      </c>
      <c r="H1763" s="16">
        <f t="shared" si="69"/>
        <v>6.5149653472519947E-3</v>
      </c>
      <c r="I1763" s="16">
        <f t="shared" si="69"/>
        <v>-3.1092382402058702E-3</v>
      </c>
      <c r="J1763" s="16">
        <f t="shared" si="69"/>
        <v>-6.020378897494196E-3</v>
      </c>
      <c r="K1763" s="16">
        <f t="shared" si="68"/>
        <v>5.1712696040523082E-3</v>
      </c>
      <c r="L1763" s="16">
        <f t="shared" si="68"/>
        <v>7.8872949175205313E-3</v>
      </c>
    </row>
    <row r="1764" spans="1:12" x14ac:dyDescent="0.35">
      <c r="A1764" s="18">
        <v>44812</v>
      </c>
      <c r="B1764" s="15">
        <v>383.73318481445313</v>
      </c>
      <c r="C1764" s="15">
        <v>66.648979187011719</v>
      </c>
      <c r="D1764" s="15">
        <v>158.97999572753909</v>
      </c>
      <c r="E1764" s="15">
        <v>294.68429565429688</v>
      </c>
      <c r="F1764" s="15">
        <v>192.3228454589844</v>
      </c>
      <c r="H1764" s="16">
        <f t="shared" si="69"/>
        <v>1.5415667822610222E-2</v>
      </c>
      <c r="I1764" s="16">
        <f t="shared" si="69"/>
        <v>-4.0634114861635642E-4</v>
      </c>
      <c r="J1764" s="16">
        <f t="shared" si="69"/>
        <v>5.2698465034772546E-3</v>
      </c>
      <c r="K1764" s="16">
        <f t="shared" si="68"/>
        <v>2.16263345006419E-2</v>
      </c>
      <c r="L1764" s="16">
        <f t="shared" si="68"/>
        <v>1.6471408488782983E-2</v>
      </c>
    </row>
    <row r="1765" spans="1:12" x14ac:dyDescent="0.35">
      <c r="A1765" s="18">
        <v>44813</v>
      </c>
      <c r="B1765" s="15">
        <v>389.69451904296881</v>
      </c>
      <c r="C1765" s="15">
        <v>66.621902465820313</v>
      </c>
      <c r="D1765" s="15">
        <v>159.82000732421881</v>
      </c>
      <c r="E1765" s="15">
        <v>301.12664794921881</v>
      </c>
      <c r="F1765" s="15">
        <v>195.51690673828119</v>
      </c>
      <c r="H1765" s="16">
        <f t="shared" si="69"/>
        <v>1.0690597078120053E-2</v>
      </c>
      <c r="I1765" s="16">
        <f t="shared" si="69"/>
        <v>-1.2194417770198872E-3</v>
      </c>
      <c r="J1765" s="16">
        <f t="shared" si="69"/>
        <v>5.0553861933210651E-3</v>
      </c>
      <c r="K1765" s="16">
        <f t="shared" si="68"/>
        <v>1.1815721824351429E-2</v>
      </c>
      <c r="L1765" s="16">
        <f t="shared" si="68"/>
        <v>1.0703052736732197E-2</v>
      </c>
    </row>
    <row r="1766" spans="1:12" x14ac:dyDescent="0.35">
      <c r="A1766" s="18">
        <v>44816</v>
      </c>
      <c r="B1766" s="15">
        <v>393.8829345703125</v>
      </c>
      <c r="C1766" s="15">
        <v>66.54071044921875</v>
      </c>
      <c r="D1766" s="15">
        <v>160.6300048828125</v>
      </c>
      <c r="E1766" s="15">
        <v>304.70578002929688</v>
      </c>
      <c r="F1766" s="15">
        <v>197.62077331542969</v>
      </c>
      <c r="H1766" s="16">
        <f t="shared" si="69"/>
        <v>-4.4456354961313262E-2</v>
      </c>
      <c r="I1766" s="16">
        <f t="shared" si="69"/>
        <v>-5.029928437458797E-3</v>
      </c>
      <c r="J1766" s="16">
        <f t="shared" si="69"/>
        <v>-1.3096728906648173E-2</v>
      </c>
      <c r="K1766" s="16">
        <f t="shared" si="68"/>
        <v>-5.6397513442383466E-2</v>
      </c>
      <c r="L1766" s="16">
        <f t="shared" si="68"/>
        <v>-4.3921565754305933E-2</v>
      </c>
    </row>
    <row r="1767" spans="1:12" x14ac:dyDescent="0.35">
      <c r="A1767" s="18">
        <v>44817</v>
      </c>
      <c r="B1767" s="15">
        <v>376.755859375</v>
      </c>
      <c r="C1767" s="15">
        <v>66.206855773925781</v>
      </c>
      <c r="D1767" s="15">
        <v>158.53999328613281</v>
      </c>
      <c r="E1767" s="15">
        <v>287.99673461914063</v>
      </c>
      <c r="F1767" s="15">
        <v>189.1288146972656</v>
      </c>
      <c r="H1767" s="16">
        <f t="shared" si="69"/>
        <v>3.80869191993605E-3</v>
      </c>
      <c r="I1767" s="16">
        <f t="shared" si="69"/>
        <v>1.2252418834304852E-3</v>
      </c>
      <c r="J1767" s="16">
        <f t="shared" si="69"/>
        <v>-3.8550345553121793E-3</v>
      </c>
      <c r="K1767" s="16">
        <f t="shared" si="68"/>
        <v>7.9018745613216954E-3</v>
      </c>
      <c r="L1767" s="16">
        <f t="shared" si="68"/>
        <v>3.8855426502320367E-3</v>
      </c>
    </row>
    <row r="1768" spans="1:12" x14ac:dyDescent="0.35">
      <c r="A1768" s="18">
        <v>44818</v>
      </c>
      <c r="B1768" s="15">
        <v>378.19354248046881</v>
      </c>
      <c r="C1768" s="15">
        <v>66.28802490234375</v>
      </c>
      <c r="D1768" s="15">
        <v>157.92999267578119</v>
      </c>
      <c r="E1768" s="15">
        <v>290.28146362304688</v>
      </c>
      <c r="F1768" s="15">
        <v>189.8651123046875</v>
      </c>
      <c r="H1768" s="16">
        <f t="shared" si="69"/>
        <v>-1.1418287406044877E-2</v>
      </c>
      <c r="I1768" s="16">
        <f t="shared" si="69"/>
        <v>-2.9991396459367113E-3</v>
      </c>
      <c r="J1768" s="16">
        <f t="shared" si="69"/>
        <v>-1.8855801737617708E-2</v>
      </c>
      <c r="K1768" s="16">
        <f t="shared" si="68"/>
        <v>-1.6794034048224639E-2</v>
      </c>
      <c r="L1768" s="16">
        <f t="shared" si="68"/>
        <v>-1.0735308963520972E-2</v>
      </c>
    </row>
    <row r="1769" spans="1:12" x14ac:dyDescent="0.35">
      <c r="A1769" s="18">
        <v>44819</v>
      </c>
      <c r="B1769" s="15">
        <v>373.8997802734375</v>
      </c>
      <c r="C1769" s="15">
        <v>66.089515686035156</v>
      </c>
      <c r="D1769" s="15">
        <v>154.97999572753909</v>
      </c>
      <c r="E1769" s="15">
        <v>285.44717407226563</v>
      </c>
      <c r="F1769" s="15">
        <v>187.83775329589841</v>
      </c>
      <c r="H1769" s="16">
        <f t="shared" si="69"/>
        <v>-7.658076031624576E-3</v>
      </c>
      <c r="I1769" s="16">
        <f t="shared" si="69"/>
        <v>-1.0930088206017648E-3</v>
      </c>
      <c r="J1769" s="16">
        <f t="shared" si="69"/>
        <v>5.5337676270801137E-3</v>
      </c>
      <c r="K1769" s="16">
        <f t="shared" si="68"/>
        <v>-6.1333585800639866E-3</v>
      </c>
      <c r="L1769" s="16">
        <f t="shared" si="68"/>
        <v>-9.154838034774208E-3</v>
      </c>
    </row>
    <row r="1770" spans="1:12" x14ac:dyDescent="0.35">
      <c r="A1770" s="18">
        <v>44820</v>
      </c>
      <c r="B1770" s="15">
        <v>371.04736328125</v>
      </c>
      <c r="C1770" s="15">
        <v>66.017318725585938</v>
      </c>
      <c r="D1770" s="15">
        <v>155.8399963378906</v>
      </c>
      <c r="E1770" s="15">
        <v>283.7017822265625</v>
      </c>
      <c r="F1770" s="15">
        <v>186.1259765625</v>
      </c>
      <c r="H1770" s="16">
        <f t="shared" si="69"/>
        <v>7.7249203103934268E-3</v>
      </c>
      <c r="I1770" s="16">
        <f t="shared" si="69"/>
        <v>-6.8334737426801735E-4</v>
      </c>
      <c r="J1770" s="16">
        <f t="shared" si="69"/>
        <v>7.6979076798122355E-4</v>
      </c>
      <c r="K1770" s="16">
        <f t="shared" si="68"/>
        <v>7.7570940124725117E-3</v>
      </c>
      <c r="L1770" s="16">
        <f t="shared" si="68"/>
        <v>7.065270689579589E-3</v>
      </c>
    </row>
    <row r="1771" spans="1:12" x14ac:dyDescent="0.35">
      <c r="A1771" s="18">
        <v>44823</v>
      </c>
      <c r="B1771" s="15">
        <v>373.92477416992188</v>
      </c>
      <c r="C1771" s="15">
        <v>65.972221374511719</v>
      </c>
      <c r="D1771" s="15">
        <v>155.96000671386719</v>
      </c>
      <c r="E1771" s="15">
        <v>285.91104125976563</v>
      </c>
      <c r="F1771" s="15">
        <v>187.44566345214841</v>
      </c>
      <c r="H1771" s="16">
        <f t="shared" si="69"/>
        <v>-1.1544772049963556E-2</v>
      </c>
      <c r="I1771" s="16">
        <f t="shared" si="69"/>
        <v>-4.936235517755452E-3</v>
      </c>
      <c r="J1771" s="16">
        <f t="shared" si="69"/>
        <v>-5.7229320552932891E-3</v>
      </c>
      <c r="K1771" s="16">
        <f t="shared" si="68"/>
        <v>-8.00302747805905E-3</v>
      </c>
      <c r="L1771" s="16">
        <f t="shared" si="68"/>
        <v>-1.1700296712080066E-2</v>
      </c>
    </row>
    <row r="1772" spans="1:12" x14ac:dyDescent="0.35">
      <c r="A1772" s="18">
        <v>44824</v>
      </c>
      <c r="B1772" s="15">
        <v>369.63272094726563</v>
      </c>
      <c r="C1772" s="15">
        <v>65.647369384765625</v>
      </c>
      <c r="D1772" s="15">
        <v>155.07000732421881</v>
      </c>
      <c r="E1772" s="15">
        <v>283.63201904296881</v>
      </c>
      <c r="F1772" s="15">
        <v>185.26527404785159</v>
      </c>
      <c r="H1772" s="16">
        <f t="shared" si="69"/>
        <v>-1.7597947096075487E-2</v>
      </c>
      <c r="I1772" s="16">
        <f t="shared" si="69"/>
        <v>2.7454766118410918E-3</v>
      </c>
      <c r="J1772" s="16">
        <f t="shared" si="69"/>
        <v>4.6322283209622381E-3</v>
      </c>
      <c r="K1772" s="16">
        <f t="shared" si="68"/>
        <v>-1.8068325496805704E-2</v>
      </c>
      <c r="L1772" s="16">
        <f t="shared" si="68"/>
        <v>-1.7233194287771751E-2</v>
      </c>
    </row>
    <row r="1773" spans="1:12" x14ac:dyDescent="0.35">
      <c r="A1773" s="18">
        <v>44825</v>
      </c>
      <c r="B1773" s="15">
        <v>363.18484497070313</v>
      </c>
      <c r="C1773" s="15">
        <v>65.827850341796875</v>
      </c>
      <c r="D1773" s="15">
        <v>155.78999328613281</v>
      </c>
      <c r="E1773" s="15">
        <v>278.55328369140619</v>
      </c>
      <c r="F1773" s="15">
        <v>182.09991455078119</v>
      </c>
      <c r="H1773" s="16">
        <f t="shared" si="69"/>
        <v>-8.4352191454523141E-3</v>
      </c>
      <c r="I1773" s="16">
        <f t="shared" si="69"/>
        <v>-1.0334401795137563E-2</v>
      </c>
      <c r="J1773" s="16">
        <f t="shared" si="69"/>
        <v>-5.7784418900316977E-4</v>
      </c>
      <c r="K1773" s="16">
        <f t="shared" si="68"/>
        <v>-1.2384046912908222E-2</v>
      </c>
      <c r="L1773" s="16">
        <f t="shared" si="68"/>
        <v>-1.1248792916967934E-2</v>
      </c>
    </row>
    <row r="1774" spans="1:12" x14ac:dyDescent="0.35">
      <c r="A1774" s="18">
        <v>44826</v>
      </c>
      <c r="B1774" s="15">
        <v>360.13418579101563</v>
      </c>
      <c r="C1774" s="15">
        <v>65.15106201171875</v>
      </c>
      <c r="D1774" s="15">
        <v>155.69999694824219</v>
      </c>
      <c r="E1774" s="15">
        <v>275.12493896484381</v>
      </c>
      <c r="F1774" s="15">
        <v>180.06298828125</v>
      </c>
      <c r="H1774" s="16">
        <f t="shared" si="69"/>
        <v>-1.6896720669985033E-2</v>
      </c>
      <c r="I1774" s="16">
        <f t="shared" si="69"/>
        <v>-2.7741536074591413E-3</v>
      </c>
      <c r="J1774" s="16">
        <f t="shared" si="69"/>
        <v>-1.7427816406674925E-2</v>
      </c>
      <c r="K1774" s="16">
        <f t="shared" si="68"/>
        <v>-1.6416006462649398E-2</v>
      </c>
      <c r="L1774" s="16">
        <f t="shared" si="68"/>
        <v>-1.7399006711281521E-2</v>
      </c>
    </row>
    <row r="1775" spans="1:12" x14ac:dyDescent="0.35">
      <c r="A1775" s="18">
        <v>44827</v>
      </c>
      <c r="B1775" s="15">
        <v>354.1002197265625</v>
      </c>
      <c r="C1775" s="15">
        <v>64.970573425292969</v>
      </c>
      <c r="D1775" s="15">
        <v>153.00999450683591</v>
      </c>
      <c r="E1775" s="15">
        <v>270.64535522460938</v>
      </c>
      <c r="F1775" s="15">
        <v>176.95716857910159</v>
      </c>
      <c r="H1775" s="16">
        <f t="shared" si="69"/>
        <v>-9.9419107656783592E-3</v>
      </c>
      <c r="I1775" s="16">
        <f t="shared" si="69"/>
        <v>-1.2860199720365428E-2</v>
      </c>
      <c r="J1775" s="16">
        <f t="shared" si="69"/>
        <v>-1.1701414321796971E-2</v>
      </c>
      <c r="K1775" s="16">
        <f t="shared" si="68"/>
        <v>-4.1461456703315875E-3</v>
      </c>
      <c r="L1775" s="16">
        <f t="shared" si="68"/>
        <v>-1.1023307795585189E-2</v>
      </c>
    </row>
    <row r="1776" spans="1:12" x14ac:dyDescent="0.35">
      <c r="A1776" s="18">
        <v>44830</v>
      </c>
      <c r="B1776" s="15">
        <v>350.59722900390619</v>
      </c>
      <c r="C1776" s="15">
        <v>64.140388488769531</v>
      </c>
      <c r="D1776" s="15">
        <v>151.22999572753909</v>
      </c>
      <c r="E1776" s="15">
        <v>269.52554321289063</v>
      </c>
      <c r="F1776" s="15">
        <v>175.01722717285159</v>
      </c>
      <c r="H1776" s="16">
        <f t="shared" si="69"/>
        <v>-2.5561066292194355E-3</v>
      </c>
      <c r="I1776" s="16">
        <f t="shared" si="69"/>
        <v>-4.3704214603837799E-3</v>
      </c>
      <c r="J1776" s="16">
        <f t="shared" si="69"/>
        <v>2.0477436877310838E-3</v>
      </c>
      <c r="K1776" s="16">
        <f t="shared" si="68"/>
        <v>4.0074339567258075E-4</v>
      </c>
      <c r="L1776" s="16">
        <f t="shared" si="68"/>
        <v>-1.4825374028055809E-3</v>
      </c>
    </row>
    <row r="1777" spans="1:12" x14ac:dyDescent="0.35">
      <c r="A1777" s="18">
        <v>44831</v>
      </c>
      <c r="B1777" s="15">
        <v>349.70220947265619</v>
      </c>
      <c r="C1777" s="15">
        <v>63.860679626464837</v>
      </c>
      <c r="D1777" s="15">
        <v>151.53999328613281</v>
      </c>
      <c r="E1777" s="15">
        <v>269.63357543945313</v>
      </c>
      <c r="F1777" s="15">
        <v>174.75794982910159</v>
      </c>
      <c r="H1777" s="16">
        <f t="shared" si="69"/>
        <v>1.9485262662630804E-2</v>
      </c>
      <c r="I1777" s="16">
        <f t="shared" si="69"/>
        <v>1.5423526761056804E-2</v>
      </c>
      <c r="J1777" s="16">
        <f t="shared" si="69"/>
        <v>2.0573557832177455E-2</v>
      </c>
      <c r="K1777" s="16">
        <f t="shared" si="68"/>
        <v>1.9697200781563666E-2</v>
      </c>
      <c r="L1777" s="16">
        <f t="shared" si="68"/>
        <v>2.0828916469446974E-2</v>
      </c>
    </row>
    <row r="1778" spans="1:12" x14ac:dyDescent="0.35">
      <c r="A1778" s="18">
        <v>44832</v>
      </c>
      <c r="B1778" s="15">
        <v>356.58306884765619</v>
      </c>
      <c r="C1778" s="15">
        <v>64.853271484375</v>
      </c>
      <c r="D1778" s="15">
        <v>154.69000244140619</v>
      </c>
      <c r="E1778" s="15">
        <v>274.99725341796881</v>
      </c>
      <c r="F1778" s="15">
        <v>178.43614196777341</v>
      </c>
      <c r="H1778" s="16">
        <f t="shared" si="69"/>
        <v>-2.1110278227995809E-2</v>
      </c>
      <c r="I1778" s="16">
        <f t="shared" si="69"/>
        <v>-5.1612603852541411E-3</v>
      </c>
      <c r="J1778" s="16">
        <f t="shared" si="69"/>
        <v>-1.9394717180509552E-4</v>
      </c>
      <c r="K1778" s="16">
        <f t="shared" si="68"/>
        <v>-2.9251314710874152E-2</v>
      </c>
      <c r="L1778" s="16">
        <f t="shared" si="68"/>
        <v>-2.099386593167232E-2</v>
      </c>
    </row>
    <row r="1779" spans="1:12" x14ac:dyDescent="0.35">
      <c r="A1779" s="18">
        <v>44833</v>
      </c>
      <c r="B1779" s="15">
        <v>349.1343994140625</v>
      </c>
      <c r="C1779" s="15">
        <v>64.5194091796875</v>
      </c>
      <c r="D1779" s="15">
        <v>154.6600036621094</v>
      </c>
      <c r="E1779" s="15">
        <v>267.06973266601563</v>
      </c>
      <c r="F1779" s="15">
        <v>174.7291259765625</v>
      </c>
      <c r="H1779" s="16">
        <f t="shared" si="69"/>
        <v>-1.5584201984900924E-2</v>
      </c>
      <c r="I1779" s="16">
        <f t="shared" si="69"/>
        <v>-2.3804758563862756E-3</v>
      </c>
      <c r="J1779" s="16">
        <f t="shared" si="69"/>
        <v>6.4620352246631577E-5</v>
      </c>
      <c r="K1779" s="16">
        <f t="shared" si="68"/>
        <v>-1.710201055187564E-2</v>
      </c>
      <c r="L1779" s="16">
        <f t="shared" si="68"/>
        <v>-1.366895866801557E-2</v>
      </c>
    </row>
    <row r="1780" spans="1:12" x14ac:dyDescent="0.35">
      <c r="A1780" s="18">
        <v>44834</v>
      </c>
      <c r="B1780" s="15">
        <v>343.735595703125</v>
      </c>
      <c r="C1780" s="15">
        <v>64.366004943847656</v>
      </c>
      <c r="D1780" s="15">
        <v>154.66999816894531</v>
      </c>
      <c r="E1780" s="15">
        <v>262.5411376953125</v>
      </c>
      <c r="F1780" s="15">
        <v>172.35700988769531</v>
      </c>
      <c r="H1780" s="16">
        <f t="shared" si="69"/>
        <v>2.6058646759443617E-2</v>
      </c>
      <c r="I1780" s="16">
        <f t="shared" si="69"/>
        <v>8.3391408912360469E-3</v>
      </c>
      <c r="J1780" s="16">
        <f t="shared" si="69"/>
        <v>2.4019005945363193E-2</v>
      </c>
      <c r="K1780" s="16">
        <f t="shared" si="68"/>
        <v>2.3189139166406303E-2</v>
      </c>
      <c r="L1780" s="16">
        <f t="shared" si="68"/>
        <v>2.5090813093622138E-2</v>
      </c>
    </row>
    <row r="1781" spans="1:12" x14ac:dyDescent="0.35">
      <c r="A1781" s="18">
        <v>44837</v>
      </c>
      <c r="B1781" s="15">
        <v>352.81060791015619</v>
      </c>
      <c r="C1781" s="15">
        <v>64.905006408691406</v>
      </c>
      <c r="D1781" s="15">
        <v>158.42999267578119</v>
      </c>
      <c r="E1781" s="15">
        <v>268.70037841796881</v>
      </c>
      <c r="F1781" s="15">
        <v>176.7362976074219</v>
      </c>
      <c r="H1781" s="16">
        <f t="shared" si="69"/>
        <v>3.0516214407043114E-2</v>
      </c>
      <c r="I1781" s="16">
        <f t="shared" si="69"/>
        <v>2.5044931756807386E-3</v>
      </c>
      <c r="J1781" s="16">
        <f t="shared" si="69"/>
        <v>1.4226444596112409E-2</v>
      </c>
      <c r="K1781" s="16">
        <f t="shared" si="68"/>
        <v>3.0956534384783477E-2</v>
      </c>
      <c r="L1781" s="16">
        <f t="shared" si="68"/>
        <v>3.1609435976782355E-2</v>
      </c>
    </row>
    <row r="1782" spans="1:12" x14ac:dyDescent="0.35">
      <c r="A1782" s="18">
        <v>44838</v>
      </c>
      <c r="B1782" s="15">
        <v>363.74301147460938</v>
      </c>
      <c r="C1782" s="15">
        <v>65.067764282226563</v>
      </c>
      <c r="D1782" s="15">
        <v>160.69999694824219</v>
      </c>
      <c r="E1782" s="15">
        <v>277.14849853515619</v>
      </c>
      <c r="F1782" s="15">
        <v>182.41206359863281</v>
      </c>
      <c r="H1782" s="16">
        <f t="shared" si="69"/>
        <v>-2.3309884080553256E-3</v>
      </c>
      <c r="I1782" s="16">
        <f t="shared" si="69"/>
        <v>-5.295425674987332E-3</v>
      </c>
      <c r="J1782" s="16">
        <f t="shared" si="69"/>
        <v>-5.5536594329761409E-3</v>
      </c>
      <c r="K1782" s="16">
        <f t="shared" si="68"/>
        <v>-5.3165545727978469E-4</v>
      </c>
      <c r="L1782" s="16">
        <f t="shared" si="68"/>
        <v>-1.8971426146930613E-3</v>
      </c>
    </row>
    <row r="1783" spans="1:12" x14ac:dyDescent="0.35">
      <c r="A1783" s="18">
        <v>44839</v>
      </c>
      <c r="B1783" s="15">
        <v>362.8961181640625</v>
      </c>
      <c r="C1783" s="15">
        <v>64.724113464355469</v>
      </c>
      <c r="D1783" s="15">
        <v>159.80999755859381</v>
      </c>
      <c r="E1783" s="15">
        <v>277.00119018554688</v>
      </c>
      <c r="F1783" s="15">
        <v>182.06632995605469</v>
      </c>
      <c r="H1783" s="16">
        <f t="shared" si="69"/>
        <v>-1.0369113416894477E-2</v>
      </c>
      <c r="I1783" s="16">
        <f t="shared" si="69"/>
        <v>-3.7792699347352775E-3</v>
      </c>
      <c r="J1783" s="16">
        <f t="shared" si="69"/>
        <v>-1.1269264553865831E-3</v>
      </c>
      <c r="K1783" s="16">
        <f t="shared" si="68"/>
        <v>-7.9041057748116504E-3</v>
      </c>
      <c r="L1783" s="16">
        <f t="shared" si="68"/>
        <v>-9.5934706291080554E-3</v>
      </c>
    </row>
    <row r="1784" spans="1:12" x14ac:dyDescent="0.35">
      <c r="A1784" s="18">
        <v>44840</v>
      </c>
      <c r="B1784" s="15">
        <v>359.15264892578119</v>
      </c>
      <c r="C1784" s="15">
        <v>64.479965209960938</v>
      </c>
      <c r="D1784" s="15">
        <v>159.6300048828125</v>
      </c>
      <c r="E1784" s="15">
        <v>274.82037353515619</v>
      </c>
      <c r="F1784" s="15">
        <v>180.3280334472656</v>
      </c>
      <c r="H1784" s="16">
        <f t="shared" si="69"/>
        <v>-2.8290557356636097E-2</v>
      </c>
      <c r="I1784" s="16">
        <f t="shared" si="69"/>
        <v>-5.2034698226138907E-3</v>
      </c>
      <c r="J1784" s="16">
        <f t="shared" si="69"/>
        <v>-1.1023386142689101E-2</v>
      </c>
      <c r="K1784" s="16">
        <f t="shared" si="68"/>
        <v>-3.884888631780236E-2</v>
      </c>
      <c r="L1784" s="16">
        <f t="shared" si="68"/>
        <v>-2.9015801787304518E-2</v>
      </c>
    </row>
    <row r="1785" spans="1:12" x14ac:dyDescent="0.35">
      <c r="A1785" s="18">
        <v>44841</v>
      </c>
      <c r="B1785" s="15">
        <v>349.1343994140625</v>
      </c>
      <c r="C1785" s="15">
        <v>64.145317077636719</v>
      </c>
      <c r="D1785" s="15">
        <v>157.8800048828125</v>
      </c>
      <c r="E1785" s="15">
        <v>264.3486328125</v>
      </c>
      <c r="F1785" s="15">
        <v>175.17085266113281</v>
      </c>
      <c r="H1785" s="16">
        <f t="shared" si="69"/>
        <v>-7.6644077877598207E-3</v>
      </c>
      <c r="I1785" s="16">
        <f t="shared" si="69"/>
        <v>-4.5213329006578611E-3</v>
      </c>
      <c r="J1785" s="16">
        <f t="shared" si="69"/>
        <v>-1.5318203217156691E-2</v>
      </c>
      <c r="K1785" s="16">
        <f t="shared" si="68"/>
        <v>-1.0046748919762571E-2</v>
      </c>
      <c r="L1785" s="16">
        <f t="shared" si="68"/>
        <v>-7.9812449993996934E-3</v>
      </c>
    </row>
    <row r="1786" spans="1:12" x14ac:dyDescent="0.35">
      <c r="A1786" s="18">
        <v>44844</v>
      </c>
      <c r="B1786" s="15">
        <v>346.46871948242188</v>
      </c>
      <c r="C1786" s="15">
        <v>63.855949401855469</v>
      </c>
      <c r="D1786" s="15">
        <v>155.47999572753909</v>
      </c>
      <c r="E1786" s="15">
        <v>261.70608520507813</v>
      </c>
      <c r="F1786" s="15">
        <v>173.77833557128909</v>
      </c>
      <c r="H1786" s="16">
        <f t="shared" si="69"/>
        <v>-6.353306938896284E-3</v>
      </c>
      <c r="I1786" s="16">
        <f t="shared" si="69"/>
        <v>2.831829966729404E-4</v>
      </c>
      <c r="J1786" s="16">
        <f t="shared" si="69"/>
        <v>-2.0602123309399292E-3</v>
      </c>
      <c r="K1786" s="16">
        <f t="shared" si="68"/>
        <v>-1.3833193870895509E-2</v>
      </c>
      <c r="L1786" s="16">
        <f t="shared" si="68"/>
        <v>-6.4313565521954795E-3</v>
      </c>
    </row>
    <row r="1787" spans="1:12" x14ac:dyDescent="0.35">
      <c r="A1787" s="18">
        <v>44845</v>
      </c>
      <c r="B1787" s="15">
        <v>344.27447509765619</v>
      </c>
      <c r="C1787" s="15">
        <v>63.874034881591797</v>
      </c>
      <c r="D1787" s="15">
        <v>155.1600036621094</v>
      </c>
      <c r="E1787" s="15">
        <v>258.11077880859381</v>
      </c>
      <c r="F1787" s="15">
        <v>172.66429138183591</v>
      </c>
      <c r="H1787" s="16">
        <f t="shared" si="69"/>
        <v>-3.3040416896172905E-3</v>
      </c>
      <c r="I1787" s="16">
        <f t="shared" si="69"/>
        <v>1.1317517773260491E-3</v>
      </c>
      <c r="J1787" s="16">
        <f t="shared" si="69"/>
        <v>5.3350716717094227E-3</v>
      </c>
      <c r="K1787" s="16">
        <f t="shared" si="68"/>
        <v>-3.428203385991185E-4</v>
      </c>
      <c r="L1787" s="16">
        <f t="shared" si="68"/>
        <v>-2.728865246127542E-3</v>
      </c>
    </row>
    <row r="1788" spans="1:12" x14ac:dyDescent="0.35">
      <c r="A1788" s="18">
        <v>44846</v>
      </c>
      <c r="B1788" s="15">
        <v>343.13885498046881</v>
      </c>
      <c r="C1788" s="15">
        <v>63.946365356445313</v>
      </c>
      <c r="D1788" s="15">
        <v>155.99000549316409</v>
      </c>
      <c r="E1788" s="15">
        <v>258.02230834960938</v>
      </c>
      <c r="F1788" s="15">
        <v>172.1937561035156</v>
      </c>
      <c r="H1788" s="16">
        <f t="shared" si="69"/>
        <v>2.6048963518646273E-2</v>
      </c>
      <c r="I1788" s="16">
        <f t="shared" si="69"/>
        <v>-3.541397188737294E-3</v>
      </c>
      <c r="J1788" s="16">
        <f t="shared" si="69"/>
        <v>-6.9476110871142041E-3</v>
      </c>
      <c r="K1788" s="16">
        <f t="shared" si="68"/>
        <v>2.3181605190061919E-2</v>
      </c>
      <c r="L1788" s="16">
        <f t="shared" si="68"/>
        <v>2.4515865940648734E-2</v>
      </c>
    </row>
    <row r="1789" spans="1:12" x14ac:dyDescent="0.35">
      <c r="A1789" s="18">
        <v>44847</v>
      </c>
      <c r="B1789" s="15">
        <v>352.1947021484375</v>
      </c>
      <c r="C1789" s="15">
        <v>63.720306396484382</v>
      </c>
      <c r="D1789" s="15">
        <v>154.9100036621094</v>
      </c>
      <c r="E1789" s="15">
        <v>264.07354736328119</v>
      </c>
      <c r="F1789" s="15">
        <v>176.4674072265625</v>
      </c>
      <c r="H1789" s="16">
        <f t="shared" si="69"/>
        <v>-2.3052383576932584E-2</v>
      </c>
      <c r="I1789" s="16">
        <f t="shared" si="69"/>
        <v>-4.8375021445875065E-3</v>
      </c>
      <c r="J1789" s="16">
        <f t="shared" si="69"/>
        <v>-1.2537160793022467E-2</v>
      </c>
      <c r="K1789" s="16">
        <f t="shared" si="68"/>
        <v>-3.0518318784541726E-2</v>
      </c>
      <c r="L1789" s="16">
        <f t="shared" si="68"/>
        <v>-2.3846876329152084E-2</v>
      </c>
    </row>
    <row r="1790" spans="1:12" x14ac:dyDescent="0.35">
      <c r="A1790" s="18">
        <v>44848</v>
      </c>
      <c r="B1790" s="15">
        <v>344.16864013671881</v>
      </c>
      <c r="C1790" s="15">
        <v>63.412803649902337</v>
      </c>
      <c r="D1790" s="15">
        <v>152.97999572753909</v>
      </c>
      <c r="E1790" s="15">
        <v>256.13619995117188</v>
      </c>
      <c r="F1790" s="15">
        <v>172.3089904785156</v>
      </c>
      <c r="H1790" s="16">
        <f t="shared" si="69"/>
        <v>2.5372336589570374E-2</v>
      </c>
      <c r="I1790" s="16">
        <f t="shared" si="69"/>
        <v>2.1371832906693354E-3</v>
      </c>
      <c r="J1790" s="16">
        <f t="shared" si="69"/>
        <v>2.872080630747171E-3</v>
      </c>
      <c r="K1790" s="16">
        <f t="shared" si="68"/>
        <v>3.2488142180153327E-2</v>
      </c>
      <c r="L1790" s="16">
        <f t="shared" si="68"/>
        <v>2.6347084139756262E-2</v>
      </c>
    </row>
    <row r="1791" spans="1:12" x14ac:dyDescent="0.35">
      <c r="A1791" s="18">
        <v>44851</v>
      </c>
      <c r="B1791" s="15">
        <v>353.01272583007813</v>
      </c>
      <c r="C1791" s="15">
        <v>63.548473358154297</v>
      </c>
      <c r="D1791" s="15">
        <v>153.41999816894531</v>
      </c>
      <c r="E1791" s="15">
        <v>264.59423828125</v>
      </c>
      <c r="F1791" s="15">
        <v>176.90916442871091</v>
      </c>
      <c r="H1791" s="16">
        <f t="shared" si="69"/>
        <v>1.1681045784726781E-2</v>
      </c>
      <c r="I1791" s="16">
        <f t="shared" si="69"/>
        <v>2.2742795788684694E-3</v>
      </c>
      <c r="J1791" s="16">
        <f t="shared" si="69"/>
        <v>2.1486600903921822E-3</v>
      </c>
      <c r="K1791" s="16">
        <f t="shared" si="68"/>
        <v>7.8765373099743269E-3</v>
      </c>
      <c r="L1791" s="16">
        <f t="shared" si="68"/>
        <v>1.2140255801446559E-2</v>
      </c>
    </row>
    <row r="1792" spans="1:12" x14ac:dyDescent="0.35">
      <c r="A1792" s="18">
        <v>44852</v>
      </c>
      <c r="B1792" s="15">
        <v>357.16046142578119</v>
      </c>
      <c r="C1792" s="15">
        <v>63.693164825439453</v>
      </c>
      <c r="D1792" s="15">
        <v>153.75</v>
      </c>
      <c r="E1792" s="15">
        <v>266.68655395507813</v>
      </c>
      <c r="F1792" s="15">
        <v>179.0699768066406</v>
      </c>
      <c r="H1792" s="16">
        <f t="shared" si="69"/>
        <v>-7.1115232553314841E-3</v>
      </c>
      <c r="I1792" s="16">
        <f t="shared" si="69"/>
        <v>-8.2689746556702352E-3</v>
      </c>
      <c r="J1792" s="16">
        <f t="shared" si="69"/>
        <v>-1.34889259883388E-2</v>
      </c>
      <c r="K1792" s="16">
        <f t="shared" si="68"/>
        <v>-3.6532818932719564E-3</v>
      </c>
      <c r="L1792" s="16">
        <f t="shared" si="68"/>
        <v>-8.5639182990326201E-3</v>
      </c>
    </row>
    <row r="1793" spans="1:12" x14ac:dyDescent="0.35">
      <c r="A1793" s="18">
        <v>44853</v>
      </c>
      <c r="B1793" s="15">
        <v>354.6295166015625</v>
      </c>
      <c r="C1793" s="15">
        <v>63.168659210205078</v>
      </c>
      <c r="D1793" s="15">
        <v>151.69000244140619</v>
      </c>
      <c r="E1793" s="15">
        <v>265.71405029296881</v>
      </c>
      <c r="F1793" s="15">
        <v>177.54298400878909</v>
      </c>
      <c r="H1793" s="16">
        <f t="shared" si="69"/>
        <v>-8.4208818923350859E-3</v>
      </c>
      <c r="I1793" s="16">
        <f t="shared" si="69"/>
        <v>-6.751776527673432E-3</v>
      </c>
      <c r="J1793" s="16">
        <f t="shared" si="69"/>
        <v>-1.5834633753084675E-3</v>
      </c>
      <c r="K1793" s="16">
        <f t="shared" si="68"/>
        <v>-5.1150947769654656E-3</v>
      </c>
      <c r="L1793" s="16">
        <f t="shared" si="68"/>
        <v>-8.6925090229019314E-3</v>
      </c>
    </row>
    <row r="1794" spans="1:12" x14ac:dyDescent="0.35">
      <c r="A1794" s="18">
        <v>44854</v>
      </c>
      <c r="B1794" s="15">
        <v>351.65576171875</v>
      </c>
      <c r="C1794" s="15">
        <v>62.743595123291023</v>
      </c>
      <c r="D1794" s="15">
        <v>151.44999694824219</v>
      </c>
      <c r="E1794" s="15">
        <v>264.35836791992188</v>
      </c>
      <c r="F1794" s="15">
        <v>176.0063781738281</v>
      </c>
      <c r="H1794" s="16">
        <f t="shared" si="69"/>
        <v>2.4011124837940979E-2</v>
      </c>
      <c r="I1794" s="16">
        <f t="shared" si="69"/>
        <v>1.7283357812325026E-3</v>
      </c>
      <c r="J1794" s="16">
        <f t="shared" si="69"/>
        <v>1.767059741452676E-2</v>
      </c>
      <c r="K1794" s="16">
        <f t="shared" si="68"/>
        <v>2.3177298156410696E-2</v>
      </c>
      <c r="L1794" s="16">
        <f t="shared" si="68"/>
        <v>2.2765135507667709E-2</v>
      </c>
    </row>
    <row r="1795" spans="1:12" x14ac:dyDescent="0.35">
      <c r="A1795" s="18">
        <v>44855</v>
      </c>
      <c r="B1795" s="15">
        <v>360.20159912109381</v>
      </c>
      <c r="C1795" s="15">
        <v>62.852130889892578</v>
      </c>
      <c r="D1795" s="15">
        <v>154.1499938964844</v>
      </c>
      <c r="E1795" s="15">
        <v>270.55703735351563</v>
      </c>
      <c r="F1795" s="15">
        <v>180.05914306640619</v>
      </c>
      <c r="H1795" s="16">
        <f t="shared" si="69"/>
        <v>1.2162033160360991E-2</v>
      </c>
      <c r="I1795" s="16">
        <f t="shared" si="69"/>
        <v>-1.4402546394454764E-3</v>
      </c>
      <c r="J1795" s="16">
        <f t="shared" si="69"/>
        <v>-3.2488658845126403E-3</v>
      </c>
      <c r="K1795" s="16">
        <f t="shared" si="68"/>
        <v>1.0941195959756093E-2</v>
      </c>
      <c r="L1795" s="16">
        <f t="shared" si="68"/>
        <v>1.0716287180918757E-2</v>
      </c>
    </row>
    <row r="1796" spans="1:12" x14ac:dyDescent="0.35">
      <c r="A1796" s="18">
        <v>44858</v>
      </c>
      <c r="B1796" s="15">
        <v>364.609130859375</v>
      </c>
      <c r="C1796" s="15">
        <v>62.761672973632813</v>
      </c>
      <c r="D1796" s="15">
        <v>153.6499938964844</v>
      </c>
      <c r="E1796" s="15">
        <v>273.53350830078119</v>
      </c>
      <c r="F1796" s="15">
        <v>181.99908447265619</v>
      </c>
      <c r="H1796" s="16">
        <f t="shared" si="69"/>
        <v>1.5842522245265302E-2</v>
      </c>
      <c r="I1796" s="16">
        <f t="shared" si="69"/>
        <v>9.4652339232776002E-3</v>
      </c>
      <c r="J1796" s="16">
        <f t="shared" si="69"/>
        <v>2.2753535606350353E-3</v>
      </c>
      <c r="K1796" s="16">
        <f t="shared" si="68"/>
        <v>2.0474880501224254E-2</v>
      </c>
      <c r="L1796" s="16">
        <f t="shared" si="68"/>
        <v>1.7937601196621907E-2</v>
      </c>
    </row>
    <row r="1797" spans="1:12" x14ac:dyDescent="0.35">
      <c r="A1797" s="18">
        <v>44859</v>
      </c>
      <c r="B1797" s="15">
        <v>370.43145751953119</v>
      </c>
      <c r="C1797" s="15">
        <v>63.358547210693359</v>
      </c>
      <c r="D1797" s="15">
        <v>154</v>
      </c>
      <c r="E1797" s="15">
        <v>279.19180297851563</v>
      </c>
      <c r="F1797" s="15">
        <v>185.29316711425781</v>
      </c>
      <c r="H1797" s="16">
        <f t="shared" si="69"/>
        <v>-7.5627781809784614E-3</v>
      </c>
      <c r="I1797" s="16">
        <f t="shared" si="69"/>
        <v>3.9885279947116711E-3</v>
      </c>
      <c r="J1797" s="16">
        <f t="shared" si="69"/>
        <v>6.3434463543535751E-3</v>
      </c>
      <c r="K1797" s="16">
        <f t="shared" si="68"/>
        <v>-2.2344050986794678E-2</v>
      </c>
      <c r="L1797" s="16">
        <f t="shared" si="68"/>
        <v>-6.1870737927302013E-3</v>
      </c>
    </row>
    <row r="1798" spans="1:12" x14ac:dyDescent="0.35">
      <c r="A1798" s="18">
        <v>44860</v>
      </c>
      <c r="B1798" s="15">
        <v>367.64053344726563</v>
      </c>
      <c r="C1798" s="15">
        <v>63.611759185791023</v>
      </c>
      <c r="D1798" s="15">
        <v>154.97999572753909</v>
      </c>
      <c r="E1798" s="15">
        <v>273.022705078125</v>
      </c>
      <c r="F1798" s="15">
        <v>184.15028381347659</v>
      </c>
      <c r="H1798" s="16">
        <f t="shared" si="69"/>
        <v>-5.354045686967469E-3</v>
      </c>
      <c r="I1798" s="16">
        <f t="shared" si="69"/>
        <v>5.2463445873545704E-3</v>
      </c>
      <c r="J1798" s="16">
        <f t="shared" si="69"/>
        <v>-1.5497241473593686E-3</v>
      </c>
      <c r="K1798" s="16">
        <f t="shared" si="68"/>
        <v>-1.8373961684356777E-2</v>
      </c>
      <c r="L1798" s="16">
        <f t="shared" si="68"/>
        <v>-4.7044343348231193E-3</v>
      </c>
    </row>
    <row r="1799" spans="1:12" x14ac:dyDescent="0.35">
      <c r="A1799" s="18">
        <v>44861</v>
      </c>
      <c r="B1799" s="15">
        <v>365.67742919921881</v>
      </c>
      <c r="C1799" s="15">
        <v>63.946365356445313</v>
      </c>
      <c r="D1799" s="15">
        <v>154.74000549316409</v>
      </c>
      <c r="E1799" s="15">
        <v>268.052001953125</v>
      </c>
      <c r="F1799" s="15">
        <v>183.28599548339841</v>
      </c>
      <c r="H1799" s="16">
        <f t="shared" si="69"/>
        <v>2.3512071171915103E-2</v>
      </c>
      <c r="I1799" s="16">
        <f t="shared" si="69"/>
        <v>-1.9816610047126769E-3</v>
      </c>
      <c r="J1799" s="16">
        <f t="shared" si="69"/>
        <v>-1.0263174101178619E-2</v>
      </c>
      <c r="K1799" s="16">
        <f t="shared" si="68"/>
        <v>3.0142045436771715E-2</v>
      </c>
      <c r="L1799" s="16">
        <f t="shared" si="68"/>
        <v>2.2997743036408173E-2</v>
      </c>
    </row>
    <row r="1800" spans="1:12" x14ac:dyDescent="0.35">
      <c r="A1800" s="18">
        <v>44862</v>
      </c>
      <c r="B1800" s="15">
        <v>374.37713623046881</v>
      </c>
      <c r="C1800" s="15">
        <v>63.819770812988281</v>
      </c>
      <c r="D1800" s="15">
        <v>153.1600036621094</v>
      </c>
      <c r="E1800" s="15">
        <v>276.254638671875</v>
      </c>
      <c r="F1800" s="15">
        <v>187.55000305175781</v>
      </c>
      <c r="H1800" s="16">
        <f t="shared" si="69"/>
        <v>-7.2497210239518056E-3</v>
      </c>
      <c r="I1800" s="16">
        <f t="shared" si="69"/>
        <v>-3.1223886249832451E-3</v>
      </c>
      <c r="J1800" s="16">
        <f t="shared" si="69"/>
        <v>-8.1948861927748137E-3</v>
      </c>
      <c r="K1800" s="16">
        <f t="shared" si="68"/>
        <v>-1.1696102145696484E-2</v>
      </c>
      <c r="L1800" s="16">
        <f t="shared" si="68"/>
        <v>-6.4727142038017143E-3</v>
      </c>
    </row>
    <row r="1801" spans="1:12" x14ac:dyDescent="0.35">
      <c r="A1801" s="18">
        <v>44865</v>
      </c>
      <c r="B1801" s="15">
        <v>371.67282104492188</v>
      </c>
      <c r="C1801" s="15">
        <v>63.620811462402337</v>
      </c>
      <c r="D1801" s="15">
        <v>151.9100036621094</v>
      </c>
      <c r="E1801" s="15">
        <v>273.0423583984375</v>
      </c>
      <c r="F1801" s="15">
        <v>186.3399658203125</v>
      </c>
      <c r="H1801" s="16">
        <f t="shared" si="69"/>
        <v>-4.385421724778891E-3</v>
      </c>
      <c r="I1801" s="16">
        <f t="shared" si="69"/>
        <v>1.0397634615108935E-3</v>
      </c>
      <c r="J1801" s="16">
        <f t="shared" si="69"/>
        <v>1.0151726172797276E-2</v>
      </c>
      <c r="K1801" s="16">
        <f t="shared" si="68"/>
        <v>-1.0270338836027182E-2</v>
      </c>
      <c r="L1801" s="16">
        <f t="shared" si="68"/>
        <v>-3.0973297909061329E-3</v>
      </c>
    </row>
    <row r="1802" spans="1:12" x14ac:dyDescent="0.35">
      <c r="A1802" s="18">
        <v>44866</v>
      </c>
      <c r="B1802" s="15">
        <v>370.04644775390619</v>
      </c>
      <c r="C1802" s="15">
        <v>63.686996459960938</v>
      </c>
      <c r="D1802" s="15">
        <v>153.46000671386719</v>
      </c>
      <c r="E1802" s="15">
        <v>270.25247192382813</v>
      </c>
      <c r="F1802" s="15">
        <v>185.7637023925781</v>
      </c>
      <c r="H1802" s="16">
        <f t="shared" si="69"/>
        <v>-2.5416349194863921E-2</v>
      </c>
      <c r="I1802" s="16">
        <f t="shared" si="69"/>
        <v>-1.5668299063937778E-3</v>
      </c>
      <c r="J1802" s="16">
        <f t="shared" si="69"/>
        <v>-6.9969702028924398E-3</v>
      </c>
      <c r="K1802" s="16">
        <f t="shared" si="68"/>
        <v>-3.4878406986633324E-2</v>
      </c>
      <c r="L1802" s="16">
        <f t="shared" si="68"/>
        <v>-2.6666733027575228E-2</v>
      </c>
    </row>
    <row r="1803" spans="1:12" x14ac:dyDescent="0.35">
      <c r="A1803" s="18">
        <v>44867</v>
      </c>
      <c r="B1803" s="15">
        <v>360.75973510742188</v>
      </c>
      <c r="C1803" s="15">
        <v>63.587287902832031</v>
      </c>
      <c r="D1803" s="15">
        <v>152.38999938964841</v>
      </c>
      <c r="E1803" s="15">
        <v>260.98898315429688</v>
      </c>
      <c r="F1803" s="15">
        <v>180.8754577636719</v>
      </c>
      <c r="H1803" s="16">
        <f t="shared" si="69"/>
        <v>-1.0350321170550141E-2</v>
      </c>
      <c r="I1803" s="16">
        <f t="shared" si="69"/>
        <v>-3.8565420270051023E-3</v>
      </c>
      <c r="J1803" s="16">
        <f t="shared" si="69"/>
        <v>-3.8132974339366047E-3</v>
      </c>
      <c r="K1803" s="16">
        <f t="shared" si="68"/>
        <v>-1.9728089204831475E-2</v>
      </c>
      <c r="L1803" s="16">
        <f t="shared" si="68"/>
        <v>-9.6031926402824902E-3</v>
      </c>
    </row>
    <row r="1804" spans="1:12" x14ac:dyDescent="0.35">
      <c r="A1804" s="18">
        <v>44868</v>
      </c>
      <c r="B1804" s="15">
        <v>357.04501342773438</v>
      </c>
      <c r="C1804" s="15">
        <v>63.342533111572273</v>
      </c>
      <c r="D1804" s="15">
        <v>151.80999755859381</v>
      </c>
      <c r="E1804" s="15">
        <v>255.890625</v>
      </c>
      <c r="F1804" s="15">
        <v>179.14678955078119</v>
      </c>
      <c r="H1804" s="16">
        <f t="shared" si="69"/>
        <v>1.4290481831197509E-2</v>
      </c>
      <c r="I1804" s="16">
        <f t="shared" si="69"/>
        <v>2.8601983426385113E-4</v>
      </c>
      <c r="J1804" s="16">
        <f t="shared" si="69"/>
        <v>3.0234583252842871E-2</v>
      </c>
      <c r="K1804" s="16">
        <f t="shared" si="68"/>
        <v>1.59571114134744E-2</v>
      </c>
      <c r="L1804" s="16">
        <f t="shared" si="68"/>
        <v>1.2783928052780029E-2</v>
      </c>
    </row>
    <row r="1805" spans="1:12" x14ac:dyDescent="0.35">
      <c r="A1805" s="18">
        <v>44869</v>
      </c>
      <c r="B1805" s="15">
        <v>362.18399047851563</v>
      </c>
      <c r="C1805" s="15">
        <v>63.360652923583977</v>
      </c>
      <c r="D1805" s="15">
        <v>156.4700012207031</v>
      </c>
      <c r="E1805" s="15">
        <v>260.00665283203119</v>
      </c>
      <c r="F1805" s="15">
        <v>181.4516906738281</v>
      </c>
      <c r="H1805" s="16">
        <f t="shared" si="69"/>
        <v>9.520308646529101E-3</v>
      </c>
      <c r="I1805" s="16">
        <f t="shared" si="69"/>
        <v>-3.8700610394658296E-3</v>
      </c>
      <c r="J1805" s="16">
        <f t="shared" si="69"/>
        <v>-3.9702607393793743E-3</v>
      </c>
      <c r="K1805" s="16">
        <f t="shared" si="68"/>
        <v>1.0934381614534134E-2</v>
      </c>
      <c r="L1805" s="16">
        <f t="shared" si="68"/>
        <v>9.0622008797803851E-3</v>
      </c>
    </row>
    <row r="1806" spans="1:12" x14ac:dyDescent="0.35">
      <c r="A1806" s="18">
        <v>44872</v>
      </c>
      <c r="B1806" s="15">
        <v>365.6485595703125</v>
      </c>
      <c r="C1806" s="15">
        <v>63.115917205810547</v>
      </c>
      <c r="D1806" s="15">
        <v>155.8500061035156</v>
      </c>
      <c r="E1806" s="15">
        <v>262.86526489257813</v>
      </c>
      <c r="F1806" s="15">
        <v>183.103515625</v>
      </c>
      <c r="H1806" s="16">
        <f t="shared" si="69"/>
        <v>5.3807829475434757E-3</v>
      </c>
      <c r="I1806" s="16">
        <f t="shared" si="69"/>
        <v>4.4425774627369317E-3</v>
      </c>
      <c r="J1806" s="16">
        <f t="shared" si="69"/>
        <v>2.2836328940687028E-2</v>
      </c>
      <c r="K1806" s="16">
        <f t="shared" si="68"/>
        <v>7.2607996978555356E-3</v>
      </c>
      <c r="L1806" s="16">
        <f t="shared" si="68"/>
        <v>5.2311827522990807E-3</v>
      </c>
    </row>
    <row r="1807" spans="1:12" x14ac:dyDescent="0.35">
      <c r="A1807" s="18">
        <v>44873</v>
      </c>
      <c r="B1807" s="15">
        <v>367.621337890625</v>
      </c>
      <c r="C1807" s="15">
        <v>63.396938323974609</v>
      </c>
      <c r="D1807" s="15">
        <v>159.44999694824219</v>
      </c>
      <c r="E1807" s="15">
        <v>264.78082275390619</v>
      </c>
      <c r="F1807" s="15">
        <v>184.0638732910156</v>
      </c>
      <c r="H1807" s="16">
        <f t="shared" si="69"/>
        <v>-2.0817169743966579E-2</v>
      </c>
      <c r="I1807" s="16">
        <f t="shared" si="69"/>
        <v>1.4284166254091128E-3</v>
      </c>
      <c r="J1807" s="16">
        <f t="shared" si="69"/>
        <v>-5.029894759161384E-3</v>
      </c>
      <c r="K1807" s="16">
        <f t="shared" si="68"/>
        <v>-2.334675232361088E-2</v>
      </c>
      <c r="L1807" s="16">
        <f t="shared" si="68"/>
        <v>-2.1784104678847033E-2</v>
      </c>
    </row>
    <row r="1808" spans="1:12" x14ac:dyDescent="0.35">
      <c r="A1808" s="18">
        <v>44874</v>
      </c>
      <c r="B1808" s="15">
        <v>360.047607421875</v>
      </c>
      <c r="C1808" s="15">
        <v>63.487560272216797</v>
      </c>
      <c r="D1808" s="15">
        <v>158.6499938964844</v>
      </c>
      <c r="E1808" s="15">
        <v>258.670654296875</v>
      </c>
      <c r="F1808" s="15">
        <v>180.0975646972656</v>
      </c>
      <c r="H1808" s="16">
        <f t="shared" si="69"/>
        <v>5.3497205044587492E-2</v>
      </c>
      <c r="I1808" s="16">
        <f t="shared" si="69"/>
        <v>2.0491098928605934E-2</v>
      </c>
      <c r="J1808" s="16">
        <f t="shared" si="69"/>
        <v>2.9990153003992607E-2</v>
      </c>
      <c r="K1808" s="16">
        <f t="shared" si="68"/>
        <v>7.1193249217205767E-2</v>
      </c>
      <c r="L1808" s="16">
        <f t="shared" si="68"/>
        <v>5.5034902484102317E-2</v>
      </c>
    </row>
    <row r="1809" spans="1:12" x14ac:dyDescent="0.35">
      <c r="A1809" s="18">
        <v>44875</v>
      </c>
      <c r="B1809" s="15">
        <v>379.83367919921881</v>
      </c>
      <c r="C1809" s="15">
        <v>64.801910400390625</v>
      </c>
      <c r="D1809" s="15">
        <v>163.47999572753909</v>
      </c>
      <c r="E1809" s="15">
        <v>277.75762939453119</v>
      </c>
      <c r="F1809" s="15">
        <v>190.28703308105469</v>
      </c>
      <c r="H1809" s="16">
        <f t="shared" si="69"/>
        <v>9.6319326628375498E-3</v>
      </c>
      <c r="I1809" s="16">
        <f t="shared" si="69"/>
        <v>0</v>
      </c>
      <c r="J1809" s="16">
        <f t="shared" si="69"/>
        <v>6.5845979471178297E-3</v>
      </c>
      <c r="K1809" s="16">
        <f t="shared" si="68"/>
        <v>1.8258149147265416E-2</v>
      </c>
      <c r="L1809" s="16">
        <f t="shared" si="68"/>
        <v>1.0143279368198112E-2</v>
      </c>
    </row>
    <row r="1810" spans="1:12" x14ac:dyDescent="0.35">
      <c r="A1810" s="18">
        <v>44876</v>
      </c>
      <c r="B1810" s="15">
        <v>383.5098876953125</v>
      </c>
      <c r="C1810" s="15">
        <v>64.801910400390625</v>
      </c>
      <c r="D1810" s="15">
        <v>164.55999755859381</v>
      </c>
      <c r="E1810" s="15">
        <v>282.87554931640619</v>
      </c>
      <c r="F1810" s="15">
        <v>192.22698974609381</v>
      </c>
      <c r="H1810" s="16">
        <f t="shared" si="69"/>
        <v>-8.5430531775503842E-3</v>
      </c>
      <c r="I1810" s="16">
        <f t="shared" si="69"/>
        <v>-3.222270194758705E-3</v>
      </c>
      <c r="J1810" s="16">
        <f t="shared" si="69"/>
        <v>2.1852662272770261E-3</v>
      </c>
      <c r="K1810" s="16">
        <f t="shared" si="68"/>
        <v>-8.7894771202617419E-3</v>
      </c>
      <c r="L1810" s="16">
        <f t="shared" si="68"/>
        <v>-9.0839120683126086E-3</v>
      </c>
    </row>
    <row r="1811" spans="1:12" x14ac:dyDescent="0.35">
      <c r="A1811" s="18">
        <v>44879</v>
      </c>
      <c r="B1811" s="15">
        <v>380.24749755859381</v>
      </c>
      <c r="C1811" s="15">
        <v>64.593437194824219</v>
      </c>
      <c r="D1811" s="15">
        <v>164.91999816894531</v>
      </c>
      <c r="E1811" s="15">
        <v>280.40011596679688</v>
      </c>
      <c r="F1811" s="15">
        <v>190.48872375488281</v>
      </c>
      <c r="H1811" s="16">
        <f t="shared" si="69"/>
        <v>8.4928404558404537E-3</v>
      </c>
      <c r="I1811" s="16">
        <f t="shared" si="69"/>
        <v>6.9921827645522718E-3</v>
      </c>
      <c r="J1811" s="16">
        <f t="shared" si="69"/>
        <v>3.5106980811025834E-3</v>
      </c>
      <c r="K1811" s="16">
        <f t="shared" si="69"/>
        <v>1.3743490482545116E-2</v>
      </c>
      <c r="L1811" s="16">
        <f t="shared" si="69"/>
        <v>1.0082636215483486E-2</v>
      </c>
    </row>
    <row r="1812" spans="1:12" x14ac:dyDescent="0.35">
      <c r="A1812" s="18">
        <v>44880</v>
      </c>
      <c r="B1812" s="15">
        <v>383.49063110351563</v>
      </c>
      <c r="C1812" s="15">
        <v>65.046669006347656</v>
      </c>
      <c r="D1812" s="15">
        <v>165.5</v>
      </c>
      <c r="E1812" s="15">
        <v>284.2803955078125</v>
      </c>
      <c r="F1812" s="15">
        <v>192.4190673828125</v>
      </c>
      <c r="H1812" s="16">
        <f t="shared" ref="H1812:K1875" si="70">LN(B1813/B1812)</f>
        <v>-7.6581133552970516E-3</v>
      </c>
      <c r="I1812" s="16">
        <f t="shared" si="70"/>
        <v>5.6966402777023943E-3</v>
      </c>
      <c r="J1812" s="16">
        <f t="shared" si="70"/>
        <v>-2.2987420952167376E-3</v>
      </c>
      <c r="K1812" s="16">
        <f t="shared" si="70"/>
        <v>-1.3743490482545053E-2</v>
      </c>
      <c r="L1812" s="16">
        <f t="shared" ref="L1812:L1875" si="71">LN(F1813/F1812)</f>
        <v>-1.0233882818631291E-2</v>
      </c>
    </row>
    <row r="1813" spans="1:12" x14ac:dyDescent="0.35">
      <c r="A1813" s="18">
        <v>44881</v>
      </c>
      <c r="B1813" s="15">
        <v>380.56503295898438</v>
      </c>
      <c r="C1813" s="15">
        <v>65.41827392578125</v>
      </c>
      <c r="D1813" s="15">
        <v>165.1199951171875</v>
      </c>
      <c r="E1813" s="15">
        <v>280.40011596679688</v>
      </c>
      <c r="F1813" s="15">
        <v>190.45991516113281</v>
      </c>
      <c r="H1813" s="16">
        <f t="shared" si="70"/>
        <v>-3.0643465987311097E-3</v>
      </c>
      <c r="I1813" s="16">
        <f t="shared" si="70"/>
        <v>-4.1650538267630956E-3</v>
      </c>
      <c r="J1813" s="16">
        <f t="shared" si="70"/>
        <v>-7.2939599616732159E-3</v>
      </c>
      <c r="K1813" s="16">
        <f t="shared" si="70"/>
        <v>-2.2095209022284243E-3</v>
      </c>
      <c r="L1813" s="16">
        <f t="shared" si="71"/>
        <v>-4.1937743420729741E-3</v>
      </c>
    </row>
    <row r="1814" spans="1:12" x14ac:dyDescent="0.35">
      <c r="A1814" s="18">
        <v>44882</v>
      </c>
      <c r="B1814" s="15">
        <v>379.400634765625</v>
      </c>
      <c r="C1814" s="15">
        <v>65.146369934082031</v>
      </c>
      <c r="D1814" s="15">
        <v>163.91999816894531</v>
      </c>
      <c r="E1814" s="15">
        <v>279.78125</v>
      </c>
      <c r="F1814" s="15">
        <v>189.662841796875</v>
      </c>
      <c r="H1814" s="16">
        <f t="shared" si="70"/>
        <v>4.530030523695972E-3</v>
      </c>
      <c r="I1814" s="16">
        <f t="shared" si="70"/>
        <v>-1.6709379715919217E-3</v>
      </c>
      <c r="J1814" s="16">
        <f t="shared" si="70"/>
        <v>-6.9175073823137551E-3</v>
      </c>
      <c r="K1814" s="16">
        <f t="shared" si="70"/>
        <v>3.5012964890063915E-5</v>
      </c>
      <c r="L1814" s="16">
        <f t="shared" si="71"/>
        <v>4.6978941343005258E-3</v>
      </c>
    </row>
    <row r="1815" spans="1:12" x14ac:dyDescent="0.35">
      <c r="A1815" s="18">
        <v>44883</v>
      </c>
      <c r="B1815" s="15">
        <v>381.12322998046881</v>
      </c>
      <c r="C1815" s="15">
        <v>65.037605285644531</v>
      </c>
      <c r="D1815" s="15">
        <v>162.78999328613281</v>
      </c>
      <c r="E1815" s="15">
        <v>279.79104614257813</v>
      </c>
      <c r="F1815" s="15">
        <v>190.55595397949219</v>
      </c>
      <c r="H1815" s="16">
        <f t="shared" si="70"/>
        <v>-3.6425687049772208E-3</v>
      </c>
      <c r="I1815" s="16">
        <f t="shared" si="70"/>
        <v>0</v>
      </c>
      <c r="J1815" s="16">
        <f t="shared" si="70"/>
        <v>-5.6056352070885974E-3</v>
      </c>
      <c r="K1815" s="16">
        <f t="shared" si="70"/>
        <v>-1.0340475090551941E-2</v>
      </c>
      <c r="L1815" s="16">
        <f t="shared" si="71"/>
        <v>-4.2423971941927445E-3</v>
      </c>
    </row>
    <row r="1816" spans="1:12" x14ac:dyDescent="0.35">
      <c r="A1816" s="18">
        <v>44886</v>
      </c>
      <c r="B1816" s="15">
        <v>379.73748779296881</v>
      </c>
      <c r="C1816" s="15">
        <v>65.037605285644531</v>
      </c>
      <c r="D1816" s="15">
        <v>161.8800048828125</v>
      </c>
      <c r="E1816" s="15">
        <v>276.91278076171881</v>
      </c>
      <c r="F1816" s="15">
        <v>189.74925231933591</v>
      </c>
      <c r="H1816" s="16">
        <f t="shared" si="70"/>
        <v>1.3367206935271997E-2</v>
      </c>
      <c r="I1816" s="16">
        <f t="shared" si="70"/>
        <v>5.1435838225951389E-3</v>
      </c>
      <c r="J1816" s="16">
        <f t="shared" si="70"/>
        <v>1.1730356909017423E-3</v>
      </c>
      <c r="K1816" s="16">
        <f t="shared" si="70"/>
        <v>1.4300146424321281E-2</v>
      </c>
      <c r="L1816" s="16">
        <f t="shared" si="71"/>
        <v>1.3023364227298681E-2</v>
      </c>
    </row>
    <row r="1817" spans="1:12" x14ac:dyDescent="0.35">
      <c r="A1817" s="18">
        <v>44887</v>
      </c>
      <c r="B1817" s="15">
        <v>384.84759521484381</v>
      </c>
      <c r="C1817" s="15">
        <v>65.372993469238281</v>
      </c>
      <c r="D1817" s="15">
        <v>162.07000732421881</v>
      </c>
      <c r="E1817" s="15">
        <v>280.901123046875</v>
      </c>
      <c r="F1817" s="15">
        <v>192.23658752441409</v>
      </c>
      <c r="H1817" s="16">
        <f t="shared" si="70"/>
        <v>6.2817886252358466E-3</v>
      </c>
      <c r="I1817" s="16">
        <f t="shared" si="70"/>
        <v>6.0822508777973417E-3</v>
      </c>
      <c r="J1817" s="16">
        <f t="shared" si="70"/>
        <v>6.2125033172791009E-3</v>
      </c>
      <c r="K1817" s="16">
        <f t="shared" si="70"/>
        <v>9.9866143744660671E-3</v>
      </c>
      <c r="L1817" s="16">
        <f t="shared" si="71"/>
        <v>6.076315089815377E-3</v>
      </c>
    </row>
    <row r="1818" spans="1:12" x14ac:dyDescent="0.35">
      <c r="A1818" s="18">
        <v>44888</v>
      </c>
      <c r="B1818" s="15">
        <v>387.27273559570313</v>
      </c>
      <c r="C1818" s="15">
        <v>65.771820068359375</v>
      </c>
      <c r="D1818" s="15">
        <v>163.08000183105469</v>
      </c>
      <c r="E1818" s="15">
        <v>283.72042846679688</v>
      </c>
      <c r="F1818" s="15">
        <v>193.4082336425781</v>
      </c>
      <c r="H1818" s="16">
        <f t="shared" si="70"/>
        <v>-2.2366297629300603E-4</v>
      </c>
      <c r="I1818" s="16">
        <f t="shared" si="70"/>
        <v>0</v>
      </c>
      <c r="J1818" s="16">
        <f t="shared" si="70"/>
        <v>8.5810234097236614E-4</v>
      </c>
      <c r="K1818" s="16">
        <f t="shared" si="70"/>
        <v>-6.6001262754795103E-3</v>
      </c>
      <c r="L1818" s="16">
        <f t="shared" si="71"/>
        <v>7.4464178026085147E-4</v>
      </c>
    </row>
    <row r="1819" spans="1:12" x14ac:dyDescent="0.35">
      <c r="A1819" s="18">
        <v>44890</v>
      </c>
      <c r="B1819" s="15">
        <v>387.18612670898438</v>
      </c>
      <c r="C1819" s="15">
        <v>65.771820068359375</v>
      </c>
      <c r="D1819" s="15">
        <v>163.2200012207031</v>
      </c>
      <c r="E1819" s="15">
        <v>281.85400390625</v>
      </c>
      <c r="F1819" s="15">
        <v>193.55230712890619</v>
      </c>
      <c r="H1819" s="16">
        <f t="shared" si="70"/>
        <v>-1.6085885105181826E-2</v>
      </c>
      <c r="I1819" s="16">
        <f t="shared" si="70"/>
        <v>-1.2412518248251848E-3</v>
      </c>
      <c r="J1819" s="16">
        <f t="shared" si="70"/>
        <v>-7.934893665371626E-3</v>
      </c>
      <c r="K1819" s="16">
        <f t="shared" si="70"/>
        <v>-1.4782067480986923E-2</v>
      </c>
      <c r="L1819" s="16">
        <f t="shared" si="71"/>
        <v>-1.6358118789161283E-2</v>
      </c>
    </row>
    <row r="1820" spans="1:12" x14ac:dyDescent="0.35">
      <c r="A1820" s="18">
        <v>44893</v>
      </c>
      <c r="B1820" s="15">
        <v>381.00772094726563</v>
      </c>
      <c r="C1820" s="15">
        <v>65.690231323242188</v>
      </c>
      <c r="D1820" s="15">
        <v>161.92999267578119</v>
      </c>
      <c r="E1820" s="15">
        <v>277.71826171875</v>
      </c>
      <c r="F1820" s="15">
        <v>190.41191101074219</v>
      </c>
      <c r="H1820" s="16">
        <f t="shared" si="70"/>
        <v>-1.7190769864748668E-3</v>
      </c>
      <c r="I1820" s="16">
        <f t="shared" si="70"/>
        <v>-3.7326768425950513E-3</v>
      </c>
      <c r="J1820" s="16">
        <f t="shared" si="70"/>
        <v>4.9282615630092362E-3</v>
      </c>
      <c r="K1820" s="16">
        <f t="shared" si="70"/>
        <v>-7.5981269882684829E-3</v>
      </c>
      <c r="L1820" s="16">
        <f t="shared" si="71"/>
        <v>-1.5648312101944511E-3</v>
      </c>
    </row>
    <row r="1821" spans="1:12" x14ac:dyDescent="0.35">
      <c r="A1821" s="18">
        <v>44894</v>
      </c>
      <c r="B1821" s="15">
        <v>380.35330200195313</v>
      </c>
      <c r="C1821" s="15">
        <v>65.445487976074219</v>
      </c>
      <c r="D1821" s="15">
        <v>162.72999572753909</v>
      </c>
      <c r="E1821" s="15">
        <v>275.61611938476563</v>
      </c>
      <c r="F1821" s="15">
        <v>190.11418151855469</v>
      </c>
      <c r="H1821" s="16">
        <f t="shared" si="70"/>
        <v>3.1014859727366735E-2</v>
      </c>
      <c r="I1821" s="16">
        <f t="shared" si="70"/>
        <v>7.7262482132574566E-3</v>
      </c>
      <c r="J1821" s="16">
        <f t="shared" si="70"/>
        <v>1.2700921015013113E-2</v>
      </c>
      <c r="K1821" s="16">
        <f t="shared" si="70"/>
        <v>4.457708090721494E-2</v>
      </c>
      <c r="L1821" s="16">
        <f t="shared" si="71"/>
        <v>3.0349125621643509E-2</v>
      </c>
    </row>
    <row r="1822" spans="1:12" x14ac:dyDescent="0.35">
      <c r="A1822" s="18">
        <v>44895</v>
      </c>
      <c r="B1822" s="15">
        <v>392.33474731445313</v>
      </c>
      <c r="C1822" s="15">
        <v>65.953094482421875</v>
      </c>
      <c r="D1822" s="15">
        <v>164.80999755859381</v>
      </c>
      <c r="E1822" s="15">
        <v>288.18023681640619</v>
      </c>
      <c r="F1822" s="15">
        <v>195.97242736816409</v>
      </c>
      <c r="H1822" s="16">
        <f t="shared" si="70"/>
        <v>-7.3611261955843605E-4</v>
      </c>
      <c r="I1822" s="16">
        <f t="shared" si="70"/>
        <v>8.2995638107909737E-3</v>
      </c>
      <c r="J1822" s="16">
        <f t="shared" si="70"/>
        <v>1.8217842396307141E-2</v>
      </c>
      <c r="K1822" s="16">
        <f t="shared" si="70"/>
        <v>1.2264941383046404E-3</v>
      </c>
      <c r="L1822" s="16">
        <f t="shared" si="71"/>
        <v>5.8784039242311631E-4</v>
      </c>
    </row>
    <row r="1823" spans="1:12" x14ac:dyDescent="0.35">
      <c r="A1823" s="18">
        <v>44896</v>
      </c>
      <c r="B1823" s="15">
        <v>392.04605102539063</v>
      </c>
      <c r="C1823" s="15">
        <v>66.502754211425781</v>
      </c>
      <c r="D1823" s="15">
        <v>167.8399963378906</v>
      </c>
      <c r="E1823" s="15">
        <v>288.53390502929688</v>
      </c>
      <c r="F1823" s="15">
        <v>196.08766174316409</v>
      </c>
      <c r="H1823" s="16">
        <f t="shared" si="70"/>
        <v>-1.1543596305975501E-3</v>
      </c>
      <c r="I1823" s="16">
        <f t="shared" si="70"/>
        <v>4.0899885293247422E-3</v>
      </c>
      <c r="J1823" s="16">
        <f t="shared" si="70"/>
        <v>-3.4616677176241193E-3</v>
      </c>
      <c r="K1823" s="16">
        <f t="shared" si="70"/>
        <v>-3.9914856618617125E-3</v>
      </c>
      <c r="L1823" s="16">
        <f t="shared" si="71"/>
        <v>-9.3095886137255484E-4</v>
      </c>
    </row>
    <row r="1824" spans="1:12" x14ac:dyDescent="0.35">
      <c r="A1824" s="18">
        <v>44897</v>
      </c>
      <c r="B1824" s="15">
        <v>391.59375</v>
      </c>
      <c r="C1824" s="15">
        <v>66.775306701660156</v>
      </c>
      <c r="D1824" s="15">
        <v>167.25999450683591</v>
      </c>
      <c r="E1824" s="15">
        <v>287.384521484375</v>
      </c>
      <c r="F1824" s="15">
        <v>195.90519714355469</v>
      </c>
      <c r="H1824" s="16">
        <f t="shared" si="70"/>
        <v>-1.8153146588059669E-2</v>
      </c>
      <c r="I1824" s="16">
        <f t="shared" si="70"/>
        <v>-7.9223015408508724E-3</v>
      </c>
      <c r="J1824" s="16">
        <f t="shared" si="70"/>
        <v>-1.730780530272015E-2</v>
      </c>
      <c r="K1824" s="16">
        <f t="shared" si="70"/>
        <v>-1.6925778221619683E-2</v>
      </c>
      <c r="L1824" s="16">
        <f t="shared" si="71"/>
        <v>-1.9853711085547652E-2</v>
      </c>
    </row>
    <row r="1825" spans="1:12" x14ac:dyDescent="0.35">
      <c r="A1825" s="18">
        <v>44900</v>
      </c>
      <c r="B1825" s="15">
        <v>384.54922485351563</v>
      </c>
      <c r="C1825" s="15">
        <v>66.248382568359375</v>
      </c>
      <c r="D1825" s="15">
        <v>164.38999938964841</v>
      </c>
      <c r="E1825" s="15">
        <v>282.56124877929688</v>
      </c>
      <c r="F1825" s="15">
        <v>192.0541076660156</v>
      </c>
      <c r="H1825" s="16">
        <f t="shared" si="70"/>
        <v>-1.4519655601929998E-2</v>
      </c>
      <c r="I1825" s="16">
        <f t="shared" si="70"/>
        <v>3.2856232992817427E-3</v>
      </c>
      <c r="J1825" s="16">
        <f t="shared" si="70"/>
        <v>2.7336344458788004E-3</v>
      </c>
      <c r="K1825" s="16">
        <f t="shared" si="70"/>
        <v>-2.0937914264489543E-2</v>
      </c>
      <c r="L1825" s="16">
        <f t="shared" si="71"/>
        <v>-1.5115100183722075E-2</v>
      </c>
    </row>
    <row r="1826" spans="1:12" x14ac:dyDescent="0.35">
      <c r="A1826" s="18">
        <v>44901</v>
      </c>
      <c r="B1826" s="15">
        <v>379.00604248046881</v>
      </c>
      <c r="C1826" s="15">
        <v>66.466407775878906</v>
      </c>
      <c r="D1826" s="15">
        <v>164.8399963378906</v>
      </c>
      <c r="E1826" s="15">
        <v>276.70651245117188</v>
      </c>
      <c r="F1826" s="15">
        <v>189.17301940917969</v>
      </c>
      <c r="H1826" s="16">
        <f t="shared" si="70"/>
        <v>-1.702595278857954E-3</v>
      </c>
      <c r="I1826" s="16">
        <f t="shared" si="70"/>
        <v>8.7101206706272829E-3</v>
      </c>
      <c r="J1826" s="16">
        <f t="shared" si="70"/>
        <v>8.998493556538022E-3</v>
      </c>
      <c r="K1826" s="16">
        <f t="shared" si="70"/>
        <v>-4.0911315305780169E-3</v>
      </c>
      <c r="L1826" s="16">
        <f t="shared" si="71"/>
        <v>-1.6258232695252309E-3</v>
      </c>
    </row>
    <row r="1827" spans="1:12" x14ac:dyDescent="0.35">
      <c r="A1827" s="18">
        <v>44902</v>
      </c>
      <c r="B1827" s="15">
        <v>378.36129760742188</v>
      </c>
      <c r="C1827" s="15">
        <v>67.047866821289063</v>
      </c>
      <c r="D1827" s="15">
        <v>166.33000183105469</v>
      </c>
      <c r="E1827" s="15">
        <v>275.5767822265625</v>
      </c>
      <c r="F1827" s="15">
        <v>188.86570739746091</v>
      </c>
      <c r="H1827" s="16">
        <f t="shared" si="70"/>
        <v>7.8034693652933428E-3</v>
      </c>
      <c r="I1827" s="16">
        <f t="shared" si="70"/>
        <v>-2.849723554212273E-3</v>
      </c>
      <c r="J1827" s="16">
        <f t="shared" si="70"/>
        <v>8.4134252778207946E-4</v>
      </c>
      <c r="K1827" s="16">
        <f t="shared" si="70"/>
        <v>1.1765379092998542E-2</v>
      </c>
      <c r="L1827" s="16">
        <f t="shared" si="71"/>
        <v>8.6072441441067907E-3</v>
      </c>
    </row>
    <row r="1828" spans="1:12" x14ac:dyDescent="0.35">
      <c r="A1828" s="18">
        <v>44903</v>
      </c>
      <c r="B1828" s="15">
        <v>381.32537841796881</v>
      </c>
      <c r="C1828" s="15">
        <v>66.857070922851563</v>
      </c>
      <c r="D1828" s="15">
        <v>166.4700012207031</v>
      </c>
      <c r="E1828" s="15">
        <v>278.83819580078119</v>
      </c>
      <c r="F1828" s="15">
        <v>190.49833679199219</v>
      </c>
      <c r="H1828" s="16">
        <f t="shared" si="70"/>
        <v>-7.4983089339426372E-3</v>
      </c>
      <c r="I1828" s="16">
        <f t="shared" si="70"/>
        <v>-5.8603971164149279E-3</v>
      </c>
      <c r="J1828" s="16">
        <f t="shared" si="70"/>
        <v>3.5378943750210639E-3</v>
      </c>
      <c r="K1828" s="16">
        <f t="shared" si="70"/>
        <v>-6.3972593612300292E-3</v>
      </c>
      <c r="L1828" s="16">
        <f t="shared" si="71"/>
        <v>-8.4039120087659371E-3</v>
      </c>
    </row>
    <row r="1829" spans="1:12" x14ac:dyDescent="0.35">
      <c r="A1829" s="18">
        <v>44904</v>
      </c>
      <c r="B1829" s="15">
        <v>378.47677612304688</v>
      </c>
      <c r="C1829" s="15">
        <v>66.466407775878906</v>
      </c>
      <c r="D1829" s="15">
        <v>167.05999755859381</v>
      </c>
      <c r="E1829" s="15">
        <v>277.06008911132813</v>
      </c>
      <c r="F1829" s="15">
        <v>188.90411376953119</v>
      </c>
      <c r="H1829" s="16">
        <f t="shared" si="70"/>
        <v>1.4314334955937808E-2</v>
      </c>
      <c r="I1829" s="16">
        <f t="shared" si="70"/>
        <v>0</v>
      </c>
      <c r="J1829" s="16">
        <f t="shared" si="70"/>
        <v>-8.2948418335025385E-3</v>
      </c>
      <c r="K1829" s="16">
        <f t="shared" si="70"/>
        <v>1.2473343109098978E-2</v>
      </c>
      <c r="L1829" s="16">
        <f t="shared" si="71"/>
        <v>1.4285018878497794E-2</v>
      </c>
    </row>
    <row r="1830" spans="1:12" x14ac:dyDescent="0.35">
      <c r="A1830" s="18">
        <v>44907</v>
      </c>
      <c r="B1830" s="15">
        <v>383.93338012695313</v>
      </c>
      <c r="C1830" s="15">
        <v>66.466407775878906</v>
      </c>
      <c r="D1830" s="15">
        <v>165.67999267578119</v>
      </c>
      <c r="E1830" s="15">
        <v>280.53759765625</v>
      </c>
      <c r="F1830" s="15">
        <v>191.6219787597656</v>
      </c>
      <c r="H1830" s="16">
        <f t="shared" si="70"/>
        <v>7.5412453141745018E-3</v>
      </c>
      <c r="I1830" s="16">
        <f t="shared" si="70"/>
        <v>6.8110935716954781E-3</v>
      </c>
      <c r="J1830" s="16">
        <f t="shared" si="70"/>
        <v>1.6936889733695327E-2</v>
      </c>
      <c r="K1830" s="16">
        <f t="shared" si="70"/>
        <v>1.0692731567726087E-2</v>
      </c>
      <c r="L1830" s="16">
        <f t="shared" si="71"/>
        <v>7.4397645123156619E-3</v>
      </c>
    </row>
    <row r="1831" spans="1:12" x14ac:dyDescent="0.35">
      <c r="A1831" s="18">
        <v>44908</v>
      </c>
      <c r="B1831" s="15">
        <v>386.83966064453119</v>
      </c>
      <c r="C1831" s="15">
        <v>66.920661926269531</v>
      </c>
      <c r="D1831" s="15">
        <v>168.50999450683591</v>
      </c>
      <c r="E1831" s="15">
        <v>283.55340576171881</v>
      </c>
      <c r="F1831" s="15">
        <v>193.05291748046881</v>
      </c>
      <c r="H1831" s="16">
        <f t="shared" si="70"/>
        <v>-6.4140447697469526E-3</v>
      </c>
      <c r="I1831" s="16">
        <f t="shared" si="70"/>
        <v>2.4406358539482359E-3</v>
      </c>
      <c r="J1831" s="16">
        <f t="shared" si="70"/>
        <v>-2.4359858905979824E-3</v>
      </c>
      <c r="K1831" s="16">
        <f t="shared" si="70"/>
        <v>-7.4414015018264045E-3</v>
      </c>
      <c r="L1831" s="16">
        <f t="shared" si="71"/>
        <v>-5.5871462579361268E-3</v>
      </c>
    </row>
    <row r="1832" spans="1:12" x14ac:dyDescent="0.35">
      <c r="A1832" s="18">
        <v>44909</v>
      </c>
      <c r="B1832" s="15">
        <v>384.36639404296881</v>
      </c>
      <c r="C1832" s="15">
        <v>67.084190368652344</v>
      </c>
      <c r="D1832" s="15">
        <v>168.1000061035156</v>
      </c>
      <c r="E1832" s="15">
        <v>281.45120239257813</v>
      </c>
      <c r="F1832" s="15">
        <v>191.97731018066409</v>
      </c>
      <c r="H1832" s="16">
        <f t="shared" si="70"/>
        <v>-2.4765849174858356E-2</v>
      </c>
      <c r="I1832" s="16">
        <f t="shared" si="70"/>
        <v>5.4142924085421261E-4</v>
      </c>
      <c r="J1832" s="16">
        <f t="shared" si="70"/>
        <v>-1.6494600382901816E-2</v>
      </c>
      <c r="K1832" s="16">
        <f t="shared" si="70"/>
        <v>-3.4152978657495357E-2</v>
      </c>
      <c r="L1832" s="16">
        <f t="shared" si="71"/>
        <v>-2.5228170286973675E-2</v>
      </c>
    </row>
    <row r="1833" spans="1:12" x14ac:dyDescent="0.35">
      <c r="A1833" s="18">
        <v>44910</v>
      </c>
      <c r="B1833" s="15">
        <v>374.96414184570313</v>
      </c>
      <c r="C1833" s="15">
        <v>67.120521545410156</v>
      </c>
      <c r="D1833" s="15">
        <v>165.3500061035156</v>
      </c>
      <c r="E1833" s="15">
        <v>272.0010986328125</v>
      </c>
      <c r="F1833" s="15">
        <v>187.19465637207031</v>
      </c>
      <c r="H1833" s="16">
        <f t="shared" si="70"/>
        <v>-1.1876387874891833E-2</v>
      </c>
      <c r="I1833" s="16">
        <f t="shared" si="70"/>
        <v>-2.5750305150092985E-3</v>
      </c>
      <c r="J1833" s="16">
        <f t="shared" si="70"/>
        <v>8.6710194951602881E-3</v>
      </c>
      <c r="K1833" s="16">
        <f t="shared" si="70"/>
        <v>-9.5804312325269009E-3</v>
      </c>
      <c r="L1833" s="16">
        <f t="shared" si="71"/>
        <v>-1.1506451896637692E-2</v>
      </c>
    </row>
    <row r="1834" spans="1:12" x14ac:dyDescent="0.35">
      <c r="A1834" s="18">
        <v>44911</v>
      </c>
      <c r="B1834" s="15">
        <v>370.53726196289063</v>
      </c>
      <c r="C1834" s="15">
        <v>66.947906494140625</v>
      </c>
      <c r="D1834" s="15">
        <v>166.78999328613281</v>
      </c>
      <c r="E1834" s="15">
        <v>269.40765380859381</v>
      </c>
      <c r="F1834" s="15">
        <v>185.05305480957031</v>
      </c>
      <c r="H1834" s="16">
        <f t="shared" si="70"/>
        <v>-8.5157305563189224E-3</v>
      </c>
      <c r="I1834" s="16">
        <f t="shared" si="70"/>
        <v>-5.9886109611686101E-3</v>
      </c>
      <c r="J1834" s="16">
        <f t="shared" si="70"/>
        <v>-2.8218082489993093E-3</v>
      </c>
      <c r="K1834" s="16">
        <f t="shared" si="70"/>
        <v>-1.4153002197702139E-2</v>
      </c>
      <c r="L1834" s="16">
        <f t="shared" si="71"/>
        <v>-1.0118937678564362E-2</v>
      </c>
    </row>
    <row r="1835" spans="1:12" x14ac:dyDescent="0.35">
      <c r="A1835" s="18">
        <v>44914</v>
      </c>
      <c r="B1835" s="15">
        <v>367.395263671875</v>
      </c>
      <c r="C1835" s="15">
        <v>66.548179626464844</v>
      </c>
      <c r="D1835" s="15">
        <v>166.32000732421881</v>
      </c>
      <c r="E1835" s="15">
        <v>265.62158203125</v>
      </c>
      <c r="F1835" s="15">
        <v>183.18995666503909</v>
      </c>
      <c r="H1835" s="16">
        <f t="shared" si="70"/>
        <v>1.3673895341471609E-3</v>
      </c>
      <c r="I1835" s="16">
        <f t="shared" si="70"/>
        <v>-6.5746554730933271E-3</v>
      </c>
      <c r="J1835" s="16">
        <f t="shared" si="70"/>
        <v>1.64582989414396E-2</v>
      </c>
      <c r="K1835" s="16">
        <f t="shared" si="70"/>
        <v>-7.7903581654262743E-4</v>
      </c>
      <c r="L1835" s="16">
        <f t="shared" si="71"/>
        <v>2.094670449775877E-3</v>
      </c>
    </row>
    <row r="1836" spans="1:12" x14ac:dyDescent="0.35">
      <c r="A1836" s="18">
        <v>44915</v>
      </c>
      <c r="B1836" s="15">
        <v>367.89797973632813</v>
      </c>
      <c r="C1836" s="15">
        <v>66.112083435058594</v>
      </c>
      <c r="D1836" s="15">
        <v>169.08000183105469</v>
      </c>
      <c r="E1836" s="15">
        <v>265.41473388671881</v>
      </c>
      <c r="F1836" s="15">
        <v>183.57408142089841</v>
      </c>
      <c r="H1836" s="16">
        <f t="shared" si="70"/>
        <v>1.484176521820204E-2</v>
      </c>
      <c r="I1836" s="16">
        <f t="shared" si="70"/>
        <v>2.333796783159702E-3</v>
      </c>
      <c r="J1836" s="16">
        <f t="shared" si="70"/>
        <v>-1.6573862871153066E-3</v>
      </c>
      <c r="K1836" s="16">
        <f t="shared" si="70"/>
        <v>1.4402216387213613E-2</v>
      </c>
      <c r="L1836" s="16">
        <f t="shared" si="71"/>
        <v>1.5005820830404023E-2</v>
      </c>
    </row>
    <row r="1837" spans="1:12" x14ac:dyDescent="0.35">
      <c r="A1837" s="18">
        <v>44916</v>
      </c>
      <c r="B1837" s="15">
        <v>373.39895629882813</v>
      </c>
      <c r="C1837" s="15">
        <v>66.266555786132813</v>
      </c>
      <c r="D1837" s="15">
        <v>168.80000305175781</v>
      </c>
      <c r="E1837" s="15">
        <v>269.26495361328119</v>
      </c>
      <c r="F1837" s="15">
        <v>186.34953308105469</v>
      </c>
      <c r="H1837" s="16">
        <f t="shared" si="70"/>
        <v>-1.4368972223184609E-2</v>
      </c>
      <c r="I1837" s="16">
        <f t="shared" si="70"/>
        <v>-1.3724664371755619E-4</v>
      </c>
      <c r="J1837" s="16">
        <f t="shared" si="70"/>
        <v>-1.215898016893281E-2</v>
      </c>
      <c r="K1837" s="16">
        <f t="shared" si="70"/>
        <v>-2.476954277620913E-2</v>
      </c>
      <c r="L1837" s="16">
        <f t="shared" si="71"/>
        <v>-1.4285092473069697E-2</v>
      </c>
    </row>
    <row r="1838" spans="1:12" x14ac:dyDescent="0.35">
      <c r="A1838" s="18">
        <v>44917</v>
      </c>
      <c r="B1838" s="15">
        <v>368.07196044921881</v>
      </c>
      <c r="C1838" s="15">
        <v>66.257461547851563</v>
      </c>
      <c r="D1838" s="15">
        <v>166.75999450683591</v>
      </c>
      <c r="E1838" s="15">
        <v>262.67730712890619</v>
      </c>
      <c r="F1838" s="15">
        <v>183.70643615722659</v>
      </c>
      <c r="H1838" s="16">
        <f t="shared" si="70"/>
        <v>5.7358692500138015E-3</v>
      </c>
      <c r="I1838" s="16">
        <f t="shared" si="70"/>
        <v>-3.1387807184966982E-3</v>
      </c>
      <c r="J1838" s="16">
        <f t="shared" si="70"/>
        <v>2.9938350392547221E-3</v>
      </c>
      <c r="K1838" s="16">
        <f t="shared" si="70"/>
        <v>2.2468149945523929E-3</v>
      </c>
      <c r="L1838" s="16">
        <f t="shared" si="71"/>
        <v>5.5004091018961187E-3</v>
      </c>
    </row>
    <row r="1839" spans="1:12" x14ac:dyDescent="0.35">
      <c r="A1839" s="18">
        <v>44918</v>
      </c>
      <c r="B1839" s="15">
        <v>370.18923950195313</v>
      </c>
      <c r="C1839" s="15">
        <v>66.049819946289063</v>
      </c>
      <c r="D1839" s="15">
        <v>167.25999450683591</v>
      </c>
      <c r="E1839" s="15">
        <v>263.26815795898438</v>
      </c>
      <c r="F1839" s="15">
        <v>184.71968078613281</v>
      </c>
      <c r="H1839" s="16">
        <f t="shared" si="70"/>
        <v>-3.9512895932659981E-3</v>
      </c>
      <c r="I1839" s="16">
        <f t="shared" si="70"/>
        <v>-7.7507430536715664E-3</v>
      </c>
      <c r="J1839" s="16">
        <f t="shared" si="70"/>
        <v>8.3946773027698436E-3</v>
      </c>
      <c r="K1839" s="16">
        <f t="shared" si="70"/>
        <v>-1.423933001920197E-2</v>
      </c>
      <c r="L1839" s="16">
        <f t="shared" si="71"/>
        <v>-4.1879976290061837E-3</v>
      </c>
    </row>
    <row r="1840" spans="1:12" x14ac:dyDescent="0.35">
      <c r="A1840" s="18">
        <v>44922</v>
      </c>
      <c r="B1840" s="15">
        <v>368.72940063476563</v>
      </c>
      <c r="C1840" s="15">
        <v>65.539863586425781</v>
      </c>
      <c r="D1840" s="15">
        <v>168.66999816894531</v>
      </c>
      <c r="E1840" s="15">
        <v>259.54595947265619</v>
      </c>
      <c r="F1840" s="15">
        <v>183.94769287109381</v>
      </c>
      <c r="H1840" s="16">
        <f t="shared" si="70"/>
        <v>-1.2505821454168219E-2</v>
      </c>
      <c r="I1840" s="16">
        <f t="shared" si="70"/>
        <v>-1.3906506916112739E-3</v>
      </c>
      <c r="J1840" s="16">
        <f t="shared" si="70"/>
        <v>-4.515989032750382E-3</v>
      </c>
      <c r="K1840" s="16">
        <f t="shared" si="70"/>
        <v>-1.3290707972997208E-2</v>
      </c>
      <c r="L1840" s="16">
        <f t="shared" si="71"/>
        <v>-1.2670436576721168E-2</v>
      </c>
    </row>
    <row r="1841" spans="1:12" x14ac:dyDescent="0.35">
      <c r="A1841" s="18">
        <v>44923</v>
      </c>
      <c r="B1841" s="15">
        <v>364.1468505859375</v>
      </c>
      <c r="C1841" s="15">
        <v>65.448783874511719</v>
      </c>
      <c r="D1841" s="15">
        <v>167.9100036621094</v>
      </c>
      <c r="E1841" s="15">
        <v>256.11923217773438</v>
      </c>
      <c r="F1841" s="15">
        <v>181.63169860839841</v>
      </c>
      <c r="H1841" s="16">
        <f t="shared" si="70"/>
        <v>1.7840284304796204E-2</v>
      </c>
      <c r="I1841" s="16">
        <f t="shared" si="70"/>
        <v>3.749909494695735E-3</v>
      </c>
      <c r="J1841" s="16">
        <f t="shared" si="70"/>
        <v>5.5826395978048199E-3</v>
      </c>
      <c r="K1841" s="16">
        <f t="shared" si="70"/>
        <v>2.4082838814315222E-2</v>
      </c>
      <c r="L1841" s="16">
        <f t="shared" si="71"/>
        <v>1.8215705870857302E-2</v>
      </c>
    </row>
    <row r="1842" spans="1:12" x14ac:dyDescent="0.35">
      <c r="A1842" s="18">
        <v>44924</v>
      </c>
      <c r="B1842" s="15">
        <v>370.70162963867188</v>
      </c>
      <c r="C1842" s="15">
        <v>65.694671630859375</v>
      </c>
      <c r="D1842" s="15">
        <v>168.8500061035156</v>
      </c>
      <c r="E1842" s="15">
        <v>262.3621826171875</v>
      </c>
      <c r="F1842" s="15">
        <v>184.97056579589841</v>
      </c>
      <c r="H1842" s="16">
        <f t="shared" si="70"/>
        <v>-2.6376735327112025E-3</v>
      </c>
      <c r="I1842" s="16">
        <f t="shared" si="70"/>
        <v>-4.1674354467456992E-3</v>
      </c>
      <c r="J1842" s="16">
        <f t="shared" si="70"/>
        <v>4.6677580293306613E-3</v>
      </c>
      <c r="K1842" s="16">
        <f t="shared" si="70"/>
        <v>-6.0061648185822259E-4</v>
      </c>
      <c r="L1842" s="16">
        <f t="shared" si="71"/>
        <v>-2.55948532098111E-3</v>
      </c>
    </row>
    <row r="1843" spans="1:12" x14ac:dyDescent="0.35">
      <c r="A1843" s="18">
        <v>44925</v>
      </c>
      <c r="B1843" s="15">
        <v>369.72512817382813</v>
      </c>
      <c r="C1843" s="15">
        <v>65.421463012695313</v>
      </c>
      <c r="D1843" s="15">
        <v>169.63999938964841</v>
      </c>
      <c r="E1843" s="15">
        <v>262.20465087890619</v>
      </c>
      <c r="F1843" s="15">
        <v>184.49774169921881</v>
      </c>
      <c r="H1843" s="16">
        <f t="shared" si="70"/>
        <v>-4.2185725053689917E-3</v>
      </c>
      <c r="I1843" s="16">
        <f t="shared" si="70"/>
        <v>5.2756699459411234E-3</v>
      </c>
      <c r="J1843" s="16">
        <f t="shared" si="70"/>
        <v>8.3358168719467798E-3</v>
      </c>
      <c r="K1843" s="16">
        <f t="shared" si="70"/>
        <v>-6.7826719166639007E-3</v>
      </c>
      <c r="L1843" s="16">
        <f t="shared" si="71"/>
        <v>-4.0881569419514248E-3</v>
      </c>
    </row>
    <row r="1844" spans="1:12" x14ac:dyDescent="0.35">
      <c r="A1844" s="18">
        <v>44929</v>
      </c>
      <c r="B1844" s="15">
        <v>368.168701171875</v>
      </c>
      <c r="C1844" s="15">
        <v>65.76751708984375</v>
      </c>
      <c r="D1844" s="15">
        <v>171.05999755859381</v>
      </c>
      <c r="E1844" s="15">
        <v>260.43222045898438</v>
      </c>
      <c r="F1844" s="15">
        <v>183.7450256347656</v>
      </c>
      <c r="H1844" s="16">
        <f t="shared" si="70"/>
        <v>7.6905792028011928E-3</v>
      </c>
      <c r="I1844" s="16">
        <f t="shared" si="70"/>
        <v>5.661254600735981E-3</v>
      </c>
      <c r="J1844" s="16">
        <f t="shared" si="70"/>
        <v>9.3678899395657021E-3</v>
      </c>
      <c r="K1844" s="16">
        <f t="shared" si="70"/>
        <v>4.7526614679381613E-3</v>
      </c>
      <c r="L1844" s="16">
        <f t="shared" si="71"/>
        <v>8.8364259421362754E-3</v>
      </c>
    </row>
    <row r="1845" spans="1:12" x14ac:dyDescent="0.35">
      <c r="A1845" s="18">
        <v>44930</v>
      </c>
      <c r="B1845" s="15">
        <v>371.01104736328119</v>
      </c>
      <c r="C1845" s="15">
        <v>66.140899658203125</v>
      </c>
      <c r="D1845" s="15">
        <v>172.66999816894531</v>
      </c>
      <c r="E1845" s="15">
        <v>261.67291259765619</v>
      </c>
      <c r="F1845" s="15">
        <v>185.37586975097659</v>
      </c>
      <c r="H1845" s="16">
        <f t="shared" si="70"/>
        <v>-1.1479197993606588E-2</v>
      </c>
      <c r="I1845" s="16">
        <f t="shared" si="70"/>
        <v>-1.1022057346805685E-3</v>
      </c>
      <c r="J1845" s="16">
        <f t="shared" si="70"/>
        <v>-1.2529630867487783E-2</v>
      </c>
      <c r="K1845" s="16">
        <f t="shared" si="70"/>
        <v>-1.5778387406050448E-2</v>
      </c>
      <c r="L1845" s="16">
        <f t="shared" si="71"/>
        <v>-1.1781736770061873E-2</v>
      </c>
    </row>
    <row r="1846" spans="1:12" x14ac:dyDescent="0.35">
      <c r="A1846" s="18">
        <v>44931</v>
      </c>
      <c r="B1846" s="15">
        <v>366.7764892578125</v>
      </c>
      <c r="C1846" s="15">
        <v>66.068038940429688</v>
      </c>
      <c r="D1846" s="15">
        <v>170.52000427246091</v>
      </c>
      <c r="E1846" s="15">
        <v>257.5765380859375</v>
      </c>
      <c r="F1846" s="15">
        <v>183.20463562011719</v>
      </c>
      <c r="H1846" s="16">
        <f t="shared" si="70"/>
        <v>2.2673178242507259E-2</v>
      </c>
      <c r="I1846" s="16">
        <f t="shared" si="70"/>
        <v>1.0966625229381063E-2</v>
      </c>
      <c r="J1846" s="16">
        <f t="shared" si="70"/>
        <v>1.853466381119925E-2</v>
      </c>
      <c r="K1846" s="16">
        <f t="shared" si="70"/>
        <v>2.7227439369241692E-2</v>
      </c>
      <c r="L1846" s="16">
        <f t="shared" si="71"/>
        <v>2.1829947307291965E-2</v>
      </c>
    </row>
    <row r="1847" spans="1:12" x14ac:dyDescent="0.35">
      <c r="A1847" s="18">
        <v>44932</v>
      </c>
      <c r="B1847" s="15">
        <v>375.18746948242188</v>
      </c>
      <c r="C1847" s="15">
        <v>66.79656982421875</v>
      </c>
      <c r="D1847" s="15">
        <v>173.71000671386719</v>
      </c>
      <c r="E1847" s="15">
        <v>264.68603515625</v>
      </c>
      <c r="F1847" s="15">
        <v>187.2479553222656</v>
      </c>
      <c r="H1847" s="16">
        <f t="shared" si="70"/>
        <v>-5.6709739924386596E-4</v>
      </c>
      <c r="I1847" s="16">
        <f t="shared" si="70"/>
        <v>2.722682341834805E-3</v>
      </c>
      <c r="J1847" s="16">
        <f t="shared" si="70"/>
        <v>2.2426010679792571E-3</v>
      </c>
      <c r="K1847" s="16">
        <f t="shared" si="70"/>
        <v>6.4527322732714212E-3</v>
      </c>
      <c r="L1847" s="16">
        <f t="shared" si="71"/>
        <v>4.1225314686561831E-4</v>
      </c>
    </row>
    <row r="1848" spans="1:12" x14ac:dyDescent="0.35">
      <c r="A1848" s="18">
        <v>44935</v>
      </c>
      <c r="B1848" s="15">
        <v>374.97476196289063</v>
      </c>
      <c r="C1848" s="15">
        <v>66.978683471679688</v>
      </c>
      <c r="D1848" s="15">
        <v>174.1000061035156</v>
      </c>
      <c r="E1848" s="15">
        <v>266.39950561523438</v>
      </c>
      <c r="F1848" s="15">
        <v>187.3251647949219</v>
      </c>
      <c r="H1848" s="16">
        <f t="shared" si="70"/>
        <v>6.9883661535853582E-3</v>
      </c>
      <c r="I1848" s="16">
        <f t="shared" si="70"/>
        <v>-3.9503692436800254E-3</v>
      </c>
      <c r="J1848" s="16">
        <f t="shared" si="70"/>
        <v>3.6693044744918334E-3</v>
      </c>
      <c r="K1848" s="16">
        <f t="shared" si="70"/>
        <v>8.4285556929845663E-3</v>
      </c>
      <c r="L1848" s="16">
        <f t="shared" si="71"/>
        <v>7.8507999469304372E-3</v>
      </c>
    </row>
    <row r="1849" spans="1:12" x14ac:dyDescent="0.35">
      <c r="A1849" s="18">
        <v>44936</v>
      </c>
      <c r="B1849" s="15">
        <v>377.60440063476563</v>
      </c>
      <c r="C1849" s="15">
        <v>66.714614868164063</v>
      </c>
      <c r="D1849" s="15">
        <v>174.74000549316409</v>
      </c>
      <c r="E1849" s="15">
        <v>268.65435791015619</v>
      </c>
      <c r="F1849" s="15">
        <v>188.8016052246094</v>
      </c>
      <c r="H1849" s="16">
        <f t="shared" si="70"/>
        <v>1.2568600992159248E-2</v>
      </c>
      <c r="I1849" s="16">
        <f t="shared" si="70"/>
        <v>5.3090493294541633E-3</v>
      </c>
      <c r="J1849" s="16">
        <f t="shared" si="70"/>
        <v>-6.8702988600549773E-4</v>
      </c>
      <c r="K1849" s="16">
        <f t="shared" si="70"/>
        <v>1.7152226110225915E-2</v>
      </c>
      <c r="L1849" s="16">
        <f t="shared" si="71"/>
        <v>1.3100670152945868E-2</v>
      </c>
    </row>
    <row r="1850" spans="1:12" x14ac:dyDescent="0.35">
      <c r="A1850" s="18">
        <v>44937</v>
      </c>
      <c r="B1850" s="15">
        <v>382.38031005859381</v>
      </c>
      <c r="C1850" s="15">
        <v>67.069747924804688</v>
      </c>
      <c r="D1850" s="15">
        <v>174.6199951171875</v>
      </c>
      <c r="E1850" s="15">
        <v>273.3021240234375</v>
      </c>
      <c r="F1850" s="15">
        <v>191.29130554199219</v>
      </c>
      <c r="H1850" s="16">
        <f t="shared" si="70"/>
        <v>3.6341378998580921E-3</v>
      </c>
      <c r="I1850" s="16">
        <f t="shared" si="70"/>
        <v>7.7095139192778495E-3</v>
      </c>
      <c r="J1850" s="16">
        <f t="shared" si="70"/>
        <v>1.1501603213231721E-2</v>
      </c>
      <c r="K1850" s="16">
        <f t="shared" si="70"/>
        <v>5.3896875851089879E-3</v>
      </c>
      <c r="L1850" s="16">
        <f t="shared" si="71"/>
        <v>4.8312223124904975E-3</v>
      </c>
    </row>
    <row r="1851" spans="1:12" x14ac:dyDescent="0.35">
      <c r="A1851" s="18">
        <v>44938</v>
      </c>
      <c r="B1851" s="15">
        <v>383.7724609375</v>
      </c>
      <c r="C1851" s="15">
        <v>67.588821411132813</v>
      </c>
      <c r="D1851" s="15">
        <v>176.63999938964841</v>
      </c>
      <c r="E1851" s="15">
        <v>274.77911376953119</v>
      </c>
      <c r="F1851" s="15">
        <v>192.21771240234381</v>
      </c>
      <c r="H1851" s="16">
        <f t="shared" si="70"/>
        <v>3.8718767885498225E-3</v>
      </c>
      <c r="I1851" s="16">
        <f t="shared" si="70"/>
        <v>-3.3736710309818277E-3</v>
      </c>
      <c r="J1851" s="16">
        <f t="shared" si="70"/>
        <v>1.1930333702592914E-2</v>
      </c>
      <c r="K1851" s="16">
        <f t="shared" si="70"/>
        <v>6.8571843995053729E-3</v>
      </c>
      <c r="L1851" s="16">
        <f t="shared" si="71"/>
        <v>4.2580670554950972E-3</v>
      </c>
    </row>
    <row r="1852" spans="1:12" x14ac:dyDescent="0.35">
      <c r="A1852" s="18">
        <v>44939</v>
      </c>
      <c r="B1852" s="15">
        <v>385.26126098632813</v>
      </c>
      <c r="C1852" s="15">
        <v>67.361183166503906</v>
      </c>
      <c r="D1852" s="15">
        <v>178.75999450683591</v>
      </c>
      <c r="E1852" s="15">
        <v>276.6697998046875</v>
      </c>
      <c r="F1852" s="15">
        <v>193.0379333496094</v>
      </c>
      <c r="H1852" s="16">
        <f t="shared" si="70"/>
        <v>-1.833473078547729E-3</v>
      </c>
      <c r="I1852" s="16">
        <f t="shared" si="70"/>
        <v>-1.3531380803785578E-3</v>
      </c>
      <c r="J1852" s="16">
        <f t="shared" si="70"/>
        <v>-6.5665912906243953E-3</v>
      </c>
      <c r="K1852" s="16">
        <f t="shared" si="70"/>
        <v>2.0266423483357764E-3</v>
      </c>
      <c r="L1852" s="16">
        <f t="shared" si="71"/>
        <v>-1.3506143867286348E-3</v>
      </c>
    </row>
    <row r="1853" spans="1:12" x14ac:dyDescent="0.35">
      <c r="A1853" s="18">
        <v>44943</v>
      </c>
      <c r="B1853" s="15">
        <v>384.5555419921875</v>
      </c>
      <c r="C1853" s="15">
        <v>67.270095825195313</v>
      </c>
      <c r="D1853" s="15">
        <v>177.5899963378906</v>
      </c>
      <c r="E1853" s="15">
        <v>277.2310791015625</v>
      </c>
      <c r="F1853" s="15">
        <v>192.77738952636719</v>
      </c>
      <c r="H1853" s="16">
        <f t="shared" si="70"/>
        <v>-1.5913924163509081E-2</v>
      </c>
      <c r="I1853" s="16">
        <f t="shared" si="70"/>
        <v>9.1631657997635983E-3</v>
      </c>
      <c r="J1853" s="16">
        <f t="shared" si="70"/>
        <v>-2.8758838411487284E-3</v>
      </c>
      <c r="K1853" s="16">
        <f t="shared" si="70"/>
        <v>-1.3085239102536148E-2</v>
      </c>
      <c r="L1853" s="16">
        <f t="shared" si="71"/>
        <v>-1.5893662396015387E-2</v>
      </c>
    </row>
    <row r="1854" spans="1:12" x14ac:dyDescent="0.35">
      <c r="A1854" s="18">
        <v>44944</v>
      </c>
      <c r="B1854" s="15">
        <v>378.48419189453119</v>
      </c>
      <c r="C1854" s="15">
        <v>67.889335632324219</v>
      </c>
      <c r="D1854" s="15">
        <v>177.08000183105469</v>
      </c>
      <c r="E1854" s="15">
        <v>273.6270751953125</v>
      </c>
      <c r="F1854" s="15">
        <v>189.7376708984375</v>
      </c>
      <c r="H1854" s="16">
        <f t="shared" si="70"/>
        <v>-7.3064012881534661E-3</v>
      </c>
      <c r="I1854" s="16">
        <f t="shared" si="70"/>
        <v>-2.0139634283225399E-3</v>
      </c>
      <c r="J1854" s="16">
        <f t="shared" si="70"/>
        <v>1.5743931377470842E-2</v>
      </c>
      <c r="K1854" s="16">
        <f t="shared" si="70"/>
        <v>-9.8727916375670466E-3</v>
      </c>
      <c r="L1854" s="16">
        <f t="shared" si="71"/>
        <v>-8.1707943833938725E-3</v>
      </c>
    </row>
    <row r="1855" spans="1:12" x14ac:dyDescent="0.35">
      <c r="A1855" s="18">
        <v>44945</v>
      </c>
      <c r="B1855" s="15">
        <v>375.72891235351563</v>
      </c>
      <c r="C1855" s="15">
        <v>67.75274658203125</v>
      </c>
      <c r="D1855" s="15">
        <v>179.88999938964841</v>
      </c>
      <c r="E1855" s="15">
        <v>270.93890380859381</v>
      </c>
      <c r="F1855" s="15">
        <v>188.19367980957031</v>
      </c>
      <c r="H1855" s="16">
        <f t="shared" si="70"/>
        <v>1.845759708732744E-2</v>
      </c>
      <c r="I1855" s="16">
        <f t="shared" si="70"/>
        <v>-4.445546476039299E-3</v>
      </c>
      <c r="J1855" s="16">
        <f t="shared" si="70"/>
        <v>-3.3409804213135933E-3</v>
      </c>
      <c r="K1855" s="16">
        <f t="shared" si="70"/>
        <v>2.6999144699645865E-2</v>
      </c>
      <c r="L1855" s="16">
        <f t="shared" si="71"/>
        <v>1.8995854010130465E-2</v>
      </c>
    </row>
    <row r="1856" spans="1:12" x14ac:dyDescent="0.35">
      <c r="A1856" s="18">
        <v>44946</v>
      </c>
      <c r="B1856" s="15">
        <v>382.72836303710938</v>
      </c>
      <c r="C1856" s="15">
        <v>67.452217102050781</v>
      </c>
      <c r="D1856" s="15">
        <v>179.28999328613281</v>
      </c>
      <c r="E1856" s="15">
        <v>278.35366821289063</v>
      </c>
      <c r="F1856" s="15">
        <v>191.80274963378909</v>
      </c>
      <c r="H1856" s="16">
        <f t="shared" si="70"/>
        <v>1.1927080445740951E-2</v>
      </c>
      <c r="I1856" s="16">
        <f t="shared" si="70"/>
        <v>-2.4328590843411459E-3</v>
      </c>
      <c r="J1856" s="16">
        <f t="shared" si="70"/>
        <v>1.8946378029897782E-3</v>
      </c>
      <c r="K1856" s="16">
        <f t="shared" si="70"/>
        <v>2.19726908158808E-2</v>
      </c>
      <c r="L1856" s="16">
        <f t="shared" si="71"/>
        <v>1.2598914287580067E-2</v>
      </c>
    </row>
    <row r="1857" spans="1:12" x14ac:dyDescent="0.35">
      <c r="A1857" s="18">
        <v>44949</v>
      </c>
      <c r="B1857" s="15">
        <v>387.32052612304688</v>
      </c>
      <c r="C1857" s="15">
        <v>67.288314819335938</v>
      </c>
      <c r="D1857" s="15">
        <v>179.6300048828125</v>
      </c>
      <c r="E1857" s="15">
        <v>284.53753662109381</v>
      </c>
      <c r="F1857" s="15">
        <v>194.23454284667969</v>
      </c>
      <c r="H1857" s="16">
        <f t="shared" si="70"/>
        <v>-1.0737957872376826E-3</v>
      </c>
      <c r="I1857" s="16">
        <f t="shared" si="70"/>
        <v>4.4560123002998263E-3</v>
      </c>
      <c r="J1857" s="16">
        <f t="shared" si="70"/>
        <v>3.6119840879411335E-3</v>
      </c>
      <c r="K1857" s="16">
        <f t="shared" si="70"/>
        <v>-2.0438675675939245E-3</v>
      </c>
      <c r="L1857" s="16">
        <f t="shared" si="71"/>
        <v>-1.6408629571210895E-3</v>
      </c>
    </row>
    <row r="1858" spans="1:12" x14ac:dyDescent="0.35">
      <c r="A1858" s="18">
        <v>44950</v>
      </c>
      <c r="B1858" s="15">
        <v>386.90484619140619</v>
      </c>
      <c r="C1858" s="15">
        <v>67.588821411132813</v>
      </c>
      <c r="D1858" s="15">
        <v>180.2799987792969</v>
      </c>
      <c r="E1858" s="15">
        <v>283.95657348632813</v>
      </c>
      <c r="F1858" s="15">
        <v>193.91609191894531</v>
      </c>
      <c r="H1858" s="16">
        <f t="shared" si="70"/>
        <v>3.7474940255487053E-4</v>
      </c>
      <c r="I1858" s="16">
        <f t="shared" si="70"/>
        <v>1.2123810996486318E-3</v>
      </c>
      <c r="J1858" s="16">
        <f t="shared" si="70"/>
        <v>4.5933937952080863E-3</v>
      </c>
      <c r="K1858" s="16">
        <f t="shared" si="70"/>
        <v>-2.2217774658427687E-3</v>
      </c>
      <c r="L1858" s="16">
        <f t="shared" si="71"/>
        <v>4.9741787032646541E-4</v>
      </c>
    </row>
    <row r="1859" spans="1:12" x14ac:dyDescent="0.35">
      <c r="A1859" s="18">
        <v>44951</v>
      </c>
      <c r="B1859" s="15">
        <v>387.04986572265619</v>
      </c>
      <c r="C1859" s="15">
        <v>67.670814514160156</v>
      </c>
      <c r="D1859" s="15">
        <v>181.11000061035159</v>
      </c>
      <c r="E1859" s="15">
        <v>283.32638549804688</v>
      </c>
      <c r="F1859" s="15">
        <v>194.0125732421875</v>
      </c>
      <c r="H1859" s="16">
        <f t="shared" si="70"/>
        <v>1.0930632037085755E-2</v>
      </c>
      <c r="I1859" s="16">
        <f t="shared" si="70"/>
        <v>-1.8861602054331479E-3</v>
      </c>
      <c r="J1859" s="16">
        <f t="shared" si="70"/>
        <v>-9.0965150036084012E-3</v>
      </c>
      <c r="K1859" s="16">
        <f t="shared" si="70"/>
        <v>1.9309589392286233E-2</v>
      </c>
      <c r="L1859" s="16">
        <f t="shared" si="71"/>
        <v>1.0243227751126344E-2</v>
      </c>
    </row>
    <row r="1860" spans="1:12" x14ac:dyDescent="0.35">
      <c r="A1860" s="18">
        <v>44952</v>
      </c>
      <c r="B1860" s="15">
        <v>391.30377197265619</v>
      </c>
      <c r="C1860" s="15">
        <v>67.543296813964844</v>
      </c>
      <c r="D1860" s="15">
        <v>179.4700012207031</v>
      </c>
      <c r="E1860" s="15">
        <v>288.8504638671875</v>
      </c>
      <c r="F1860" s="15">
        <v>196.0101013183594</v>
      </c>
      <c r="H1860" s="16">
        <f t="shared" si="70"/>
        <v>2.2947791131708154E-3</v>
      </c>
      <c r="I1860" s="16">
        <f t="shared" si="70"/>
        <v>-1.0790821977888282E-3</v>
      </c>
      <c r="J1860" s="16">
        <f t="shared" si="70"/>
        <v>-1.3939615756237058E-3</v>
      </c>
      <c r="K1860" s="16">
        <f t="shared" si="70"/>
        <v>9.9052949649071527E-3</v>
      </c>
      <c r="L1860" s="16">
        <f t="shared" si="71"/>
        <v>4.0291706339690668E-3</v>
      </c>
    </row>
    <row r="1861" spans="1:12" x14ac:dyDescent="0.35">
      <c r="A1861" s="18">
        <v>44953</v>
      </c>
      <c r="B1861" s="15">
        <v>392.2027587890625</v>
      </c>
      <c r="C1861" s="15">
        <v>67.470451354980469</v>
      </c>
      <c r="D1861" s="15">
        <v>179.2200012207031</v>
      </c>
      <c r="E1861" s="15">
        <v>291.725830078125</v>
      </c>
      <c r="F1861" s="15">
        <v>196.80145263671881</v>
      </c>
      <c r="H1861" s="16">
        <f t="shared" si="70"/>
        <v>-1.2626119822079663E-2</v>
      </c>
      <c r="I1861" s="16">
        <f t="shared" si="70"/>
        <v>-2.8386536348981002E-3</v>
      </c>
      <c r="J1861" s="16">
        <f t="shared" si="70"/>
        <v>-2.5700149312909552E-3</v>
      </c>
      <c r="K1861" s="16">
        <f t="shared" si="70"/>
        <v>-2.0426103389934388E-2</v>
      </c>
      <c r="L1861" s="16">
        <f t="shared" si="71"/>
        <v>-1.3476792602565247E-2</v>
      </c>
    </row>
    <row r="1862" spans="1:12" x14ac:dyDescent="0.35">
      <c r="A1862" s="18">
        <v>44956</v>
      </c>
      <c r="B1862" s="15">
        <v>387.28189086914063</v>
      </c>
      <c r="C1862" s="15">
        <v>67.279197692871094</v>
      </c>
      <c r="D1862" s="15">
        <v>178.75999450683591</v>
      </c>
      <c r="E1862" s="15">
        <v>285.82745361328119</v>
      </c>
      <c r="F1862" s="15">
        <v>194.1669921875</v>
      </c>
      <c r="H1862" s="16">
        <f t="shared" si="70"/>
        <v>1.4596368057199735E-2</v>
      </c>
      <c r="I1862" s="16">
        <f t="shared" si="70"/>
        <v>4.5915149384714591E-3</v>
      </c>
      <c r="J1862" s="16">
        <f t="shared" si="70"/>
        <v>3.6296165072693502E-3</v>
      </c>
      <c r="K1862" s="16">
        <f t="shared" si="70"/>
        <v>1.4874946990408538E-2</v>
      </c>
      <c r="L1862" s="16">
        <f t="shared" si="71"/>
        <v>1.5876454841734375E-2</v>
      </c>
    </row>
    <row r="1863" spans="1:12" x14ac:dyDescent="0.35">
      <c r="A1863" s="18">
        <v>44957</v>
      </c>
      <c r="B1863" s="15">
        <v>392.97625732421881</v>
      </c>
      <c r="C1863" s="15">
        <v>67.588821411132813</v>
      </c>
      <c r="D1863" s="15">
        <v>179.4100036621094</v>
      </c>
      <c r="E1863" s="15">
        <v>290.11090087890619</v>
      </c>
      <c r="F1863" s="15">
        <v>197.27427673339841</v>
      </c>
      <c r="H1863" s="16">
        <f t="shared" si="70"/>
        <v>1.0571593623884422E-2</v>
      </c>
      <c r="I1863" s="16">
        <f t="shared" si="70"/>
        <v>6.408251215575222E-3</v>
      </c>
      <c r="J1863" s="16">
        <f t="shared" si="70"/>
        <v>1.2518134528387544E-2</v>
      </c>
      <c r="K1863" s="16">
        <f t="shared" si="70"/>
        <v>2.1158068365872119E-2</v>
      </c>
      <c r="L1863" s="16">
        <f t="shared" si="71"/>
        <v>1.2106577618307197E-2</v>
      </c>
    </row>
    <row r="1864" spans="1:12" x14ac:dyDescent="0.35">
      <c r="A1864" s="18">
        <v>44958</v>
      </c>
      <c r="B1864" s="15">
        <v>397.15267944335938</v>
      </c>
      <c r="C1864" s="15">
        <v>68.023338317871094</v>
      </c>
      <c r="D1864" s="15">
        <v>181.66999816894531</v>
      </c>
      <c r="E1864" s="15">
        <v>296.31448364257813</v>
      </c>
      <c r="F1864" s="15">
        <v>199.67710876464841</v>
      </c>
      <c r="H1864" s="16">
        <f t="shared" si="70"/>
        <v>1.4451963457225622E-2</v>
      </c>
      <c r="I1864" s="16">
        <f t="shared" si="70"/>
        <v>6.7048291294806472E-4</v>
      </c>
      <c r="J1864" s="16">
        <f t="shared" si="70"/>
        <v>-2.0970284008537586E-2</v>
      </c>
      <c r="K1864" s="16">
        <f t="shared" si="70"/>
        <v>3.5260788755440906E-2</v>
      </c>
      <c r="L1864" s="16">
        <f t="shared" si="71"/>
        <v>1.4822990451146652E-2</v>
      </c>
    </row>
    <row r="1865" spans="1:12" x14ac:dyDescent="0.35">
      <c r="A1865" s="18">
        <v>44959</v>
      </c>
      <c r="B1865" s="15">
        <v>402.93399047851563</v>
      </c>
      <c r="C1865" s="15">
        <v>68.068962097167969</v>
      </c>
      <c r="D1865" s="15">
        <v>177.8999938964844</v>
      </c>
      <c r="E1865" s="15">
        <v>306.94915771484381</v>
      </c>
      <c r="F1865" s="15">
        <v>202.6589660644531</v>
      </c>
      <c r="H1865" s="16">
        <f t="shared" si="70"/>
        <v>-1.0685944018394357E-2</v>
      </c>
      <c r="I1865" s="16">
        <f t="shared" si="70"/>
        <v>-8.8897189910388391E-3</v>
      </c>
      <c r="J1865" s="16">
        <f t="shared" si="70"/>
        <v>-2.5274496401227548E-2</v>
      </c>
      <c r="K1865" s="16">
        <f t="shared" si="70"/>
        <v>-1.7932048029962774E-2</v>
      </c>
      <c r="L1865" s="16">
        <f t="shared" si="71"/>
        <v>-1.0386580671471184E-2</v>
      </c>
    </row>
    <row r="1866" spans="1:12" x14ac:dyDescent="0.35">
      <c r="A1866" s="18">
        <v>44960</v>
      </c>
      <c r="B1866" s="15">
        <v>398.65118408203119</v>
      </c>
      <c r="C1866" s="15">
        <v>67.466529846191406</v>
      </c>
      <c r="D1866" s="15">
        <v>173.46000671386719</v>
      </c>
      <c r="E1866" s="15">
        <v>301.49398803710938</v>
      </c>
      <c r="F1866" s="15">
        <v>200.56492614746091</v>
      </c>
      <c r="H1866" s="16">
        <f t="shared" si="70"/>
        <v>-6.1299022245796834E-3</v>
      </c>
      <c r="I1866" s="16">
        <f t="shared" si="70"/>
        <v>-6.2436018659406825E-3</v>
      </c>
      <c r="J1866" s="16">
        <f t="shared" si="70"/>
        <v>2.073259184241249E-3</v>
      </c>
      <c r="K1866" s="16">
        <f t="shared" si="70"/>
        <v>-8.4949330278976595E-3</v>
      </c>
      <c r="L1866" s="16">
        <f t="shared" si="71"/>
        <v>-7.534117242638594E-3</v>
      </c>
    </row>
    <row r="1867" spans="1:12" x14ac:dyDescent="0.35">
      <c r="A1867" s="18">
        <v>44963</v>
      </c>
      <c r="B1867" s="15">
        <v>396.2149658203125</v>
      </c>
      <c r="C1867" s="15">
        <v>67.046607971191406</v>
      </c>
      <c r="D1867" s="15">
        <v>173.82000732421881</v>
      </c>
      <c r="E1867" s="15">
        <v>298.94366455078119</v>
      </c>
      <c r="F1867" s="15">
        <v>199.05952453613281</v>
      </c>
      <c r="H1867" s="16">
        <f t="shared" si="70"/>
        <v>1.2993759336884545E-2</v>
      </c>
      <c r="I1867" s="16">
        <f t="shared" si="70"/>
        <v>-1.3622259072983598E-3</v>
      </c>
      <c r="J1867" s="16">
        <f t="shared" si="70"/>
        <v>9.2000237608417829E-4</v>
      </c>
      <c r="K1867" s="16">
        <f t="shared" si="70"/>
        <v>2.0506891867960304E-2</v>
      </c>
      <c r="L1867" s="16">
        <f t="shared" si="71"/>
        <v>1.2525510768610953E-2</v>
      </c>
    </row>
    <row r="1868" spans="1:12" x14ac:dyDescent="0.35">
      <c r="A1868" s="18">
        <v>44964</v>
      </c>
      <c r="B1868" s="15">
        <v>401.39688110351563</v>
      </c>
      <c r="C1868" s="15">
        <v>66.955337524414063</v>
      </c>
      <c r="D1868" s="15">
        <v>173.97999572753909</v>
      </c>
      <c r="E1868" s="15">
        <v>305.13735961914063</v>
      </c>
      <c r="F1868" s="15">
        <v>201.56852722167969</v>
      </c>
      <c r="H1868" s="16">
        <f t="shared" si="70"/>
        <v>-1.0995091296006431E-2</v>
      </c>
      <c r="I1868" s="16">
        <f t="shared" si="70"/>
        <v>1.7706572091436277E-3</v>
      </c>
      <c r="J1868" s="16">
        <f t="shared" si="70"/>
        <v>2.4685447555079982E-3</v>
      </c>
      <c r="K1868" s="16">
        <f t="shared" si="70"/>
        <v>-1.7941122390281426E-2</v>
      </c>
      <c r="L1868" s="16">
        <f t="shared" si="71"/>
        <v>-1.0733404514911745E-2</v>
      </c>
    </row>
    <row r="1869" spans="1:12" x14ac:dyDescent="0.35">
      <c r="A1869" s="18">
        <v>44965</v>
      </c>
      <c r="B1869" s="15">
        <v>397.00765991210938</v>
      </c>
      <c r="C1869" s="15">
        <v>67.073997497558594</v>
      </c>
      <c r="D1869" s="15">
        <v>174.4100036621094</v>
      </c>
      <c r="E1869" s="15">
        <v>299.711669921875</v>
      </c>
      <c r="F1869" s="15">
        <v>199.41658020019531</v>
      </c>
      <c r="H1869" s="16">
        <f t="shared" si="70"/>
        <v>-8.7068490052110911E-3</v>
      </c>
      <c r="I1869" s="16">
        <f t="shared" si="70"/>
        <v>-4.0908113084075883E-3</v>
      </c>
      <c r="J1869" s="16">
        <f t="shared" si="70"/>
        <v>-7.9438874640135864E-3</v>
      </c>
      <c r="K1869" s="16">
        <f t="shared" si="70"/>
        <v>-8.877227826331123E-3</v>
      </c>
      <c r="L1869" s="16">
        <f t="shared" si="71"/>
        <v>-9.7740891217420432E-3</v>
      </c>
    </row>
    <row r="1870" spans="1:12" x14ac:dyDescent="0.35">
      <c r="A1870" s="18">
        <v>44966</v>
      </c>
      <c r="B1870" s="15">
        <v>393.56597900390619</v>
      </c>
      <c r="C1870" s="15">
        <v>66.8001708984375</v>
      </c>
      <c r="D1870" s="15">
        <v>173.0299987792969</v>
      </c>
      <c r="E1870" s="15">
        <v>297.06283569335938</v>
      </c>
      <c r="F1870" s="15">
        <v>197.4769592285156</v>
      </c>
      <c r="H1870" s="16">
        <f t="shared" si="70"/>
        <v>2.3309611405125286E-3</v>
      </c>
      <c r="I1870" s="16">
        <f t="shared" si="70"/>
        <v>-4.2455871401381696E-3</v>
      </c>
      <c r="J1870" s="16">
        <f t="shared" si="70"/>
        <v>1.9053779351280687E-3</v>
      </c>
      <c r="K1870" s="16">
        <f t="shared" si="70"/>
        <v>-6.5846043695434158E-3</v>
      </c>
      <c r="L1870" s="16">
        <f t="shared" si="71"/>
        <v>1.8062237047208433E-3</v>
      </c>
    </row>
    <row r="1871" spans="1:12" x14ac:dyDescent="0.35">
      <c r="A1871" s="18">
        <v>44967</v>
      </c>
      <c r="B1871" s="15">
        <v>394.48443603515619</v>
      </c>
      <c r="C1871" s="15">
        <v>66.517166137695313</v>
      </c>
      <c r="D1871" s="15">
        <v>173.36000061035159</v>
      </c>
      <c r="E1871" s="15">
        <v>295.11322021484381</v>
      </c>
      <c r="F1871" s="15">
        <v>197.83396911621091</v>
      </c>
      <c r="H1871" s="16">
        <f t="shared" si="70"/>
        <v>1.1670496024970722E-2</v>
      </c>
      <c r="I1871" s="16">
        <f t="shared" si="70"/>
        <v>2.740737586247966E-3</v>
      </c>
      <c r="J1871" s="16">
        <f t="shared" si="70"/>
        <v>-5.0890977989504083E-3</v>
      </c>
      <c r="K1871" s="16">
        <f t="shared" si="70"/>
        <v>1.5888787213986268E-2</v>
      </c>
      <c r="L1871" s="16">
        <f t="shared" si="71"/>
        <v>1.1831623822971198E-2</v>
      </c>
    </row>
    <row r="1872" spans="1:12" x14ac:dyDescent="0.35">
      <c r="A1872" s="18">
        <v>44970</v>
      </c>
      <c r="B1872" s="15">
        <v>399.115234375</v>
      </c>
      <c r="C1872" s="15">
        <v>66.699722290039063</v>
      </c>
      <c r="D1872" s="15">
        <v>172.47999572753909</v>
      </c>
      <c r="E1872" s="15">
        <v>299.83966064453119</v>
      </c>
      <c r="F1872" s="15">
        <v>200.1885681152344</v>
      </c>
      <c r="H1872" s="16">
        <f t="shared" si="70"/>
        <v>-4.6033718771393002E-4</v>
      </c>
      <c r="I1872" s="16">
        <f t="shared" si="70"/>
        <v>-3.4269825105881324E-3</v>
      </c>
      <c r="J1872" s="16">
        <f t="shared" si="70"/>
        <v>7.5345498474233301E-4</v>
      </c>
      <c r="K1872" s="16">
        <f t="shared" si="70"/>
        <v>7.3621377878703891E-3</v>
      </c>
      <c r="L1872" s="16">
        <f t="shared" si="71"/>
        <v>3.8553317546930388E-4</v>
      </c>
    </row>
    <row r="1873" spans="1:12" x14ac:dyDescent="0.35">
      <c r="A1873" s="18">
        <v>44971</v>
      </c>
      <c r="B1873" s="15">
        <v>398.93154907226563</v>
      </c>
      <c r="C1873" s="15">
        <v>66.471534729003906</v>
      </c>
      <c r="D1873" s="15">
        <v>172.61000061035159</v>
      </c>
      <c r="E1873" s="15">
        <v>302.05526733398438</v>
      </c>
      <c r="F1873" s="15">
        <v>200.26576232910159</v>
      </c>
      <c r="H1873" s="16">
        <f t="shared" si="70"/>
        <v>3.2422433099728023E-3</v>
      </c>
      <c r="I1873" s="16">
        <f t="shared" si="70"/>
        <v>-2.1995909010923374E-3</v>
      </c>
      <c r="J1873" s="16">
        <f t="shared" si="70"/>
        <v>-1.0014646847400659E-2</v>
      </c>
      <c r="K1873" s="16">
        <f t="shared" si="70"/>
        <v>7.6317394144196941E-3</v>
      </c>
      <c r="L1873" s="16">
        <f t="shared" si="71"/>
        <v>4.4712626152311847E-3</v>
      </c>
    </row>
    <row r="1874" spans="1:12" x14ac:dyDescent="0.35">
      <c r="A1874" s="18">
        <v>44972</v>
      </c>
      <c r="B1874" s="15">
        <v>400.22708129882813</v>
      </c>
      <c r="C1874" s="15">
        <v>66.325485229492188</v>
      </c>
      <c r="D1874" s="15">
        <v>170.88999938964841</v>
      </c>
      <c r="E1874" s="15">
        <v>304.36929321289063</v>
      </c>
      <c r="F1874" s="15">
        <v>201.1632080078125</v>
      </c>
      <c r="H1874" s="16">
        <f t="shared" si="70"/>
        <v>-1.3864556551093858E-2</v>
      </c>
      <c r="I1874" s="16">
        <f t="shared" si="70"/>
        <v>-3.8609356792972233E-3</v>
      </c>
      <c r="J1874" s="16">
        <f t="shared" si="70"/>
        <v>-8.1957263631296854E-4</v>
      </c>
      <c r="K1874" s="16">
        <f t="shared" si="70"/>
        <v>-1.894257140291554E-2</v>
      </c>
      <c r="L1874" s="16">
        <f t="shared" si="71"/>
        <v>-1.3425550128140836E-2</v>
      </c>
    </row>
    <row r="1875" spans="1:12" x14ac:dyDescent="0.35">
      <c r="A1875" s="18">
        <v>44973</v>
      </c>
      <c r="B1875" s="15">
        <v>394.71640014648438</v>
      </c>
      <c r="C1875" s="15">
        <v>66.069900512695313</v>
      </c>
      <c r="D1875" s="15">
        <v>170.75</v>
      </c>
      <c r="E1875" s="15">
        <v>298.65802001953119</v>
      </c>
      <c r="F1875" s="15">
        <v>198.48052978515619</v>
      </c>
      <c r="H1875" s="16">
        <f t="shared" si="70"/>
        <v>-2.5012570217385157E-3</v>
      </c>
      <c r="I1875" s="16">
        <f t="shared" si="70"/>
        <v>2.2079751884551031E-3</v>
      </c>
      <c r="J1875" s="16">
        <f t="shared" si="70"/>
        <v>2.9823390721483477E-3</v>
      </c>
      <c r="K1875" s="16">
        <f t="shared" ref="K1875:L1938" si="72">LN(E1876/E1875)</f>
        <v>-7.080700316018455E-3</v>
      </c>
      <c r="L1875" s="16">
        <f t="shared" si="71"/>
        <v>-2.9214765009139081E-3</v>
      </c>
    </row>
    <row r="1876" spans="1:12" x14ac:dyDescent="0.35">
      <c r="A1876" s="18">
        <v>44974</v>
      </c>
      <c r="B1876" s="15">
        <v>393.7303466796875</v>
      </c>
      <c r="C1876" s="15">
        <v>66.2159423828125</v>
      </c>
      <c r="D1876" s="15">
        <v>171.25999450683591</v>
      </c>
      <c r="E1876" s="15">
        <v>296.55078125</v>
      </c>
      <c r="F1876" s="15">
        <v>197.9015197753906</v>
      </c>
      <c r="H1876" s="16">
        <f t="shared" ref="H1876:L1939" si="73">LN(B1877/B1876)</f>
        <v>-2.0264944098460674E-2</v>
      </c>
      <c r="I1876" s="16">
        <f t="shared" si="73"/>
        <v>-8.7228645167700784E-3</v>
      </c>
      <c r="J1876" s="16">
        <f t="shared" si="73"/>
        <v>-3.7440046605543027E-3</v>
      </c>
      <c r="K1876" s="16">
        <f t="shared" si="72"/>
        <v>-2.3959874584872573E-2</v>
      </c>
      <c r="L1876" s="16">
        <f t="shared" si="72"/>
        <v>-2.09413996632862E-2</v>
      </c>
    </row>
    <row r="1877" spans="1:12" x14ac:dyDescent="0.35">
      <c r="A1877" s="18">
        <v>44978</v>
      </c>
      <c r="B1877" s="15">
        <v>385.83172607421881</v>
      </c>
      <c r="C1877" s="15">
        <v>65.640861511230469</v>
      </c>
      <c r="D1877" s="15">
        <v>170.6199951171875</v>
      </c>
      <c r="E1877" s="15">
        <v>289.5299072265625</v>
      </c>
      <c r="F1877" s="15">
        <v>193.80027770996091</v>
      </c>
      <c r="H1877" s="16">
        <f t="shared" si="73"/>
        <v>-1.3791116510086007E-3</v>
      </c>
      <c r="I1877" s="16">
        <f t="shared" si="73"/>
        <v>2.2227387511281082E-3</v>
      </c>
      <c r="J1877" s="16">
        <f t="shared" si="73"/>
        <v>-5.6423768979150767E-3</v>
      </c>
      <c r="K1877" s="16">
        <f t="shared" si="72"/>
        <v>7.4798239749349299E-4</v>
      </c>
      <c r="L1877" s="16">
        <f t="shared" si="72"/>
        <v>-8.4675544147106872E-4</v>
      </c>
    </row>
    <row r="1878" spans="1:12" x14ac:dyDescent="0.35">
      <c r="A1878" s="18">
        <v>44979</v>
      </c>
      <c r="B1878" s="15">
        <v>385.29998779296881</v>
      </c>
      <c r="C1878" s="15">
        <v>65.78692626953125</v>
      </c>
      <c r="D1878" s="15">
        <v>169.6600036621094</v>
      </c>
      <c r="E1878" s="15">
        <v>289.74655151367188</v>
      </c>
      <c r="F1878" s="15">
        <v>193.63624572753909</v>
      </c>
      <c r="H1878" s="16">
        <f t="shared" si="73"/>
        <v>5.3052123154130656E-3</v>
      </c>
      <c r="I1878" s="16">
        <f t="shared" si="73"/>
        <v>3.6009117929783766E-3</v>
      </c>
      <c r="J1878" s="16">
        <f t="shared" si="73"/>
        <v>-5.305918526506252E-4</v>
      </c>
      <c r="K1878" s="16">
        <f t="shared" si="72"/>
        <v>8.696265053525512E-3</v>
      </c>
      <c r="L1878" s="16">
        <f t="shared" si="72"/>
        <v>5.3182386449029629E-3</v>
      </c>
    </row>
    <row r="1879" spans="1:12" x14ac:dyDescent="0.35">
      <c r="A1879" s="18">
        <v>44980</v>
      </c>
      <c r="B1879" s="15">
        <v>387.34951782226563</v>
      </c>
      <c r="C1879" s="15">
        <v>66.024246215820313</v>
      </c>
      <c r="D1879" s="15">
        <v>169.57000732421881</v>
      </c>
      <c r="E1879" s="15">
        <v>292.27725219726563</v>
      </c>
      <c r="F1879" s="15">
        <v>194.6687927246094</v>
      </c>
      <c r="H1879" s="16">
        <f t="shared" si="73"/>
        <v>-1.0739693856518117E-2</v>
      </c>
      <c r="I1879" s="16">
        <f t="shared" si="73"/>
        <v>-5.5452037963515935E-3</v>
      </c>
      <c r="J1879" s="16">
        <f t="shared" si="73"/>
        <v>-7.220682249926072E-3</v>
      </c>
      <c r="K1879" s="16">
        <f t="shared" si="72"/>
        <v>-1.6886084294188503E-2</v>
      </c>
      <c r="L1879" s="16">
        <f t="shared" si="72"/>
        <v>-1.1216223880907383E-2</v>
      </c>
    </row>
    <row r="1880" spans="1:12" x14ac:dyDescent="0.35">
      <c r="A1880" s="18">
        <v>44981</v>
      </c>
      <c r="B1880" s="15">
        <v>383.21176147460938</v>
      </c>
      <c r="C1880" s="15">
        <v>65.659141540527344</v>
      </c>
      <c r="D1880" s="15">
        <v>168.3500061035156</v>
      </c>
      <c r="E1880" s="15">
        <v>287.38327026367188</v>
      </c>
      <c r="F1880" s="15">
        <v>192.49754333496091</v>
      </c>
      <c r="H1880" s="16">
        <f t="shared" si="73"/>
        <v>3.3999409146134589E-3</v>
      </c>
      <c r="I1880" s="16">
        <f t="shared" si="73"/>
        <v>1.6669662040391831E-3</v>
      </c>
      <c r="J1880" s="16">
        <f t="shared" si="73"/>
        <v>3.9126704061281051E-3</v>
      </c>
      <c r="K1880" s="16">
        <f t="shared" si="72"/>
        <v>7.1359079666115273E-3</v>
      </c>
      <c r="L1880" s="16">
        <f t="shared" si="72"/>
        <v>3.5530267488713746E-3</v>
      </c>
    </row>
    <row r="1881" spans="1:12" x14ac:dyDescent="0.35">
      <c r="A1881" s="18">
        <v>44984</v>
      </c>
      <c r="B1881" s="15">
        <v>384.51687622070313</v>
      </c>
      <c r="C1881" s="15">
        <v>65.768684387207031</v>
      </c>
      <c r="D1881" s="15">
        <v>169.00999450683591</v>
      </c>
      <c r="E1881" s="15">
        <v>289.44134521484381</v>
      </c>
      <c r="F1881" s="15">
        <v>193.1827087402344</v>
      </c>
      <c r="H1881" s="16">
        <f t="shared" si="73"/>
        <v>-3.7027640858788239E-3</v>
      </c>
      <c r="I1881" s="16">
        <f t="shared" si="73"/>
        <v>2.7732579933419072E-4</v>
      </c>
      <c r="J1881" s="16">
        <f t="shared" si="73"/>
        <v>4.5456218517809371E-3</v>
      </c>
      <c r="K1881" s="16">
        <f t="shared" si="72"/>
        <v>-1.2937999801764222E-3</v>
      </c>
      <c r="L1881" s="16">
        <f t="shared" si="72"/>
        <v>-3.3525002114840967E-3</v>
      </c>
    </row>
    <row r="1882" spans="1:12" x14ac:dyDescent="0.35">
      <c r="A1882" s="18">
        <v>44985</v>
      </c>
      <c r="B1882" s="15">
        <v>383.09573364257813</v>
      </c>
      <c r="C1882" s="15">
        <v>65.78692626953125</v>
      </c>
      <c r="D1882" s="15">
        <v>169.7799987792969</v>
      </c>
      <c r="E1882" s="15">
        <v>289.06710815429688</v>
      </c>
      <c r="F1882" s="15">
        <v>192.53614807128909</v>
      </c>
      <c r="H1882" s="16">
        <f t="shared" si="73"/>
        <v>-3.8431855227344606E-3</v>
      </c>
      <c r="I1882" s="16">
        <f t="shared" si="73"/>
        <v>-5.9417787294094764E-3</v>
      </c>
      <c r="J1882" s="16">
        <f t="shared" si="73"/>
        <v>5.7555556009340706E-3</v>
      </c>
      <c r="K1882" s="16">
        <f t="shared" si="72"/>
        <v>-8.0717400843767339E-3</v>
      </c>
      <c r="L1882" s="16">
        <f t="shared" si="72"/>
        <v>2.4027919236871867E-3</v>
      </c>
    </row>
    <row r="1883" spans="1:12" x14ac:dyDescent="0.35">
      <c r="A1883" s="18">
        <v>44986</v>
      </c>
      <c r="B1883" s="15">
        <v>381.62625122070313</v>
      </c>
      <c r="C1883" s="15">
        <v>65.397193908691406</v>
      </c>
      <c r="D1883" s="15">
        <v>170.75999450683591</v>
      </c>
      <c r="E1883" s="15">
        <v>286.74322509765619</v>
      </c>
      <c r="F1883" s="15">
        <v>192.99932861328119</v>
      </c>
      <c r="H1883" s="16">
        <f t="shared" si="73"/>
        <v>7.7471222593500973E-3</v>
      </c>
      <c r="I1883" s="16">
        <f t="shared" si="73"/>
        <v>-2.1008454023811948E-3</v>
      </c>
      <c r="J1883" s="16">
        <f t="shared" si="73"/>
        <v>-5.857351538958057E-4</v>
      </c>
      <c r="K1883" s="16">
        <f t="shared" si="72"/>
        <v>8.2421198120082445E-3</v>
      </c>
      <c r="L1883" s="16">
        <f t="shared" si="72"/>
        <v>1.5488768606485553E-3</v>
      </c>
    </row>
    <row r="1884" spans="1:12" x14ac:dyDescent="0.35">
      <c r="A1884" s="18">
        <v>44987</v>
      </c>
      <c r="B1884" s="15">
        <v>384.59423828125</v>
      </c>
      <c r="C1884" s="15">
        <v>65.25994873046875</v>
      </c>
      <c r="D1884" s="15">
        <v>170.6600036621094</v>
      </c>
      <c r="E1884" s="15">
        <v>289.11636352539063</v>
      </c>
      <c r="F1884" s="15">
        <v>193.2984924316406</v>
      </c>
      <c r="H1884" s="16">
        <f t="shared" si="73"/>
        <v>1.5910591135034145E-2</v>
      </c>
      <c r="I1884" s="16">
        <f t="shared" si="73"/>
        <v>7.6807282387927256E-3</v>
      </c>
      <c r="J1884" s="16">
        <f t="shared" si="73"/>
        <v>1.0666001055863707E-2</v>
      </c>
      <c r="K1884" s="16">
        <f t="shared" si="72"/>
        <v>2.0462922683661067E-2</v>
      </c>
      <c r="L1884" s="16">
        <f t="shared" si="72"/>
        <v>1.6143837134488161E-2</v>
      </c>
    </row>
    <row r="1885" spans="1:12" x14ac:dyDescent="0.35">
      <c r="A1885" s="18">
        <v>44988</v>
      </c>
      <c r="B1885" s="15">
        <v>390.76229858398438</v>
      </c>
      <c r="C1885" s="15">
        <v>65.76312255859375</v>
      </c>
      <c r="D1885" s="15">
        <v>172.49000549316409</v>
      </c>
      <c r="E1885" s="15">
        <v>295.09347534179688</v>
      </c>
      <c r="F1885" s="15">
        <v>196.44439697265619</v>
      </c>
      <c r="H1885" s="16">
        <f t="shared" si="73"/>
        <v>6.92407401001699E-4</v>
      </c>
      <c r="I1885" s="16">
        <f t="shared" si="73"/>
        <v>-2.3677312613437744E-3</v>
      </c>
      <c r="J1885" s="16">
        <f t="shared" si="73"/>
        <v>-5.0565936951404884E-3</v>
      </c>
      <c r="K1885" s="16">
        <f t="shared" si="72"/>
        <v>1.133940893330611E-3</v>
      </c>
      <c r="L1885" s="16">
        <f t="shared" si="72"/>
        <v>-1.3274117090353494E-3</v>
      </c>
    </row>
    <row r="1886" spans="1:12" x14ac:dyDescent="0.35">
      <c r="A1886" s="18">
        <v>44991</v>
      </c>
      <c r="B1886" s="15">
        <v>391.032958984375</v>
      </c>
      <c r="C1886" s="15">
        <v>65.607597351074219</v>
      </c>
      <c r="D1886" s="15">
        <v>171.6199951171875</v>
      </c>
      <c r="E1886" s="15">
        <v>295.42828369140619</v>
      </c>
      <c r="F1886" s="15">
        <v>196.1838073730469</v>
      </c>
      <c r="H1886" s="16">
        <f t="shared" si="73"/>
        <v>-1.544737736421339E-2</v>
      </c>
      <c r="I1886" s="16">
        <f t="shared" si="73"/>
        <v>-1.115826891055027E-3</v>
      </c>
      <c r="J1886" s="16">
        <f t="shared" si="73"/>
        <v>-1.7635068390636166E-2</v>
      </c>
      <c r="K1886" s="16">
        <f t="shared" si="72"/>
        <v>-1.2341621727058633E-2</v>
      </c>
      <c r="L1886" s="16">
        <f t="shared" si="72"/>
        <v>-1.5016082078252727E-2</v>
      </c>
    </row>
    <row r="1887" spans="1:12" x14ac:dyDescent="0.35">
      <c r="A1887" s="18">
        <v>44992</v>
      </c>
      <c r="B1887" s="15">
        <v>385.0389404296875</v>
      </c>
      <c r="C1887" s="15">
        <v>65.534431457519531</v>
      </c>
      <c r="D1887" s="15">
        <v>168.6199951171875</v>
      </c>
      <c r="E1887" s="15">
        <v>291.80462646484381</v>
      </c>
      <c r="F1887" s="15">
        <v>193.25990295410159</v>
      </c>
      <c r="H1887" s="16">
        <f t="shared" si="73"/>
        <v>1.630838107034828E-3</v>
      </c>
      <c r="I1887" s="16">
        <f t="shared" si="73"/>
        <v>-8.3832884216287562E-4</v>
      </c>
      <c r="J1887" s="16">
        <f t="shared" si="73"/>
        <v>-4.7456302828216188E-4</v>
      </c>
      <c r="K1887" s="16">
        <f t="shared" si="72"/>
        <v>4.9816859297176002E-3</v>
      </c>
      <c r="L1887" s="16">
        <f t="shared" si="72"/>
        <v>1.297489952772789E-3</v>
      </c>
    </row>
    <row r="1888" spans="1:12" x14ac:dyDescent="0.35">
      <c r="A1888" s="18">
        <v>44993</v>
      </c>
      <c r="B1888" s="15">
        <v>385.66738891601563</v>
      </c>
      <c r="C1888" s="15">
        <v>65.479515075683594</v>
      </c>
      <c r="D1888" s="15">
        <v>168.53999328613281</v>
      </c>
      <c r="E1888" s="15">
        <v>293.26193237304688</v>
      </c>
      <c r="F1888" s="15">
        <v>193.51081848144531</v>
      </c>
      <c r="H1888" s="16">
        <f t="shared" si="73"/>
        <v>-1.8622261323699353E-2</v>
      </c>
      <c r="I1888" s="16">
        <f t="shared" si="73"/>
        <v>3.3478294388703156E-3</v>
      </c>
      <c r="J1888" s="16">
        <f t="shared" si="73"/>
        <v>9.8011277000977105E-3</v>
      </c>
      <c r="K1888" s="16">
        <f t="shared" si="72"/>
        <v>-1.7477740396732621E-2</v>
      </c>
      <c r="L1888" s="16">
        <f t="shared" si="72"/>
        <v>-1.9945383953332542E-2</v>
      </c>
    </row>
    <row r="1889" spans="1:12" x14ac:dyDescent="0.35">
      <c r="A1889" s="18">
        <v>44994</v>
      </c>
      <c r="B1889" s="15">
        <v>378.55184936523438</v>
      </c>
      <c r="C1889" s="15">
        <v>65.6990966796875</v>
      </c>
      <c r="D1889" s="15">
        <v>170.19999694824219</v>
      </c>
      <c r="E1889" s="15">
        <v>288.180908203125</v>
      </c>
      <c r="F1889" s="15">
        <v>189.68940734863281</v>
      </c>
      <c r="H1889" s="16">
        <f t="shared" si="73"/>
        <v>-1.453460929632081E-2</v>
      </c>
      <c r="I1889" s="16">
        <f t="shared" si="73"/>
        <v>1.1904961600185178E-2</v>
      </c>
      <c r="J1889" s="16">
        <f t="shared" si="73"/>
        <v>2.1333667247723984E-2</v>
      </c>
      <c r="K1889" s="16">
        <f t="shared" si="72"/>
        <v>-1.41432209309861E-2</v>
      </c>
      <c r="L1889" s="16">
        <f t="shared" si="72"/>
        <v>-1.6982242609517681E-2</v>
      </c>
    </row>
    <row r="1890" spans="1:12" x14ac:dyDescent="0.35">
      <c r="A1890" s="18">
        <v>44995</v>
      </c>
      <c r="B1890" s="15">
        <v>373.08953857421881</v>
      </c>
      <c r="C1890" s="15">
        <v>66.485916137695313</v>
      </c>
      <c r="D1890" s="15">
        <v>173.8699951171875</v>
      </c>
      <c r="E1890" s="15">
        <v>284.1337890625</v>
      </c>
      <c r="F1890" s="15">
        <v>186.49525451660159</v>
      </c>
      <c r="H1890" s="16">
        <f t="shared" si="73"/>
        <v>-1.4261643656911459E-3</v>
      </c>
      <c r="I1890" s="16">
        <f t="shared" si="73"/>
        <v>7.9497800102573436E-3</v>
      </c>
      <c r="J1890" s="16">
        <f t="shared" si="73"/>
        <v>2.2688861946558996E-2</v>
      </c>
      <c r="K1890" s="16">
        <f t="shared" si="72"/>
        <v>7.3889950767771564E-3</v>
      </c>
      <c r="L1890" s="16">
        <f t="shared" si="72"/>
        <v>-4.1480419600717139E-3</v>
      </c>
    </row>
    <row r="1891" spans="1:12" x14ac:dyDescent="0.35">
      <c r="A1891" s="18">
        <v>44998</v>
      </c>
      <c r="B1891" s="15">
        <v>372.55783081054688</v>
      </c>
      <c r="C1891" s="15">
        <v>67.016571044921875</v>
      </c>
      <c r="D1891" s="15">
        <v>177.86000061035159</v>
      </c>
      <c r="E1891" s="15">
        <v>286.24102783203119</v>
      </c>
      <c r="F1891" s="15">
        <v>185.7232666015625</v>
      </c>
      <c r="H1891" s="16">
        <f t="shared" si="73"/>
        <v>1.6394880646458099E-2</v>
      </c>
      <c r="I1891" s="16">
        <f t="shared" si="73"/>
        <v>-6.2998600165206234E-3</v>
      </c>
      <c r="J1891" s="16">
        <f t="shared" si="73"/>
        <v>-5.8078979813616007E-3</v>
      </c>
      <c r="K1891" s="16">
        <f t="shared" si="72"/>
        <v>2.2719627207143836E-2</v>
      </c>
      <c r="L1891" s="16">
        <f t="shared" si="72"/>
        <v>1.7664925691266077E-2</v>
      </c>
    </row>
    <row r="1892" spans="1:12" x14ac:dyDescent="0.35">
      <c r="A1892" s="18">
        <v>44999</v>
      </c>
      <c r="B1892" s="15">
        <v>378.71621704101563</v>
      </c>
      <c r="C1892" s="15">
        <v>66.595703125</v>
      </c>
      <c r="D1892" s="15">
        <v>176.83000183105469</v>
      </c>
      <c r="E1892" s="15">
        <v>292.81875610351563</v>
      </c>
      <c r="F1892" s="15">
        <v>189.033203125</v>
      </c>
      <c r="H1892" s="16">
        <f t="shared" si="73"/>
        <v>-6.2739041224320934E-3</v>
      </c>
      <c r="I1892" s="16">
        <f t="shared" si="73"/>
        <v>1.0250721739876198E-2</v>
      </c>
      <c r="J1892" s="16">
        <f t="shared" si="73"/>
        <v>7.7738384371423977E-3</v>
      </c>
      <c r="K1892" s="16">
        <f t="shared" si="72"/>
        <v>5.2324104395289122E-3</v>
      </c>
      <c r="L1892" s="16">
        <f t="shared" si="72"/>
        <v>-7.7381527099473595E-3</v>
      </c>
    </row>
    <row r="1893" spans="1:12" x14ac:dyDescent="0.35">
      <c r="A1893" s="18">
        <v>45000</v>
      </c>
      <c r="B1893" s="15">
        <v>376.34762573242188</v>
      </c>
      <c r="C1893" s="15">
        <v>67.281867980957031</v>
      </c>
      <c r="D1893" s="15">
        <v>178.21000671386719</v>
      </c>
      <c r="E1893" s="15">
        <v>294.35491943359381</v>
      </c>
      <c r="F1893" s="15">
        <v>187.5760803222656</v>
      </c>
      <c r="H1893" s="16">
        <f t="shared" si="73"/>
        <v>1.7392964635484613E-2</v>
      </c>
      <c r="I1893" s="16">
        <f t="shared" si="73"/>
        <v>-4.7703006591406066E-3</v>
      </c>
      <c r="J1893" s="16">
        <f t="shared" si="73"/>
        <v>2.018054366070375E-3</v>
      </c>
      <c r="K1893" s="16">
        <f t="shared" si="72"/>
        <v>2.6019438798628624E-2</v>
      </c>
      <c r="L1893" s="16">
        <f t="shared" si="72"/>
        <v>1.7138012449063784E-2</v>
      </c>
    </row>
    <row r="1894" spans="1:12" x14ac:dyDescent="0.35">
      <c r="A1894" s="18">
        <v>45001</v>
      </c>
      <c r="B1894" s="15">
        <v>382.95068359375</v>
      </c>
      <c r="C1894" s="15">
        <v>66.961677551269531</v>
      </c>
      <c r="D1894" s="15">
        <v>178.57000732421881</v>
      </c>
      <c r="E1894" s="15">
        <v>302.1143798828125</v>
      </c>
      <c r="F1894" s="15">
        <v>190.81846618652341</v>
      </c>
      <c r="H1894" s="16">
        <f t="shared" si="73"/>
        <v>-1.1761583228698583E-2</v>
      </c>
      <c r="I1894" s="16">
        <f t="shared" si="73"/>
        <v>7.2153831092175583E-3</v>
      </c>
      <c r="J1894" s="16">
        <f t="shared" si="73"/>
        <v>2.8704276731304223E-2</v>
      </c>
      <c r="K1894" s="16">
        <f t="shared" si="72"/>
        <v>-4.737415315430071E-3</v>
      </c>
      <c r="L1894" s="16">
        <f t="shared" si="72"/>
        <v>-1.297949801539044E-2</v>
      </c>
    </row>
    <row r="1895" spans="1:12" x14ac:dyDescent="0.35">
      <c r="A1895" s="18">
        <v>45002</v>
      </c>
      <c r="B1895" s="15">
        <v>378.47296142578119</v>
      </c>
      <c r="C1895" s="15">
        <v>67.446578979492188</v>
      </c>
      <c r="D1895" s="15">
        <v>183.77000427246091</v>
      </c>
      <c r="E1895" s="15">
        <v>300.6865234375</v>
      </c>
      <c r="F1895" s="15">
        <v>188.35774230957031</v>
      </c>
      <c r="H1895" s="16">
        <f t="shared" si="73"/>
        <v>9.5696829332660664E-3</v>
      </c>
      <c r="I1895" s="16">
        <f t="shared" si="73"/>
        <v>-4.3505637808455662E-3</v>
      </c>
      <c r="J1895" s="16">
        <f t="shared" si="73"/>
        <v>3.8079522406487171E-4</v>
      </c>
      <c r="K1895" s="16">
        <f t="shared" si="72"/>
        <v>3.542623317590855E-3</v>
      </c>
      <c r="L1895" s="16">
        <f t="shared" si="72"/>
        <v>8.6715563406174305E-3</v>
      </c>
    </row>
    <row r="1896" spans="1:12" x14ac:dyDescent="0.35">
      <c r="A1896" s="18">
        <v>45005</v>
      </c>
      <c r="B1896" s="15">
        <v>382.11221313476563</v>
      </c>
      <c r="C1896" s="15">
        <v>67.153785705566406</v>
      </c>
      <c r="D1896" s="15">
        <v>183.8399963378906</v>
      </c>
      <c r="E1896" s="15">
        <v>301.75363159179688</v>
      </c>
      <c r="F1896" s="15">
        <v>189.9981994628906</v>
      </c>
      <c r="H1896" s="16">
        <f t="shared" si="73"/>
        <v>1.3045145791068318E-2</v>
      </c>
      <c r="I1896" s="16">
        <f t="shared" si="73"/>
        <v>-2.7283324413825386E-3</v>
      </c>
      <c r="J1896" s="16">
        <f t="shared" si="73"/>
        <v>-1.9055524569337557E-2</v>
      </c>
      <c r="K1896" s="16">
        <f t="shared" si="72"/>
        <v>1.4181326050075774E-2</v>
      </c>
      <c r="L1896" s="16">
        <f t="shared" si="72"/>
        <v>1.417111564370252E-2</v>
      </c>
    </row>
    <row r="1897" spans="1:12" x14ac:dyDescent="0.35">
      <c r="A1897" s="18">
        <v>45006</v>
      </c>
      <c r="B1897" s="15">
        <v>387.12957763671881</v>
      </c>
      <c r="C1897" s="15">
        <v>66.970817565917969</v>
      </c>
      <c r="D1897" s="15">
        <v>180.3699951171875</v>
      </c>
      <c r="E1897" s="15">
        <v>306.06338500976563</v>
      </c>
      <c r="F1897" s="15">
        <v>192.70985412597659</v>
      </c>
      <c r="H1897" s="16">
        <f t="shared" si="73"/>
        <v>-1.719340574235104E-2</v>
      </c>
      <c r="I1897" s="16">
        <f t="shared" si="73"/>
        <v>8.8402817263902832E-3</v>
      </c>
      <c r="J1897" s="16">
        <f t="shared" si="73"/>
        <v>1.6877382247649127E-2</v>
      </c>
      <c r="K1897" s="16">
        <f t="shared" si="72"/>
        <v>-1.3691249236121788E-2</v>
      </c>
      <c r="L1897" s="16">
        <f t="shared" si="72"/>
        <v>-1.8038532514613514E-2</v>
      </c>
    </row>
    <row r="1898" spans="1:12" x14ac:dyDescent="0.35">
      <c r="A1898" s="18">
        <v>45007</v>
      </c>
      <c r="B1898" s="15">
        <v>380.5303955078125</v>
      </c>
      <c r="C1898" s="15">
        <v>67.565483093261719</v>
      </c>
      <c r="D1898" s="15">
        <v>183.44000244140619</v>
      </c>
      <c r="E1898" s="15">
        <v>301.90155029296881</v>
      </c>
      <c r="F1898" s="15">
        <v>189.26481628417969</v>
      </c>
      <c r="H1898" s="16">
        <f t="shared" si="73"/>
        <v>2.6996492630339476E-3</v>
      </c>
      <c r="I1898" s="16">
        <f t="shared" si="73"/>
        <v>2.2994242173882229E-3</v>
      </c>
      <c r="J1898" s="16">
        <f t="shared" si="73"/>
        <v>1.246022406367623E-2</v>
      </c>
      <c r="K1898" s="16">
        <f t="shared" si="72"/>
        <v>1.1788469071819616E-2</v>
      </c>
      <c r="L1898" s="16">
        <f t="shared" si="72"/>
        <v>1.8206265129460839E-3</v>
      </c>
    </row>
    <row r="1899" spans="1:12" x14ac:dyDescent="0.35">
      <c r="A1899" s="18">
        <v>45008</v>
      </c>
      <c r="B1899" s="15">
        <v>381.55908203125</v>
      </c>
      <c r="C1899" s="15">
        <v>67.721023559570313</v>
      </c>
      <c r="D1899" s="15">
        <v>185.74000549316409</v>
      </c>
      <c r="E1899" s="15">
        <v>305.4815673828125</v>
      </c>
      <c r="F1899" s="15">
        <v>189.6097106933594</v>
      </c>
      <c r="H1899" s="16">
        <f t="shared" si="73"/>
        <v>6.5405468355761009E-3</v>
      </c>
      <c r="I1899" s="16">
        <f t="shared" si="73"/>
        <v>2.0244626018785976E-3</v>
      </c>
      <c r="J1899" s="16">
        <f t="shared" si="73"/>
        <v>-1.1316136891165252E-2</v>
      </c>
      <c r="K1899" s="16">
        <f t="shared" si="72"/>
        <v>3.6735565481466311E-3</v>
      </c>
      <c r="L1899" s="16">
        <f t="shared" si="72"/>
        <v>6.2655671386812588E-3</v>
      </c>
    </row>
    <row r="1900" spans="1:12" x14ac:dyDescent="0.35">
      <c r="A1900" s="18">
        <v>45009</v>
      </c>
      <c r="B1900" s="15">
        <v>384.0628662109375</v>
      </c>
      <c r="C1900" s="15">
        <v>67.858261108398438</v>
      </c>
      <c r="D1900" s="15">
        <v>183.6499938964844</v>
      </c>
      <c r="E1900" s="15">
        <v>306.6058349609375</v>
      </c>
      <c r="F1900" s="15">
        <v>190.80145263671881</v>
      </c>
      <c r="H1900" s="16">
        <f t="shared" si="73"/>
        <v>1.8681032219226583E-3</v>
      </c>
      <c r="I1900" s="16">
        <f t="shared" si="73"/>
        <v>-1.0435836104274447E-2</v>
      </c>
      <c r="J1900" s="16">
        <f t="shared" si="73"/>
        <v>-9.2998317455167488E-3</v>
      </c>
      <c r="K1900" s="16">
        <f t="shared" si="72"/>
        <v>-6.8748727072155706E-3</v>
      </c>
      <c r="L1900" s="16">
        <f t="shared" si="72"/>
        <v>2.5356561335125225E-3</v>
      </c>
    </row>
    <row r="1901" spans="1:12" x14ac:dyDescent="0.35">
      <c r="A1901" s="18">
        <v>45012</v>
      </c>
      <c r="B1901" s="15">
        <v>384.781005859375</v>
      </c>
      <c r="C1901" s="15">
        <v>67.153785705566406</v>
      </c>
      <c r="D1901" s="15">
        <v>181.94999694824219</v>
      </c>
      <c r="E1901" s="15">
        <v>304.50518798828119</v>
      </c>
      <c r="F1901" s="15">
        <v>191.28587341308591</v>
      </c>
      <c r="H1901" s="16">
        <f t="shared" si="73"/>
        <v>-2.2470395788195445E-3</v>
      </c>
      <c r="I1901" s="16">
        <f t="shared" si="73"/>
        <v>-1.7726487927096125E-3</v>
      </c>
      <c r="J1901" s="16">
        <f t="shared" si="73"/>
        <v>8.155744573005717E-3</v>
      </c>
      <c r="K1901" s="16">
        <f t="shared" si="72"/>
        <v>-5.3257281954858116E-3</v>
      </c>
      <c r="L1901" s="16">
        <f t="shared" si="72"/>
        <v>-1.419149671309292E-3</v>
      </c>
    </row>
    <row r="1902" spans="1:12" x14ac:dyDescent="0.35">
      <c r="A1902" s="18">
        <v>45013</v>
      </c>
      <c r="B1902" s="15">
        <v>383.9173583984375</v>
      </c>
      <c r="C1902" s="15">
        <v>67.03485107421875</v>
      </c>
      <c r="D1902" s="15">
        <v>183.44000244140619</v>
      </c>
      <c r="E1902" s="15">
        <v>302.88778686523438</v>
      </c>
      <c r="F1902" s="15">
        <v>191.01460266113281</v>
      </c>
      <c r="H1902" s="16">
        <f t="shared" si="73"/>
        <v>1.4430280317045215E-2</v>
      </c>
      <c r="I1902" s="16">
        <f t="shared" si="73"/>
        <v>1.0912063769182244E-3</v>
      </c>
      <c r="J1902" s="16">
        <f t="shared" si="73"/>
        <v>-4.9731154716584807E-3</v>
      </c>
      <c r="K1902" s="16">
        <f t="shared" si="72"/>
        <v>1.8069660946017231E-2</v>
      </c>
      <c r="L1902" s="16">
        <f t="shared" si="72"/>
        <v>1.4302502489878176E-2</v>
      </c>
    </row>
    <row r="1903" spans="1:12" x14ac:dyDescent="0.35">
      <c r="A1903" s="18">
        <v>45014</v>
      </c>
      <c r="B1903" s="15">
        <v>389.49755859375</v>
      </c>
      <c r="C1903" s="15">
        <v>67.108039855957031</v>
      </c>
      <c r="D1903" s="15">
        <v>182.5299987792969</v>
      </c>
      <c r="E1903" s="15">
        <v>308.41061401367188</v>
      </c>
      <c r="F1903" s="15">
        <v>193.76622009277341</v>
      </c>
      <c r="H1903" s="16">
        <f t="shared" si="73"/>
        <v>5.8381058134530858E-3</v>
      </c>
      <c r="I1903" s="16">
        <f t="shared" si="73"/>
        <v>1.3621937170982853E-3</v>
      </c>
      <c r="J1903" s="16">
        <f t="shared" si="73"/>
        <v>8.9989641395773323E-3</v>
      </c>
      <c r="K1903" s="16">
        <f t="shared" si="72"/>
        <v>9.4206560883738546E-3</v>
      </c>
      <c r="L1903" s="16">
        <f t="shared" si="72"/>
        <v>5.3857244687190954E-3</v>
      </c>
    </row>
    <row r="1904" spans="1:12" x14ac:dyDescent="0.35">
      <c r="A1904" s="18">
        <v>45015</v>
      </c>
      <c r="B1904" s="15">
        <v>391.77813720703119</v>
      </c>
      <c r="C1904" s="15">
        <v>67.199516296386719</v>
      </c>
      <c r="D1904" s="15">
        <v>184.17999267578119</v>
      </c>
      <c r="E1904" s="15">
        <v>311.32977294921881</v>
      </c>
      <c r="F1904" s="15">
        <v>194.81260681152341</v>
      </c>
      <c r="H1904" s="16">
        <f t="shared" si="73"/>
        <v>1.3996082667810614E-2</v>
      </c>
      <c r="I1904" s="16">
        <f t="shared" si="73"/>
        <v>5.1604956484002746E-3</v>
      </c>
      <c r="J1904" s="16">
        <f t="shared" si="73"/>
        <v>-5.2258772770235737E-3</v>
      </c>
      <c r="K1904" s="16">
        <f t="shared" si="72"/>
        <v>1.6493958295289952E-2</v>
      </c>
      <c r="L1904" s="16">
        <f t="shared" si="72"/>
        <v>1.4957090146431141E-2</v>
      </c>
    </row>
    <row r="1905" spans="1:12" x14ac:dyDescent="0.35">
      <c r="A1905" s="18">
        <v>45016</v>
      </c>
      <c r="B1905" s="15">
        <v>397.300048828125</v>
      </c>
      <c r="C1905" s="15">
        <v>67.547195434570313</v>
      </c>
      <c r="D1905" s="15">
        <v>183.2200012207031</v>
      </c>
      <c r="E1905" s="15">
        <v>316.50741577148438</v>
      </c>
      <c r="F1905" s="15">
        <v>197.74833679199219</v>
      </c>
      <c r="H1905" s="16">
        <f t="shared" si="73"/>
        <v>3.8033454358553094E-3</v>
      </c>
      <c r="I1905" s="16">
        <f t="shared" si="73"/>
        <v>4.2409300924945194E-3</v>
      </c>
      <c r="J1905" s="16">
        <f t="shared" si="73"/>
        <v>7.1785825192108898E-3</v>
      </c>
      <c r="K1905" s="16">
        <f t="shared" si="72"/>
        <v>-2.4333153037857185E-3</v>
      </c>
      <c r="L1905" s="16">
        <f t="shared" si="72"/>
        <v>2.6422596815876792E-3</v>
      </c>
    </row>
    <row r="1906" spans="1:12" x14ac:dyDescent="0.35">
      <c r="A1906" s="18">
        <v>45019</v>
      </c>
      <c r="B1906" s="15">
        <v>398.81399536132813</v>
      </c>
      <c r="C1906" s="15">
        <v>67.834266662597656</v>
      </c>
      <c r="D1906" s="15">
        <v>184.53999328613281</v>
      </c>
      <c r="E1906" s="15">
        <v>315.73818969726563</v>
      </c>
      <c r="F1906" s="15">
        <v>198.27153015136719</v>
      </c>
      <c r="H1906" s="16">
        <f t="shared" si="73"/>
        <v>-5.5635909223727886E-3</v>
      </c>
      <c r="I1906" s="16">
        <f t="shared" si="73"/>
        <v>4.0479536889278774E-3</v>
      </c>
      <c r="J1906" s="16">
        <f t="shared" si="73"/>
        <v>1.8469345695108712E-2</v>
      </c>
      <c r="K1906" s="16">
        <f t="shared" si="72"/>
        <v>-3.3788540712841285E-3</v>
      </c>
      <c r="L1906" s="16">
        <f t="shared" si="72"/>
        <v>-6.7171777709287266E-3</v>
      </c>
    </row>
    <row r="1907" spans="1:12" x14ac:dyDescent="0.35">
      <c r="A1907" s="18">
        <v>45020</v>
      </c>
      <c r="B1907" s="15">
        <v>396.601318359375</v>
      </c>
      <c r="C1907" s="15">
        <v>68.109413146972656</v>
      </c>
      <c r="D1907" s="15">
        <v>187.97999572753909</v>
      </c>
      <c r="E1907" s="15">
        <v>314.67315673828119</v>
      </c>
      <c r="F1907" s="15">
        <v>196.94416809082031</v>
      </c>
      <c r="H1907" s="16">
        <f t="shared" si="73"/>
        <v>-2.6215804516674882E-3</v>
      </c>
      <c r="I1907" s="16">
        <f t="shared" si="73"/>
        <v>2.6894865873645819E-3</v>
      </c>
      <c r="J1907" s="16">
        <f t="shared" si="73"/>
        <v>-7.9824329008493754E-4</v>
      </c>
      <c r="K1907" s="16">
        <f t="shared" si="72"/>
        <v>-9.921808904156549E-3</v>
      </c>
      <c r="L1907" s="16">
        <f t="shared" si="72"/>
        <v>-3.6471668849835095E-3</v>
      </c>
    </row>
    <row r="1908" spans="1:12" x14ac:dyDescent="0.35">
      <c r="A1908" s="18">
        <v>45021</v>
      </c>
      <c r="B1908" s="15">
        <v>395.56295776367188</v>
      </c>
      <c r="C1908" s="15">
        <v>68.292839050292969</v>
      </c>
      <c r="D1908" s="15">
        <v>187.83000183105469</v>
      </c>
      <c r="E1908" s="15">
        <v>311.56646728515619</v>
      </c>
      <c r="F1908" s="15">
        <v>196.22718811035159</v>
      </c>
      <c r="H1908" s="16">
        <f t="shared" si="73"/>
        <v>3.8932564302236092E-3</v>
      </c>
      <c r="I1908" s="16">
        <f t="shared" si="73"/>
        <v>-2.6815405924145359E-4</v>
      </c>
      <c r="J1908" s="16">
        <f t="shared" si="73"/>
        <v>-7.1596603748995931E-3</v>
      </c>
      <c r="K1908" s="16">
        <f t="shared" si="72"/>
        <v>6.7198761710681792E-3</v>
      </c>
      <c r="L1908" s="16">
        <f t="shared" si="72"/>
        <v>3.3024865017190052E-3</v>
      </c>
    </row>
    <row r="1909" spans="1:12" x14ac:dyDescent="0.35">
      <c r="A1909" s="18">
        <v>45022</v>
      </c>
      <c r="B1909" s="15">
        <v>397.10598754882813</v>
      </c>
      <c r="C1909" s="15">
        <v>68.274528503417969</v>
      </c>
      <c r="D1909" s="15">
        <v>186.49000549316409</v>
      </c>
      <c r="E1909" s="15">
        <v>313.66720581054688</v>
      </c>
      <c r="F1909" s="15">
        <v>196.87629699707031</v>
      </c>
      <c r="H1909" s="16">
        <f t="shared" si="73"/>
        <v>1.0258816310717133E-3</v>
      </c>
      <c r="I1909" s="16">
        <f t="shared" si="73"/>
        <v>-6.7394782957902024E-3</v>
      </c>
      <c r="J1909" s="16">
        <f t="shared" si="73"/>
        <v>-7.4274015300658516E-3</v>
      </c>
      <c r="K1909" s="16">
        <f t="shared" si="72"/>
        <v>-5.6630744785902422E-4</v>
      </c>
      <c r="L1909" s="16">
        <f t="shared" si="72"/>
        <v>2.2612688753366863E-3</v>
      </c>
    </row>
    <row r="1910" spans="1:12" x14ac:dyDescent="0.35">
      <c r="A1910" s="18">
        <v>45026</v>
      </c>
      <c r="B1910" s="15">
        <v>397.51358032226563</v>
      </c>
      <c r="C1910" s="15">
        <v>67.815940856933594</v>
      </c>
      <c r="D1910" s="15">
        <v>185.11000061035159</v>
      </c>
      <c r="E1910" s="15">
        <v>313.4896240234375</v>
      </c>
      <c r="F1910" s="15">
        <v>197.3219909667969</v>
      </c>
      <c r="H1910" s="16">
        <f t="shared" si="73"/>
        <v>2.6858621147432917E-4</v>
      </c>
      <c r="I1910" s="16">
        <f t="shared" si="73"/>
        <v>4.0571057016361629E-4</v>
      </c>
      <c r="J1910" s="16">
        <f t="shared" si="73"/>
        <v>6.3006652922904501E-3</v>
      </c>
      <c r="K1910" s="16">
        <f t="shared" si="72"/>
        <v>-6.4384445611988606E-3</v>
      </c>
      <c r="L1910" s="16">
        <f t="shared" si="72"/>
        <v>1.0305788484457777E-3</v>
      </c>
    </row>
    <row r="1911" spans="1:12" x14ac:dyDescent="0.35">
      <c r="A1911" s="18">
        <v>45027</v>
      </c>
      <c r="B1911" s="15">
        <v>397.620361328125</v>
      </c>
      <c r="C1911" s="15">
        <v>67.843460083007813</v>
      </c>
      <c r="D1911" s="15">
        <v>186.2799987792969</v>
      </c>
      <c r="E1911" s="15">
        <v>311.47772216796881</v>
      </c>
      <c r="F1911" s="15">
        <v>197.52545166015619</v>
      </c>
      <c r="H1911" s="16">
        <f t="shared" si="73"/>
        <v>-4.0843205113994668E-3</v>
      </c>
      <c r="I1911" s="16">
        <f t="shared" si="73"/>
        <v>1.0805665989256001E-3</v>
      </c>
      <c r="J1911" s="16">
        <f t="shared" si="73"/>
        <v>4.8732452945128586E-3</v>
      </c>
      <c r="K1911" s="16">
        <f t="shared" si="72"/>
        <v>-8.8730298195523766E-3</v>
      </c>
      <c r="L1911" s="16">
        <f t="shared" si="72"/>
        <v>-4.2272212262353583E-3</v>
      </c>
    </row>
    <row r="1912" spans="1:12" x14ac:dyDescent="0.35">
      <c r="A1912" s="18">
        <v>45028</v>
      </c>
      <c r="B1912" s="15">
        <v>395.99966430664063</v>
      </c>
      <c r="C1912" s="15">
        <v>67.91680908203125</v>
      </c>
      <c r="D1912" s="15">
        <v>187.19000244140619</v>
      </c>
      <c r="E1912" s="15">
        <v>308.7261962890625</v>
      </c>
      <c r="F1912" s="15">
        <v>196.6922302246094</v>
      </c>
      <c r="H1912" s="16">
        <f t="shared" si="73"/>
        <v>1.3195192284058974E-2</v>
      </c>
      <c r="I1912" s="16">
        <f t="shared" si="73"/>
        <v>-5.4013734644804082E-4</v>
      </c>
      <c r="J1912" s="16">
        <f t="shared" si="73"/>
        <v>1.3425150587982045E-2</v>
      </c>
      <c r="K1912" s="16">
        <f t="shared" si="72"/>
        <v>1.9392819863391943E-2</v>
      </c>
      <c r="L1912" s="16">
        <f t="shared" si="72"/>
        <v>1.2920476598502272E-2</v>
      </c>
    </row>
    <row r="1913" spans="1:12" x14ac:dyDescent="0.35">
      <c r="A1913" s="18">
        <v>45029</v>
      </c>
      <c r="B1913" s="15">
        <v>401.25958251953119</v>
      </c>
      <c r="C1913" s="15">
        <v>67.880134582519531</v>
      </c>
      <c r="D1913" s="15">
        <v>189.7200012207031</v>
      </c>
      <c r="E1913" s="15">
        <v>314.77169799804688</v>
      </c>
      <c r="F1913" s="15">
        <v>199.25007629394531</v>
      </c>
      <c r="H1913" s="16">
        <f t="shared" si="73"/>
        <v>-2.4457052270593044E-3</v>
      </c>
      <c r="I1913" s="16">
        <f t="shared" si="73"/>
        <v>-4.4690220317020078E-3</v>
      </c>
      <c r="J1913" s="16">
        <f t="shared" si="73"/>
        <v>-1.7869017219898888E-2</v>
      </c>
      <c r="K1913" s="16">
        <f t="shared" si="72"/>
        <v>-1.8814639003010951E-3</v>
      </c>
      <c r="L1913" s="16">
        <f t="shared" si="72"/>
        <v>-2.7756246445021222E-3</v>
      </c>
    </row>
    <row r="1914" spans="1:12" x14ac:dyDescent="0.35">
      <c r="A1914" s="18">
        <v>45030</v>
      </c>
      <c r="B1914" s="15">
        <v>400.2794189453125</v>
      </c>
      <c r="C1914" s="15">
        <v>67.57745361328125</v>
      </c>
      <c r="D1914" s="15">
        <v>186.36000061035159</v>
      </c>
      <c r="E1914" s="15">
        <v>314.18002319335938</v>
      </c>
      <c r="F1914" s="15">
        <v>198.69779968261719</v>
      </c>
      <c r="H1914" s="16">
        <f t="shared" si="73"/>
        <v>3.5818454866506301E-3</v>
      </c>
      <c r="I1914" s="16">
        <f t="shared" si="73"/>
        <v>-5.4435144353225341E-3</v>
      </c>
      <c r="J1914" s="16">
        <f t="shared" si="73"/>
        <v>-4.4637027644765098E-3</v>
      </c>
      <c r="K1914" s="16">
        <f t="shared" si="72"/>
        <v>8.4713566668467182E-4</v>
      </c>
      <c r="L1914" s="16">
        <f t="shared" si="72"/>
        <v>3.9906111357962603E-3</v>
      </c>
    </row>
    <row r="1915" spans="1:12" x14ac:dyDescent="0.35">
      <c r="A1915" s="18">
        <v>45033</v>
      </c>
      <c r="B1915" s="15">
        <v>401.71572875976563</v>
      </c>
      <c r="C1915" s="15">
        <v>67.210594177246094</v>
      </c>
      <c r="D1915" s="15">
        <v>185.5299987792969</v>
      </c>
      <c r="E1915" s="15">
        <v>314.4462890625</v>
      </c>
      <c r="F1915" s="15">
        <v>199.4923095703125</v>
      </c>
      <c r="H1915" s="16">
        <f t="shared" si="73"/>
        <v>6.5204942210976026E-4</v>
      </c>
      <c r="I1915" s="16">
        <f t="shared" si="73"/>
        <v>1.4998803009896278E-3</v>
      </c>
      <c r="J1915" s="16">
        <f t="shared" si="73"/>
        <v>3.8732698004282011E-3</v>
      </c>
      <c r="K1915" s="16">
        <f t="shared" si="72"/>
        <v>6.2790542755609499E-5</v>
      </c>
      <c r="L1915" s="16">
        <f t="shared" si="72"/>
        <v>4.8535221085471746E-4</v>
      </c>
    </row>
    <row r="1916" spans="1:12" x14ac:dyDescent="0.35">
      <c r="A1916" s="18">
        <v>45034</v>
      </c>
      <c r="B1916" s="15">
        <v>401.97775268554688</v>
      </c>
      <c r="C1916" s="15">
        <v>67.311477661132813</v>
      </c>
      <c r="D1916" s="15">
        <v>186.25</v>
      </c>
      <c r="E1916" s="15">
        <v>314.46603393554688</v>
      </c>
      <c r="F1916" s="15">
        <v>199.58915710449219</v>
      </c>
      <c r="H1916" s="16">
        <f t="shared" si="73"/>
        <v>-1.6908496035638094E-4</v>
      </c>
      <c r="I1916" s="16">
        <f t="shared" si="73"/>
        <v>-1.3632178675431839E-3</v>
      </c>
      <c r="J1916" s="16">
        <f t="shared" si="73"/>
        <v>-4.7899738427579653E-3</v>
      </c>
      <c r="K1916" s="16">
        <f t="shared" si="72"/>
        <v>-4.708795638548053E-4</v>
      </c>
      <c r="L1916" s="16">
        <f t="shared" si="72"/>
        <v>4.8549882785273852E-4</v>
      </c>
    </row>
    <row r="1917" spans="1:12" x14ac:dyDescent="0.35">
      <c r="A1917" s="18">
        <v>45035</v>
      </c>
      <c r="B1917" s="15">
        <v>401.9097900390625</v>
      </c>
      <c r="C1917" s="15">
        <v>67.219779968261719</v>
      </c>
      <c r="D1917" s="15">
        <v>185.36000061035159</v>
      </c>
      <c r="E1917" s="15">
        <v>314.3179931640625</v>
      </c>
      <c r="F1917" s="15">
        <v>199.68608093261719</v>
      </c>
      <c r="H1917" s="16">
        <f t="shared" si="73"/>
        <v>-5.4720591416745536E-3</v>
      </c>
      <c r="I1917" s="16">
        <f t="shared" si="73"/>
        <v>4.3564723828174688E-3</v>
      </c>
      <c r="J1917" s="16">
        <f t="shared" si="73"/>
        <v>3.930524556986721E-3</v>
      </c>
      <c r="K1917" s="16">
        <f t="shared" si="72"/>
        <v>-7.6534130992456173E-3</v>
      </c>
      <c r="L1917" s="16">
        <f t="shared" si="72"/>
        <v>-6.2299809449475494E-3</v>
      </c>
    </row>
    <row r="1918" spans="1:12" x14ac:dyDescent="0.35">
      <c r="A1918" s="18">
        <v>45036</v>
      </c>
      <c r="B1918" s="15">
        <v>399.71652221679688</v>
      </c>
      <c r="C1918" s="15">
        <v>67.513259887695313</v>
      </c>
      <c r="D1918" s="15">
        <v>186.0899963378906</v>
      </c>
      <c r="E1918" s="15">
        <v>311.92156982421881</v>
      </c>
      <c r="F1918" s="15">
        <v>198.44590759277341</v>
      </c>
      <c r="H1918" s="16">
        <f t="shared" si="73"/>
        <v>7.7669242921117696E-4</v>
      </c>
      <c r="I1918" s="16">
        <f t="shared" si="73"/>
        <v>-1.7675038133112067E-3</v>
      </c>
      <c r="J1918" s="16">
        <f t="shared" si="73"/>
        <v>-9.9368769044516445E-3</v>
      </c>
      <c r="K1918" s="16">
        <f t="shared" si="72"/>
        <v>1.0427935449238992E-3</v>
      </c>
      <c r="L1918" s="16">
        <f t="shared" si="72"/>
        <v>8.7848303398635171E-4</v>
      </c>
    </row>
    <row r="1919" spans="1:12" x14ac:dyDescent="0.35">
      <c r="A1919" s="18">
        <v>45037</v>
      </c>
      <c r="B1919" s="15">
        <v>400.027099609375</v>
      </c>
      <c r="C1919" s="15">
        <v>67.394035339355469</v>
      </c>
      <c r="D1919" s="15">
        <v>184.25</v>
      </c>
      <c r="E1919" s="15">
        <v>312.24700927734381</v>
      </c>
      <c r="F1919" s="15">
        <v>198.62031555175781</v>
      </c>
      <c r="H1919" s="16">
        <f t="shared" si="73"/>
        <v>1.0425527984131338E-3</v>
      </c>
      <c r="I1919" s="16">
        <f t="shared" si="73"/>
        <v>3.9388126850187308E-3</v>
      </c>
      <c r="J1919" s="16">
        <f t="shared" si="73"/>
        <v>3.0347260178612795E-3</v>
      </c>
      <c r="K1919" s="16">
        <f t="shared" si="72"/>
        <v>-2.0867735829943231E-3</v>
      </c>
      <c r="L1919" s="16">
        <f t="shared" si="72"/>
        <v>3.9003573645754783E-4</v>
      </c>
    </row>
    <row r="1920" spans="1:12" x14ac:dyDescent="0.35">
      <c r="A1920" s="18">
        <v>45040</v>
      </c>
      <c r="B1920" s="15">
        <v>400.44436645507813</v>
      </c>
      <c r="C1920" s="15">
        <v>67.660011291503906</v>
      </c>
      <c r="D1920" s="15">
        <v>184.80999755859381</v>
      </c>
      <c r="E1920" s="15">
        <v>311.59609985351563</v>
      </c>
      <c r="F1920" s="15">
        <v>198.69779968261719</v>
      </c>
      <c r="H1920" s="16">
        <f t="shared" si="73"/>
        <v>-1.6001121877307452E-2</v>
      </c>
      <c r="I1920" s="16">
        <f t="shared" si="73"/>
        <v>6.4856695990001606E-3</v>
      </c>
      <c r="J1920" s="16">
        <f t="shared" si="73"/>
        <v>5.0734265105612918E-3</v>
      </c>
      <c r="K1920" s="16">
        <f t="shared" si="72"/>
        <v>-1.9043832903852982E-2</v>
      </c>
      <c r="L1920" s="16">
        <f t="shared" si="72"/>
        <v>-1.6816959704847437E-2</v>
      </c>
    </row>
    <row r="1921" spans="1:12" x14ac:dyDescent="0.35">
      <c r="A1921" s="18">
        <v>45041</v>
      </c>
      <c r="B1921" s="15">
        <v>394.08779907226563</v>
      </c>
      <c r="C1921" s="15">
        <v>68.100257873535156</v>
      </c>
      <c r="D1921" s="15">
        <v>185.75</v>
      </c>
      <c r="E1921" s="15">
        <v>305.71826171875</v>
      </c>
      <c r="F1921" s="15">
        <v>195.3842468261719</v>
      </c>
      <c r="H1921" s="16">
        <f t="shared" si="73"/>
        <v>-4.244573065760337E-3</v>
      </c>
      <c r="I1921" s="16">
        <f t="shared" si="73"/>
        <v>-3.5080360019312949E-3</v>
      </c>
      <c r="J1921" s="16">
        <f t="shared" si="73"/>
        <v>-5.4522226988369411E-3</v>
      </c>
      <c r="K1921" s="16">
        <f t="shared" si="72"/>
        <v>6.0463037421779808E-3</v>
      </c>
      <c r="L1921" s="16">
        <f t="shared" si="72"/>
        <v>-4.5228518771184755E-3</v>
      </c>
    </row>
    <row r="1922" spans="1:12" x14ac:dyDescent="0.35">
      <c r="A1922" s="18">
        <v>45042</v>
      </c>
      <c r="B1922" s="15">
        <v>392.41860961914063</v>
      </c>
      <c r="C1922" s="15">
        <v>67.861778259277344</v>
      </c>
      <c r="D1922" s="15">
        <v>184.74000549316409</v>
      </c>
      <c r="E1922" s="15">
        <v>307.57232666015619</v>
      </c>
      <c r="F1922" s="15">
        <v>194.50254821777341</v>
      </c>
      <c r="H1922" s="16">
        <f t="shared" si="73"/>
        <v>1.9712316367522194E-2</v>
      </c>
      <c r="I1922" s="16">
        <f t="shared" si="73"/>
        <v>-4.33438899381726E-3</v>
      </c>
      <c r="J1922" s="16">
        <f t="shared" si="73"/>
        <v>5.4098929279614626E-5</v>
      </c>
      <c r="K1922" s="16">
        <f t="shared" si="72"/>
        <v>2.6827669174400534E-2</v>
      </c>
      <c r="L1922" s="16">
        <f t="shared" si="72"/>
        <v>1.8605514285579789E-2</v>
      </c>
    </row>
    <row r="1923" spans="1:12" x14ac:dyDescent="0.35">
      <c r="A1923" s="18">
        <v>45043</v>
      </c>
      <c r="B1923" s="15">
        <v>400.2308349609375</v>
      </c>
      <c r="C1923" s="15">
        <v>67.568275451660156</v>
      </c>
      <c r="D1923" s="15">
        <v>184.75</v>
      </c>
      <c r="E1923" s="15">
        <v>315.93545532226563</v>
      </c>
      <c r="F1923" s="15">
        <v>198.1552429199219</v>
      </c>
      <c r="H1923" s="16">
        <f t="shared" si="73"/>
        <v>8.499046621631005E-3</v>
      </c>
      <c r="I1923" s="16">
        <f t="shared" si="73"/>
        <v>5.550093663977281E-3</v>
      </c>
      <c r="J1923" s="16">
        <f t="shared" si="73"/>
        <v>2.7061589311345779E-4</v>
      </c>
      <c r="K1923" s="16">
        <f t="shared" si="72"/>
        <v>6.8749845129661468E-3</v>
      </c>
      <c r="L1923" s="16">
        <f t="shared" si="72"/>
        <v>8.6655925321653497E-3</v>
      </c>
    </row>
    <row r="1924" spans="1:12" x14ac:dyDescent="0.35">
      <c r="A1924" s="18">
        <v>45044</v>
      </c>
      <c r="B1924" s="15">
        <v>403.64691162109381</v>
      </c>
      <c r="C1924" s="15">
        <v>67.944328308105469</v>
      </c>
      <c r="D1924" s="15">
        <v>184.80000305175781</v>
      </c>
      <c r="E1924" s="15">
        <v>318.114990234375</v>
      </c>
      <c r="F1924" s="15">
        <v>199.87983703613281</v>
      </c>
      <c r="H1924" s="16">
        <f t="shared" si="73"/>
        <v>-1.0102100140404722E-3</v>
      </c>
      <c r="I1924" s="16">
        <f t="shared" si="73"/>
        <v>-1.0337338715570169E-2</v>
      </c>
      <c r="J1924" s="16">
        <f t="shared" si="73"/>
        <v>-4.5014682483948626E-3</v>
      </c>
      <c r="K1924" s="16">
        <f t="shared" si="72"/>
        <v>-1.1476276872175151E-3</v>
      </c>
      <c r="L1924" s="16">
        <f t="shared" si="72"/>
        <v>-4.8487533545438368E-4</v>
      </c>
    </row>
    <row r="1925" spans="1:12" x14ac:dyDescent="0.35">
      <c r="A1925" s="18">
        <v>45047</v>
      </c>
      <c r="B1925" s="15">
        <v>403.23934936523438</v>
      </c>
      <c r="C1925" s="15">
        <v>67.245582580566406</v>
      </c>
      <c r="D1925" s="15">
        <v>183.9700012207031</v>
      </c>
      <c r="E1925" s="15">
        <v>317.7501220703125</v>
      </c>
      <c r="F1925" s="15">
        <v>199.78294372558591</v>
      </c>
      <c r="H1925" s="16">
        <f t="shared" si="73"/>
        <v>-1.1302879205657295E-2</v>
      </c>
      <c r="I1925" s="16">
        <f t="shared" si="73"/>
        <v>9.795847302937654E-3</v>
      </c>
      <c r="J1925" s="16">
        <f t="shared" si="73"/>
        <v>1.911282169964576E-2</v>
      </c>
      <c r="K1925" s="16">
        <f t="shared" si="72"/>
        <v>-8.7597963405614925E-3</v>
      </c>
      <c r="L1925" s="16">
        <f t="shared" si="72"/>
        <v>-1.2296503296009181E-2</v>
      </c>
    </row>
    <row r="1926" spans="1:12" x14ac:dyDescent="0.35">
      <c r="A1926" s="18">
        <v>45048</v>
      </c>
      <c r="B1926" s="15">
        <v>398.70724487304688</v>
      </c>
      <c r="C1926" s="15">
        <v>67.907546997070313</v>
      </c>
      <c r="D1926" s="15">
        <v>187.52000427246091</v>
      </c>
      <c r="E1926" s="15">
        <v>314.97885131835938</v>
      </c>
      <c r="F1926" s="15">
        <v>197.34135437011719</v>
      </c>
      <c r="H1926" s="16">
        <f t="shared" si="73"/>
        <v>-6.887584302797194E-3</v>
      </c>
      <c r="I1926" s="16">
        <f t="shared" si="73"/>
        <v>4.1882657994189798E-3</v>
      </c>
      <c r="J1926" s="16">
        <f t="shared" si="73"/>
        <v>8.4433303940011101E-3</v>
      </c>
      <c r="K1926" s="16">
        <f t="shared" si="72"/>
        <v>-6.5654951642474396E-3</v>
      </c>
      <c r="L1926" s="16">
        <f t="shared" si="72"/>
        <v>-5.8595691269441473E-3</v>
      </c>
    </row>
    <row r="1927" spans="1:12" x14ac:dyDescent="0.35">
      <c r="A1927" s="18">
        <v>45049</v>
      </c>
      <c r="B1927" s="15">
        <v>395.97055053710938</v>
      </c>
      <c r="C1927" s="15">
        <v>68.192558288574219</v>
      </c>
      <c r="D1927" s="15">
        <v>189.11000061035159</v>
      </c>
      <c r="E1927" s="15">
        <v>312.91763305664063</v>
      </c>
      <c r="F1927" s="15">
        <v>196.18840026855469</v>
      </c>
      <c r="H1927" s="16">
        <f t="shared" si="73"/>
        <v>-7.1082749731220043E-3</v>
      </c>
      <c r="I1927" s="16">
        <f t="shared" si="73"/>
        <v>-1.3489535118386589E-3</v>
      </c>
      <c r="J1927" s="16">
        <f t="shared" si="73"/>
        <v>7.0083375794596703E-3</v>
      </c>
      <c r="K1927" s="16">
        <f t="shared" si="72"/>
        <v>-3.5360975563003614E-3</v>
      </c>
      <c r="L1927" s="16">
        <f t="shared" si="72"/>
        <v>-7.4849695216089446E-3</v>
      </c>
    </row>
    <row r="1928" spans="1:12" x14ac:dyDescent="0.35">
      <c r="A1928" s="18">
        <v>45050</v>
      </c>
      <c r="B1928" s="15">
        <v>393.16586303710938</v>
      </c>
      <c r="C1928" s="15">
        <v>68.100631713867188</v>
      </c>
      <c r="D1928" s="15">
        <v>190.44000244140619</v>
      </c>
      <c r="E1928" s="15">
        <v>311.81307983398438</v>
      </c>
      <c r="F1928" s="15">
        <v>194.72541809082031</v>
      </c>
      <c r="H1928" s="16">
        <f t="shared" si="73"/>
        <v>1.8343280449531429E-2</v>
      </c>
      <c r="I1928" s="16">
        <f t="shared" si="73"/>
        <v>-3.6519309164465257E-3</v>
      </c>
      <c r="J1928" s="16">
        <f t="shared" si="73"/>
        <v>-1.5771672012864876E-2</v>
      </c>
      <c r="K1928" s="16">
        <f t="shared" si="72"/>
        <v>2.1031614226176224E-2</v>
      </c>
      <c r="L1928" s="16">
        <f t="shared" si="72"/>
        <v>1.8291239950369038E-2</v>
      </c>
    </row>
    <row r="1929" spans="1:12" x14ac:dyDescent="0.35">
      <c r="A1929" s="18">
        <v>45051</v>
      </c>
      <c r="B1929" s="15">
        <v>400.44436645507813</v>
      </c>
      <c r="C1929" s="15">
        <v>67.852386474609375</v>
      </c>
      <c r="D1929" s="15">
        <v>187.46000671386719</v>
      </c>
      <c r="E1929" s="15">
        <v>318.44046020507813</v>
      </c>
      <c r="F1929" s="15">
        <v>198.31996154785159</v>
      </c>
      <c r="H1929" s="16">
        <f t="shared" si="73"/>
        <v>2.665445464445153E-4</v>
      </c>
      <c r="I1929" s="16">
        <f t="shared" si="73"/>
        <v>-4.7540466736888031E-3</v>
      </c>
      <c r="J1929" s="16">
        <f t="shared" si="73"/>
        <v>1.2261535425389489E-3</v>
      </c>
      <c r="K1929" s="16">
        <f t="shared" si="72"/>
        <v>2.4744491803283847E-3</v>
      </c>
      <c r="L1929" s="16">
        <f t="shared" si="72"/>
        <v>1.0741244493138332E-3</v>
      </c>
    </row>
    <row r="1930" spans="1:12" x14ac:dyDescent="0.35">
      <c r="A1930" s="18">
        <v>45054</v>
      </c>
      <c r="B1930" s="15">
        <v>400.55111694335938</v>
      </c>
      <c r="C1930" s="15">
        <v>67.53057861328125</v>
      </c>
      <c r="D1930" s="15">
        <v>187.69000244140619</v>
      </c>
      <c r="E1930" s="15">
        <v>319.22940063476563</v>
      </c>
      <c r="F1930" s="15">
        <v>198.53309631347659</v>
      </c>
      <c r="H1930" s="16">
        <f t="shared" si="73"/>
        <v>-4.3951580312813522E-3</v>
      </c>
      <c r="I1930" s="16">
        <f t="shared" si="73"/>
        <v>-1.0893513853065826E-3</v>
      </c>
      <c r="J1930" s="16">
        <f t="shared" si="73"/>
        <v>7.0611734943209726E-3</v>
      </c>
      <c r="K1930" s="16">
        <f t="shared" si="72"/>
        <v>-6.3533883159216063E-3</v>
      </c>
      <c r="L1930" s="16">
        <f t="shared" si="72"/>
        <v>-4.1077051938504033E-3</v>
      </c>
    </row>
    <row r="1931" spans="1:12" x14ac:dyDescent="0.35">
      <c r="A1931" s="18">
        <v>45055</v>
      </c>
      <c r="B1931" s="15">
        <v>398.79449462890619</v>
      </c>
      <c r="C1931" s="15">
        <v>67.457054138183594</v>
      </c>
      <c r="D1931" s="15">
        <v>189.02000427246091</v>
      </c>
      <c r="E1931" s="15">
        <v>317.2076416015625</v>
      </c>
      <c r="F1931" s="15">
        <v>197.71925354003909</v>
      </c>
      <c r="H1931" s="16">
        <f t="shared" si="73"/>
        <v>4.6617838879965349E-3</v>
      </c>
      <c r="I1931" s="16">
        <f t="shared" si="73"/>
        <v>6.1141194927922171E-3</v>
      </c>
      <c r="J1931" s="16">
        <f t="shared" si="73"/>
        <v>-1.4294640409970906E-3</v>
      </c>
      <c r="K1931" s="16">
        <f t="shared" si="72"/>
        <v>1.0823089829347847E-2</v>
      </c>
      <c r="L1931" s="16">
        <f t="shared" si="72"/>
        <v>4.4004131746991021E-3</v>
      </c>
    </row>
    <row r="1932" spans="1:12" x14ac:dyDescent="0.35">
      <c r="A1932" s="18">
        <v>45056</v>
      </c>
      <c r="B1932" s="15">
        <v>400.65792846679688</v>
      </c>
      <c r="C1932" s="15">
        <v>67.870758056640625</v>
      </c>
      <c r="D1932" s="15">
        <v>188.75</v>
      </c>
      <c r="E1932" s="15">
        <v>320.65945434570313</v>
      </c>
      <c r="F1932" s="15">
        <v>198.5912170410156</v>
      </c>
      <c r="H1932" s="16">
        <f t="shared" si="73"/>
        <v>-1.7455564396272377E-3</v>
      </c>
      <c r="I1932" s="16">
        <f t="shared" si="73"/>
        <v>3.246090744332247E-3</v>
      </c>
      <c r="J1932" s="16">
        <f t="shared" si="73"/>
        <v>-8.6197995462801054E-3</v>
      </c>
      <c r="K1932" s="16">
        <f t="shared" si="72"/>
        <v>3.2548852684482323E-3</v>
      </c>
      <c r="L1932" s="16">
        <f t="shared" si="72"/>
        <v>-1.3180534961281486E-3</v>
      </c>
    </row>
    <row r="1933" spans="1:12" x14ac:dyDescent="0.35">
      <c r="A1933" s="18">
        <v>45057</v>
      </c>
      <c r="B1933" s="15">
        <v>399.95916748046881</v>
      </c>
      <c r="C1933" s="15">
        <v>68.0914306640625</v>
      </c>
      <c r="D1933" s="15">
        <v>187.1300048828125</v>
      </c>
      <c r="E1933" s="15">
        <v>321.70486450195313</v>
      </c>
      <c r="F1933" s="15">
        <v>198.32963562011719</v>
      </c>
      <c r="H1933" s="16">
        <f t="shared" si="73"/>
        <v>-1.3111889156140219E-3</v>
      </c>
      <c r="I1933" s="16">
        <f t="shared" si="73"/>
        <v>-5.2799797949532132E-3</v>
      </c>
      <c r="J1933" s="16">
        <f t="shared" si="73"/>
        <v>-1.7115440993104233E-3</v>
      </c>
      <c r="K1933" s="16">
        <f t="shared" si="72"/>
        <v>-3.5932764988630887E-3</v>
      </c>
      <c r="L1933" s="16">
        <f t="shared" si="72"/>
        <v>-2.3477014407647153E-3</v>
      </c>
    </row>
    <row r="1934" spans="1:12" x14ac:dyDescent="0.35">
      <c r="A1934" s="18">
        <v>45058</v>
      </c>
      <c r="B1934" s="15">
        <v>399.43508911132813</v>
      </c>
      <c r="C1934" s="15">
        <v>67.732856750488281</v>
      </c>
      <c r="D1934" s="15">
        <v>186.80999755859381</v>
      </c>
      <c r="E1934" s="15">
        <v>320.55096435546881</v>
      </c>
      <c r="F1934" s="15">
        <v>197.86456298828119</v>
      </c>
      <c r="H1934" s="16">
        <f t="shared" si="73"/>
        <v>3.4442164282686518E-3</v>
      </c>
      <c r="I1934" s="16">
        <f t="shared" si="73"/>
        <v>-2.5822121963293898E-3</v>
      </c>
      <c r="J1934" s="16">
        <f t="shared" si="73"/>
        <v>2.1389727993922063E-3</v>
      </c>
      <c r="K1934" s="16">
        <f t="shared" si="72"/>
        <v>5.4002824396300261E-3</v>
      </c>
      <c r="L1934" s="16">
        <f t="shared" si="72"/>
        <v>4.2509907802454009E-3</v>
      </c>
    </row>
    <row r="1935" spans="1:12" x14ac:dyDescent="0.35">
      <c r="A1935" s="18">
        <v>45061</v>
      </c>
      <c r="B1935" s="15">
        <v>400.81320190429688</v>
      </c>
      <c r="C1935" s="15">
        <v>67.558181762695313</v>
      </c>
      <c r="D1935" s="15">
        <v>187.21000671386719</v>
      </c>
      <c r="E1935" s="15">
        <v>322.28671264648438</v>
      </c>
      <c r="F1935" s="15">
        <v>198.70747375488281</v>
      </c>
      <c r="H1935" s="16">
        <f t="shared" si="73"/>
        <v>-6.7052396487322849E-3</v>
      </c>
      <c r="I1935" s="16">
        <f t="shared" si="73"/>
        <v>-2.4525855138699355E-3</v>
      </c>
      <c r="J1935" s="16">
        <f t="shared" si="73"/>
        <v>-1.2578168330722971E-2</v>
      </c>
      <c r="K1935" s="16">
        <f t="shared" si="72"/>
        <v>1.1316716880719537E-3</v>
      </c>
      <c r="L1935" s="16">
        <f t="shared" si="72"/>
        <v>-7.7827937589952222E-3</v>
      </c>
    </row>
    <row r="1936" spans="1:12" x14ac:dyDescent="0.35">
      <c r="A1936" s="18">
        <v>45062</v>
      </c>
      <c r="B1936" s="15">
        <v>398.1346435546875</v>
      </c>
      <c r="C1936" s="15">
        <v>67.392692565917969</v>
      </c>
      <c r="D1936" s="15">
        <v>184.8699951171875</v>
      </c>
      <c r="E1936" s="15">
        <v>322.65164184570313</v>
      </c>
      <c r="F1936" s="15">
        <v>197.16697692871091</v>
      </c>
      <c r="H1936" s="16">
        <f t="shared" si="73"/>
        <v>1.2065964970072621E-2</v>
      </c>
      <c r="I1936" s="16">
        <f t="shared" si="73"/>
        <v>-1.7750916737917428E-3</v>
      </c>
      <c r="J1936" s="16">
        <f t="shared" si="73"/>
        <v>-3.4678951337032147E-3</v>
      </c>
      <c r="K1936" s="16">
        <f t="shared" si="72"/>
        <v>1.2031487188018365E-2</v>
      </c>
      <c r="L1936" s="16">
        <f t="shared" si="72"/>
        <v>1.2889718585471895E-2</v>
      </c>
    </row>
    <row r="1937" spans="1:12" x14ac:dyDescent="0.35">
      <c r="A1937" s="18">
        <v>45063</v>
      </c>
      <c r="B1937" s="15">
        <v>402.96762084960938</v>
      </c>
      <c r="C1937" s="15">
        <v>67.273170471191406</v>
      </c>
      <c r="D1937" s="15">
        <v>184.22999572753909</v>
      </c>
      <c r="E1937" s="15">
        <v>326.55706787109381</v>
      </c>
      <c r="F1937" s="15">
        <v>199.724853515625</v>
      </c>
      <c r="H1937" s="16">
        <f t="shared" si="73"/>
        <v>9.5871685608005554E-3</v>
      </c>
      <c r="I1937" s="16">
        <f t="shared" si="73"/>
        <v>-4.1087379127473702E-3</v>
      </c>
      <c r="J1937" s="16">
        <f t="shared" si="73"/>
        <v>-1.3057794413407174E-2</v>
      </c>
      <c r="K1937" s="16">
        <f t="shared" si="72"/>
        <v>1.8402751786376056E-2</v>
      </c>
      <c r="L1937" s="16">
        <f t="shared" si="72"/>
        <v>9.8954370073437367E-3</v>
      </c>
    </row>
    <row r="1938" spans="1:12" x14ac:dyDescent="0.35">
      <c r="A1938" s="18">
        <v>45064</v>
      </c>
      <c r="B1938" s="15">
        <v>406.84951782226563</v>
      </c>
      <c r="C1938" s="15">
        <v>66.997329711914063</v>
      </c>
      <c r="D1938" s="15">
        <v>181.8399963378906</v>
      </c>
      <c r="E1938" s="15">
        <v>332.62225341796881</v>
      </c>
      <c r="F1938" s="15">
        <v>201.7110290527344</v>
      </c>
      <c r="H1938" s="16">
        <f t="shared" si="73"/>
        <v>-1.4560938339877405E-3</v>
      </c>
      <c r="I1938" s="16">
        <f t="shared" si="73"/>
        <v>-2.7481867871820848E-3</v>
      </c>
      <c r="J1938" s="16">
        <f t="shared" si="73"/>
        <v>9.8501566522876845E-3</v>
      </c>
      <c r="K1938" s="16">
        <f t="shared" si="72"/>
        <v>-2.2558846706563613E-3</v>
      </c>
      <c r="L1938" s="16">
        <f t="shared" si="72"/>
        <v>-2.4045223976538683E-3</v>
      </c>
    </row>
    <row r="1939" spans="1:12" x14ac:dyDescent="0.35">
      <c r="A1939" s="18">
        <v>45065</v>
      </c>
      <c r="B1939" s="15">
        <v>406.25753784179688</v>
      </c>
      <c r="C1939" s="15">
        <v>66.813461303710938</v>
      </c>
      <c r="D1939" s="15">
        <v>183.63999938964841</v>
      </c>
      <c r="E1939" s="15">
        <v>331.87274169921881</v>
      </c>
      <c r="F1939" s="15">
        <v>201.2265930175781</v>
      </c>
      <c r="H1939" s="16">
        <f t="shared" si="73"/>
        <v>4.0585961494709634E-4</v>
      </c>
      <c r="I1939" s="16">
        <f t="shared" si="73"/>
        <v>-2.7500608315918576E-4</v>
      </c>
      <c r="J1939" s="16">
        <f t="shared" si="73"/>
        <v>-2.3442435084916266E-3</v>
      </c>
      <c r="K1939" s="16">
        <f t="shared" si="73"/>
        <v>3.3525945961151941E-3</v>
      </c>
      <c r="L1939" s="16">
        <f t="shared" si="73"/>
        <v>1.7318720258774787E-3</v>
      </c>
    </row>
    <row r="1940" spans="1:12" x14ac:dyDescent="0.35">
      <c r="A1940" s="18">
        <v>45068</v>
      </c>
      <c r="B1940" s="15">
        <v>406.42245483398438</v>
      </c>
      <c r="C1940" s="15">
        <v>66.795089721679688</v>
      </c>
      <c r="D1940" s="15">
        <v>183.21000671386719</v>
      </c>
      <c r="E1940" s="15">
        <v>332.98724365234381</v>
      </c>
      <c r="F1940" s="15">
        <v>201.57539367675781</v>
      </c>
      <c r="H1940" s="16">
        <f t="shared" ref="H1940:K2003" si="74">LN(B1941/B1940)</f>
        <v>-1.128614951937695E-2</v>
      </c>
      <c r="I1940" s="16">
        <f t="shared" si="74"/>
        <v>6.8748759912136545E-4</v>
      </c>
      <c r="J1940" s="16">
        <f t="shared" si="74"/>
        <v>1.2000108481289708E-3</v>
      </c>
      <c r="K1940" s="16">
        <f t="shared" si="74"/>
        <v>-1.2757492997690576E-2</v>
      </c>
      <c r="L1940" s="16">
        <f t="shared" ref="L1940:L2003" si="75">LN(F1941/F1940)</f>
        <v>-1.0630818750859836E-2</v>
      </c>
    </row>
    <row r="1941" spans="1:12" x14ac:dyDescent="0.35">
      <c r="A1941" s="18">
        <v>45069</v>
      </c>
      <c r="B1941" s="15">
        <v>401.86129760742188</v>
      </c>
      <c r="C1941" s="15">
        <v>66.841026306152344</v>
      </c>
      <c r="D1941" s="15">
        <v>183.42999267578119</v>
      </c>
      <c r="E1941" s="15">
        <v>328.76614379882813</v>
      </c>
      <c r="F1941" s="15">
        <v>199.44383239746091</v>
      </c>
      <c r="H1941" s="16">
        <f t="shared" si="74"/>
        <v>-7.2713308712495841E-3</v>
      </c>
      <c r="I1941" s="16">
        <f t="shared" si="74"/>
        <v>-2.7545076458962161E-3</v>
      </c>
      <c r="J1941" s="16">
        <f t="shared" si="74"/>
        <v>-8.1011761113670196E-3</v>
      </c>
      <c r="K1941" s="16">
        <f t="shared" si="74"/>
        <v>-5.1426870833911299E-3</v>
      </c>
      <c r="L1941" s="16">
        <f t="shared" si="75"/>
        <v>-7.7540246257759259E-3</v>
      </c>
    </row>
    <row r="1942" spans="1:12" x14ac:dyDescent="0.35">
      <c r="A1942" s="18">
        <v>45070</v>
      </c>
      <c r="B1942" s="15">
        <v>398.9498291015625</v>
      </c>
      <c r="C1942" s="15">
        <v>66.65716552734375</v>
      </c>
      <c r="D1942" s="15">
        <v>181.94999694824219</v>
      </c>
      <c r="E1942" s="15">
        <v>327.07974243164063</v>
      </c>
      <c r="F1942" s="15">
        <v>197.9033203125</v>
      </c>
      <c r="H1942" s="16">
        <f t="shared" si="74"/>
        <v>8.6228428725706584E-3</v>
      </c>
      <c r="I1942" s="16">
        <f t="shared" si="74"/>
        <v>-3.7309317160188933E-3</v>
      </c>
      <c r="J1942" s="16">
        <f t="shared" si="74"/>
        <v>-9.6645790468163403E-3</v>
      </c>
      <c r="K1942" s="16">
        <f t="shared" si="74"/>
        <v>2.4041670302512468E-2</v>
      </c>
      <c r="L1942" s="16">
        <f t="shared" si="75"/>
        <v>6.7820703794474885E-3</v>
      </c>
    </row>
    <row r="1943" spans="1:12" x14ac:dyDescent="0.35">
      <c r="A1943" s="18">
        <v>45071</v>
      </c>
      <c r="B1943" s="15">
        <v>402.40478515625</v>
      </c>
      <c r="C1943" s="15">
        <v>66.408935546875</v>
      </c>
      <c r="D1943" s="15">
        <v>180.19999694824219</v>
      </c>
      <c r="E1943" s="15">
        <v>335.03857421875</v>
      </c>
      <c r="F1943" s="15">
        <v>199.25007629394531</v>
      </c>
      <c r="H1943" s="16">
        <f t="shared" si="74"/>
        <v>1.2867561983290969E-2</v>
      </c>
      <c r="I1943" s="16">
        <f t="shared" si="74"/>
        <v>1.2449234644741488E-3</v>
      </c>
      <c r="J1943" s="16">
        <f t="shared" si="74"/>
        <v>3.9876062500003567E-3</v>
      </c>
      <c r="K1943" s="16">
        <f t="shared" si="74"/>
        <v>2.5229427150147785E-2</v>
      </c>
      <c r="L1943" s="16">
        <f t="shared" si="75"/>
        <v>1.3091697075496806E-2</v>
      </c>
    </row>
    <row r="1944" spans="1:12" x14ac:dyDescent="0.35">
      <c r="A1944" s="18">
        <v>45072</v>
      </c>
      <c r="B1944" s="15">
        <v>407.6162109375</v>
      </c>
      <c r="C1944" s="15">
        <v>66.491661071777344</v>
      </c>
      <c r="D1944" s="15">
        <v>180.91999816894531</v>
      </c>
      <c r="E1944" s="15">
        <v>343.59893798828119</v>
      </c>
      <c r="F1944" s="15">
        <v>201.87574768066409</v>
      </c>
      <c r="H1944" s="16">
        <f t="shared" si="74"/>
        <v>3.8063342126781015E-4</v>
      </c>
      <c r="I1944" s="16">
        <f t="shared" si="74"/>
        <v>6.6152146572108555E-3</v>
      </c>
      <c r="J1944" s="16">
        <f t="shared" si="74"/>
        <v>6.1714717783212013E-3</v>
      </c>
      <c r="K1944" s="16">
        <f t="shared" si="74"/>
        <v>4.5246778676730813E-3</v>
      </c>
      <c r="L1944" s="16">
        <f t="shared" si="75"/>
        <v>3.3584357320691781E-4</v>
      </c>
    </row>
    <row r="1945" spans="1:12" x14ac:dyDescent="0.35">
      <c r="A1945" s="18">
        <v>45076</v>
      </c>
      <c r="B1945" s="15">
        <v>407.77139282226563</v>
      </c>
      <c r="C1945" s="15">
        <v>66.932975769042969</v>
      </c>
      <c r="D1945" s="15">
        <v>182.03999328613281</v>
      </c>
      <c r="E1945" s="15">
        <v>345.15713500976563</v>
      </c>
      <c r="F1945" s="15">
        <v>201.94355773925781</v>
      </c>
      <c r="H1945" s="16">
        <f t="shared" si="74"/>
        <v>-5.560620613804002E-3</v>
      </c>
      <c r="I1945" s="16">
        <f t="shared" si="74"/>
        <v>3.2914961959513889E-3</v>
      </c>
      <c r="J1945" s="16">
        <f t="shared" si="74"/>
        <v>1.5370188425896246E-3</v>
      </c>
      <c r="K1945" s="16">
        <f t="shared" si="74"/>
        <v>-5.7022019596793183E-3</v>
      </c>
      <c r="L1945" s="16">
        <f t="shared" si="75"/>
        <v>-6.0150744202384088E-3</v>
      </c>
    </row>
    <row r="1946" spans="1:12" x14ac:dyDescent="0.35">
      <c r="A1946" s="18">
        <v>45077</v>
      </c>
      <c r="B1946" s="15">
        <v>405.51022338867188</v>
      </c>
      <c r="C1946" s="15">
        <v>67.153648376464844</v>
      </c>
      <c r="D1946" s="15">
        <v>182.32000732421881</v>
      </c>
      <c r="E1946" s="15">
        <v>343.194580078125</v>
      </c>
      <c r="F1946" s="15">
        <v>200.73249816894531</v>
      </c>
      <c r="H1946" s="16">
        <f t="shared" si="74"/>
        <v>9.4561494894550135E-3</v>
      </c>
      <c r="I1946" s="16">
        <f t="shared" si="74"/>
        <v>2.7004065201894543E-3</v>
      </c>
      <c r="J1946" s="16">
        <f t="shared" si="74"/>
        <v>7.8671033779428128E-3</v>
      </c>
      <c r="K1946" s="16">
        <f t="shared" si="74"/>
        <v>1.1485742767275408E-2</v>
      </c>
      <c r="L1946" s="16">
        <f t="shared" si="75"/>
        <v>9.9414460271729423E-3</v>
      </c>
    </row>
    <row r="1947" spans="1:12" x14ac:dyDescent="0.35">
      <c r="A1947" s="18">
        <v>45078</v>
      </c>
      <c r="B1947" s="15">
        <v>409.36297607421881</v>
      </c>
      <c r="C1947" s="15">
        <v>67.335235595703125</v>
      </c>
      <c r="D1947" s="15">
        <v>183.75999450683591</v>
      </c>
      <c r="E1947" s="15">
        <v>347.15914916992188</v>
      </c>
      <c r="F1947" s="15">
        <v>202.73802185058591</v>
      </c>
      <c r="H1947" s="16">
        <f t="shared" si="74"/>
        <v>1.4357661773885744E-2</v>
      </c>
      <c r="I1947" s="16">
        <f t="shared" si="74"/>
        <v>-5.6282408410886957E-3</v>
      </c>
      <c r="J1947" s="16">
        <f t="shared" si="74"/>
        <v>-1.4857275420164476E-2</v>
      </c>
      <c r="K1947" s="16">
        <f t="shared" si="74"/>
        <v>7.4719422012404181E-3</v>
      </c>
      <c r="L1947" s="16">
        <f t="shared" si="75"/>
        <v>1.6400112927552689E-2</v>
      </c>
    </row>
    <row r="1948" spans="1:12" x14ac:dyDescent="0.35">
      <c r="A1948" s="18">
        <v>45079</v>
      </c>
      <c r="B1948" s="15">
        <v>415.28286743164063</v>
      </c>
      <c r="C1948" s="15">
        <v>66.957321166992188</v>
      </c>
      <c r="D1948" s="15">
        <v>181.05000305175781</v>
      </c>
      <c r="E1948" s="15">
        <v>349.7628173828125</v>
      </c>
      <c r="F1948" s="15">
        <v>206.0903625488281</v>
      </c>
      <c r="H1948" s="16">
        <f t="shared" si="74"/>
        <v>-1.9180656108590786E-3</v>
      </c>
      <c r="I1948" s="16">
        <f t="shared" si="74"/>
        <v>1.374071948159493E-4</v>
      </c>
      <c r="J1948" s="16">
        <f t="shared" si="74"/>
        <v>6.0023657211359053E-3</v>
      </c>
      <c r="K1948" s="16">
        <f t="shared" si="74"/>
        <v>7.0440068412416595E-4</v>
      </c>
      <c r="L1948" s="16">
        <f t="shared" si="75"/>
        <v>-2.6360130798685336E-3</v>
      </c>
    </row>
    <row r="1949" spans="1:12" x14ac:dyDescent="0.35">
      <c r="A1949" s="18">
        <v>45082</v>
      </c>
      <c r="B1949" s="15">
        <v>414.48709106445313</v>
      </c>
      <c r="C1949" s="15">
        <v>66.966522216796875</v>
      </c>
      <c r="D1949" s="15">
        <v>182.13999938964841</v>
      </c>
      <c r="E1949" s="15">
        <v>350.00927734375</v>
      </c>
      <c r="F1949" s="15">
        <v>205.5478210449219</v>
      </c>
      <c r="H1949" s="16">
        <f t="shared" si="74"/>
        <v>2.1751609267809556E-3</v>
      </c>
      <c r="I1949" s="16">
        <f t="shared" si="74"/>
        <v>1.3756512617588363E-3</v>
      </c>
      <c r="J1949" s="16">
        <f t="shared" si="74"/>
        <v>1.0974372841257363E-3</v>
      </c>
      <c r="K1949" s="16">
        <f t="shared" si="74"/>
        <v>-1.6898998874800315E-4</v>
      </c>
      <c r="L1949" s="16">
        <f t="shared" si="75"/>
        <v>4.5616233628257242E-3</v>
      </c>
    </row>
    <row r="1950" spans="1:12" x14ac:dyDescent="0.35">
      <c r="A1950" s="18">
        <v>45083</v>
      </c>
      <c r="B1950" s="15">
        <v>415.3896484375</v>
      </c>
      <c r="C1950" s="15">
        <v>67.058708190917969</v>
      </c>
      <c r="D1950" s="15">
        <v>182.3399963378906</v>
      </c>
      <c r="E1950" s="15">
        <v>349.95013427734381</v>
      </c>
      <c r="F1950" s="15">
        <v>206.48759460449219</v>
      </c>
      <c r="H1950" s="16">
        <f t="shared" si="74"/>
        <v>-3.4637327929848759E-3</v>
      </c>
      <c r="I1950" s="16">
        <f t="shared" si="74"/>
        <v>-5.651973173609234E-3</v>
      </c>
      <c r="J1950" s="16">
        <f t="shared" si="74"/>
        <v>-1.2083252758880609E-2</v>
      </c>
      <c r="K1950" s="16">
        <f t="shared" si="74"/>
        <v>-1.7110778510864389E-2</v>
      </c>
      <c r="L1950" s="16">
        <f t="shared" si="75"/>
        <v>-1.972626352577203E-3</v>
      </c>
    </row>
    <row r="1951" spans="1:12" x14ac:dyDescent="0.35">
      <c r="A1951" s="18">
        <v>45084</v>
      </c>
      <c r="B1951" s="15">
        <v>413.95333862304688</v>
      </c>
      <c r="C1951" s="15">
        <v>66.680763244628906</v>
      </c>
      <c r="D1951" s="15">
        <v>180.1499938964844</v>
      </c>
      <c r="E1951" s="15">
        <v>344.01315307617188</v>
      </c>
      <c r="F1951" s="15">
        <v>206.08067321777341</v>
      </c>
      <c r="H1951" s="16">
        <f t="shared" si="74"/>
        <v>6.0302510222944973E-3</v>
      </c>
      <c r="I1951" s="16">
        <f t="shared" si="74"/>
        <v>4.9642133195602015E-3</v>
      </c>
      <c r="J1951" s="16">
        <f t="shared" si="74"/>
        <v>1.3124733073092816E-2</v>
      </c>
      <c r="K1951" s="16">
        <f t="shared" si="74"/>
        <v>1.2336847177086791E-2</v>
      </c>
      <c r="L1951" s="16">
        <f t="shared" si="75"/>
        <v>4.690477850591691E-3</v>
      </c>
    </row>
    <row r="1952" spans="1:12" x14ac:dyDescent="0.35">
      <c r="A1952" s="18">
        <v>45085</v>
      </c>
      <c r="B1952" s="15">
        <v>416.45712280273438</v>
      </c>
      <c r="C1952" s="15">
        <v>67.012603759765625</v>
      </c>
      <c r="D1952" s="15">
        <v>182.5299987792969</v>
      </c>
      <c r="E1952" s="15">
        <v>348.28347778320313</v>
      </c>
      <c r="F1952" s="15">
        <v>207.049560546875</v>
      </c>
      <c r="H1952" s="16">
        <f t="shared" si="74"/>
        <v>1.7928490147663678E-3</v>
      </c>
      <c r="I1952" s="16">
        <f t="shared" si="74"/>
        <v>-2.0652095220064608E-3</v>
      </c>
      <c r="J1952" s="16">
        <f t="shared" si="74"/>
        <v>-2.6881301198418764E-3</v>
      </c>
      <c r="K1952" s="16">
        <f t="shared" si="74"/>
        <v>3.8153451552493229E-3</v>
      </c>
      <c r="L1952" s="16">
        <f t="shared" si="75"/>
        <v>1.0757558073936197E-3</v>
      </c>
    </row>
    <row r="1953" spans="1:12" x14ac:dyDescent="0.35">
      <c r="A1953" s="18">
        <v>45086</v>
      </c>
      <c r="B1953" s="15">
        <v>417.20443725585938</v>
      </c>
      <c r="C1953" s="15">
        <v>66.874351501464844</v>
      </c>
      <c r="D1953" s="15">
        <v>182.03999328613281</v>
      </c>
      <c r="E1953" s="15">
        <v>349.61483764648438</v>
      </c>
      <c r="F1953" s="15">
        <v>207.27241516113281</v>
      </c>
      <c r="H1953" s="16">
        <f t="shared" si="74"/>
        <v>9.0308136214238936E-3</v>
      </c>
      <c r="I1953" s="16">
        <f t="shared" si="74"/>
        <v>2.065209522006538E-3</v>
      </c>
      <c r="J1953" s="16">
        <f t="shared" si="74"/>
        <v>-8.7925046401565038E-4</v>
      </c>
      <c r="K1953" s="16">
        <f t="shared" si="74"/>
        <v>1.6755828812717012E-2</v>
      </c>
      <c r="L1953" s="16">
        <f t="shared" si="75"/>
        <v>8.9347707167461068E-3</v>
      </c>
    </row>
    <row r="1954" spans="1:12" x14ac:dyDescent="0.35">
      <c r="A1954" s="18">
        <v>45089</v>
      </c>
      <c r="B1954" s="15">
        <v>420.98919677734381</v>
      </c>
      <c r="C1954" s="15">
        <v>67.012603759765625</v>
      </c>
      <c r="D1954" s="15">
        <v>181.8800048828125</v>
      </c>
      <c r="E1954" s="15">
        <v>355.52227783203119</v>
      </c>
      <c r="F1954" s="15">
        <v>209.13264465332031</v>
      </c>
      <c r="H1954" s="16">
        <f t="shared" si="74"/>
        <v>6.5712702356899499E-3</v>
      </c>
      <c r="I1954" s="16">
        <f t="shared" si="74"/>
        <v>-4.4116188309742841E-3</v>
      </c>
      <c r="J1954" s="16">
        <f t="shared" si="74"/>
        <v>-7.3948331208413699E-3</v>
      </c>
      <c r="K1954" s="16">
        <f t="shared" si="74"/>
        <v>7.6547383468342717E-3</v>
      </c>
      <c r="L1954" s="16">
        <f t="shared" si="75"/>
        <v>7.3393430994529415E-3</v>
      </c>
    </row>
    <row r="1955" spans="1:12" x14ac:dyDescent="0.35">
      <c r="A1955" s="18">
        <v>45090</v>
      </c>
      <c r="B1955" s="15">
        <v>423.76473999023438</v>
      </c>
      <c r="C1955" s="15">
        <v>66.717620849609375</v>
      </c>
      <c r="D1955" s="15">
        <v>180.53999328613281</v>
      </c>
      <c r="E1955" s="15">
        <v>358.254150390625</v>
      </c>
      <c r="F1955" s="15">
        <v>210.6731872558594</v>
      </c>
      <c r="H1955" s="16">
        <f t="shared" si="74"/>
        <v>1.1902097327644305E-3</v>
      </c>
      <c r="I1955" s="16">
        <f t="shared" si="74"/>
        <v>8.2929080275240871E-4</v>
      </c>
      <c r="J1955" s="16">
        <f t="shared" si="74"/>
        <v>5.5377434021424332E-4</v>
      </c>
      <c r="K1955" s="16">
        <f t="shared" si="74"/>
        <v>7.2412900776154037E-3</v>
      </c>
      <c r="L1955" s="16">
        <f t="shared" si="75"/>
        <v>0</v>
      </c>
    </row>
    <row r="1956" spans="1:12" x14ac:dyDescent="0.35">
      <c r="A1956" s="18">
        <v>45091</v>
      </c>
      <c r="B1956" s="15">
        <v>424.2694091796875</v>
      </c>
      <c r="C1956" s="15">
        <v>66.772972106933594</v>
      </c>
      <c r="D1956" s="15">
        <v>180.63999938964841</v>
      </c>
      <c r="E1956" s="15">
        <v>360.8577880859375</v>
      </c>
      <c r="F1956" s="15">
        <v>210.6731872558594</v>
      </c>
      <c r="H1956" s="16">
        <f t="shared" si="74"/>
        <v>1.2321369269951588E-2</v>
      </c>
      <c r="I1956" s="16">
        <f t="shared" si="74"/>
        <v>6.1922354409716905E-3</v>
      </c>
      <c r="J1956" s="16">
        <f t="shared" si="74"/>
        <v>7.0059823830365287E-3</v>
      </c>
      <c r="K1956" s="16">
        <f t="shared" si="74"/>
        <v>1.1845413819976914E-2</v>
      </c>
      <c r="L1956" s="16">
        <f t="shared" si="75"/>
        <v>1.2113552162379153E-2</v>
      </c>
    </row>
    <row r="1957" spans="1:12" x14ac:dyDescent="0.35">
      <c r="A1957" s="18">
        <v>45092</v>
      </c>
      <c r="B1957" s="15">
        <v>429.52932739257813</v>
      </c>
      <c r="C1957" s="15">
        <v>67.187728881835938</v>
      </c>
      <c r="D1957" s="15">
        <v>181.9100036621094</v>
      </c>
      <c r="E1957" s="15">
        <v>365.15771484375</v>
      </c>
      <c r="F1957" s="15">
        <v>213.24070739746091</v>
      </c>
      <c r="H1957" s="16">
        <f t="shared" si="74"/>
        <v>-3.4120398523893002E-3</v>
      </c>
      <c r="I1957" s="16">
        <f t="shared" si="74"/>
        <v>-2.1973995870087429E-3</v>
      </c>
      <c r="J1957" s="16">
        <f t="shared" si="74"/>
        <v>-1.5404017609152657E-3</v>
      </c>
      <c r="K1957" s="16">
        <f t="shared" si="74"/>
        <v>-6.3128998663282507E-3</v>
      </c>
      <c r="L1957" s="16">
        <f t="shared" si="75"/>
        <v>-3.7783788205159748E-3</v>
      </c>
    </row>
    <row r="1958" spans="1:12" x14ac:dyDescent="0.35">
      <c r="A1958" s="18">
        <v>45093</v>
      </c>
      <c r="B1958" s="15">
        <v>428.06625366210938</v>
      </c>
      <c r="C1958" s="15">
        <v>67.040252685546875</v>
      </c>
      <c r="D1958" s="15">
        <v>181.6300048828125</v>
      </c>
      <c r="E1958" s="15">
        <v>362.85977172851563</v>
      </c>
      <c r="F1958" s="15">
        <v>212.4365234375</v>
      </c>
      <c r="H1958" s="16">
        <f t="shared" si="74"/>
        <v>-5.2016170903364835E-3</v>
      </c>
      <c r="I1958" s="16">
        <f t="shared" si="74"/>
        <v>1.3742530146552358E-3</v>
      </c>
      <c r="J1958" s="16">
        <f t="shared" si="74"/>
        <v>-1.0404681043488588E-2</v>
      </c>
      <c r="K1958" s="16">
        <f t="shared" si="74"/>
        <v>-1.4325419519507871E-3</v>
      </c>
      <c r="L1958" s="16">
        <f t="shared" si="75"/>
        <v>-4.9378151173801342E-3</v>
      </c>
    </row>
    <row r="1959" spans="1:12" x14ac:dyDescent="0.35">
      <c r="A1959" s="18">
        <v>45097</v>
      </c>
      <c r="B1959" s="15">
        <v>425.84539794921881</v>
      </c>
      <c r="C1959" s="15">
        <v>67.1324462890625</v>
      </c>
      <c r="D1959" s="15">
        <v>179.75</v>
      </c>
      <c r="E1959" s="15">
        <v>362.34033203125</v>
      </c>
      <c r="F1959" s="15">
        <v>211.39013671875</v>
      </c>
      <c r="H1959" s="16">
        <f t="shared" si="74"/>
        <v>-5.1370417032740772E-3</v>
      </c>
      <c r="I1959" s="16">
        <f t="shared" si="74"/>
        <v>1.6461834316914504E-3</v>
      </c>
      <c r="J1959" s="16">
        <f t="shared" si="74"/>
        <v>-1.4474699268159439E-3</v>
      </c>
      <c r="K1959" s="16">
        <f t="shared" si="74"/>
        <v>-1.3721411869294738E-2</v>
      </c>
      <c r="L1959" s="16">
        <f t="shared" si="75"/>
        <v>-5.5153148201589211E-3</v>
      </c>
    </row>
    <row r="1960" spans="1:12" x14ac:dyDescent="0.35">
      <c r="A1960" s="18">
        <v>45098</v>
      </c>
      <c r="B1960" s="15">
        <v>423.66342163085938</v>
      </c>
      <c r="C1960" s="15">
        <v>67.243049621582031</v>
      </c>
      <c r="D1960" s="15">
        <v>179.49000549316409</v>
      </c>
      <c r="E1960" s="15">
        <v>357.4024658203125</v>
      </c>
      <c r="F1960" s="15">
        <v>210.22746276855469</v>
      </c>
      <c r="H1960" s="16">
        <f t="shared" si="74"/>
        <v>3.6033419154365099E-3</v>
      </c>
      <c r="I1960" s="16">
        <f t="shared" si="74"/>
        <v>-4.809200607845468E-3</v>
      </c>
      <c r="J1960" s="16">
        <f t="shared" si="74"/>
        <v>-9.966480697039367E-3</v>
      </c>
      <c r="K1960" s="16">
        <f t="shared" si="74"/>
        <v>1.1729733362278085E-2</v>
      </c>
      <c r="L1960" s="16">
        <f t="shared" si="75"/>
        <v>2.6695664116917514E-3</v>
      </c>
    </row>
    <row r="1961" spans="1:12" x14ac:dyDescent="0.35">
      <c r="A1961" s="18">
        <v>45099</v>
      </c>
      <c r="B1961" s="15">
        <v>425.19277954101563</v>
      </c>
      <c r="C1961" s="15">
        <v>66.920440673828125</v>
      </c>
      <c r="D1961" s="15">
        <v>177.71000671386719</v>
      </c>
      <c r="E1961" s="15">
        <v>361.619384765625</v>
      </c>
      <c r="F1961" s="15">
        <v>210.7894287109375</v>
      </c>
      <c r="H1961" s="16">
        <f t="shared" si="74"/>
        <v>-7.5887693424360365E-3</v>
      </c>
      <c r="I1961" s="16">
        <f t="shared" si="74"/>
        <v>2.8882948817805574E-3</v>
      </c>
      <c r="J1961" s="16">
        <f t="shared" si="74"/>
        <v>2.7534519339434175E-3</v>
      </c>
      <c r="K1961" s="16">
        <f t="shared" si="74"/>
        <v>-9.9628419613919262E-3</v>
      </c>
      <c r="L1961" s="16">
        <f t="shared" si="75"/>
        <v>-8.3072162357572896E-3</v>
      </c>
    </row>
    <row r="1962" spans="1:12" x14ac:dyDescent="0.35">
      <c r="A1962" s="18">
        <v>45100</v>
      </c>
      <c r="B1962" s="15">
        <v>421.97830200195313</v>
      </c>
      <c r="C1962" s="15">
        <v>67.114006042480469</v>
      </c>
      <c r="D1962" s="15">
        <v>178.19999694824219</v>
      </c>
      <c r="E1962" s="15">
        <v>358.03451538085938</v>
      </c>
      <c r="F1962" s="15">
        <v>209.04560852050781</v>
      </c>
      <c r="H1962" s="16">
        <f t="shared" si="74"/>
        <v>-4.094102179396231E-3</v>
      </c>
      <c r="I1962" s="16">
        <f t="shared" si="74"/>
        <v>1.235372570658646E-3</v>
      </c>
      <c r="J1962" s="16">
        <f t="shared" si="74"/>
        <v>1.7380933759117798E-3</v>
      </c>
      <c r="K1962" s="16">
        <f t="shared" si="74"/>
        <v>-1.349613626678909E-2</v>
      </c>
      <c r="L1962" s="16">
        <f t="shared" si="75"/>
        <v>-3.495514947465219E-3</v>
      </c>
    </row>
    <row r="1963" spans="1:12" x14ac:dyDescent="0.35">
      <c r="A1963" s="18">
        <v>45103</v>
      </c>
      <c r="B1963" s="15">
        <v>420.25421142578119</v>
      </c>
      <c r="C1963" s="15">
        <v>67.196968078613281</v>
      </c>
      <c r="D1963" s="15">
        <v>178.50999450683591</v>
      </c>
      <c r="E1963" s="15">
        <v>353.23489379882813</v>
      </c>
      <c r="F1963" s="15">
        <v>208.316162109375</v>
      </c>
      <c r="H1963" s="16">
        <f t="shared" si="74"/>
        <v>1.0903610074732763E-2</v>
      </c>
      <c r="I1963" s="16">
        <f t="shared" si="74"/>
        <v>-1.9226793140230817E-3</v>
      </c>
      <c r="J1963" s="16">
        <f t="shared" si="74"/>
        <v>-4.6041185904784915E-3</v>
      </c>
      <c r="K1963" s="16">
        <f t="shared" si="74"/>
        <v>1.7048014966779299E-2</v>
      </c>
      <c r="L1963" s="16">
        <f t="shared" si="75"/>
        <v>1.2111783501725598E-2</v>
      </c>
    </row>
    <row r="1964" spans="1:12" x14ac:dyDescent="0.35">
      <c r="A1964" s="18">
        <v>45104</v>
      </c>
      <c r="B1964" s="15">
        <v>424.861572265625</v>
      </c>
      <c r="C1964" s="15">
        <v>67.067893981933594</v>
      </c>
      <c r="D1964" s="15">
        <v>177.69000244140619</v>
      </c>
      <c r="E1964" s="15">
        <v>359.3084716796875</v>
      </c>
      <c r="F1964" s="15">
        <v>210.8545837402344</v>
      </c>
      <c r="H1964" s="16">
        <f t="shared" si="74"/>
        <v>5.0425932147593762E-4</v>
      </c>
      <c r="I1964" s="16">
        <f t="shared" si="74"/>
        <v>3.1563008265517471E-3</v>
      </c>
      <c r="J1964" s="16">
        <f t="shared" si="74"/>
        <v>-2.3100760234932502E-3</v>
      </c>
      <c r="K1964" s="16">
        <f t="shared" si="74"/>
        <v>1.9495466115212864E-3</v>
      </c>
      <c r="L1964" s="16">
        <f t="shared" si="75"/>
        <v>8.2991533630784092E-4</v>
      </c>
    </row>
    <row r="1965" spans="1:12" x14ac:dyDescent="0.35">
      <c r="A1965" s="18">
        <v>45105</v>
      </c>
      <c r="B1965" s="15">
        <v>425.07586669921881</v>
      </c>
      <c r="C1965" s="15">
        <v>67.279914855957031</v>
      </c>
      <c r="D1965" s="15">
        <v>177.2799987792969</v>
      </c>
      <c r="E1965" s="15">
        <v>360.0096435546875</v>
      </c>
      <c r="F1965" s="15">
        <v>211.02964782714841</v>
      </c>
      <c r="H1965" s="16">
        <f t="shared" si="74"/>
        <v>3.9336307721843629E-3</v>
      </c>
      <c r="I1965" s="16">
        <f t="shared" si="74"/>
        <v>-7.5633606574319499E-3</v>
      </c>
      <c r="J1965" s="16">
        <f t="shared" si="74"/>
        <v>-1.0723394318452538E-3</v>
      </c>
      <c r="K1965" s="16">
        <f t="shared" si="74"/>
        <v>-2.0045005498150318E-3</v>
      </c>
      <c r="L1965" s="16">
        <f t="shared" si="75"/>
        <v>4.7815949842656066E-3</v>
      </c>
    </row>
    <row r="1966" spans="1:12" x14ac:dyDescent="0.35">
      <c r="A1966" s="18">
        <v>45106</v>
      </c>
      <c r="B1966" s="15">
        <v>426.75125122070313</v>
      </c>
      <c r="C1966" s="15">
        <v>66.772972106933594</v>
      </c>
      <c r="D1966" s="15">
        <v>177.0899963378906</v>
      </c>
      <c r="E1966" s="15">
        <v>359.28872680664063</v>
      </c>
      <c r="F1966" s="15">
        <v>212.04112243652341</v>
      </c>
      <c r="H1966" s="16">
        <f t="shared" si="74"/>
        <v>1.173165346775277E-2</v>
      </c>
      <c r="I1966" s="16">
        <f t="shared" si="74"/>
        <v>3.4450153286195253E-3</v>
      </c>
      <c r="J1966" s="16">
        <f t="shared" si="74"/>
        <v>6.6412216886671373E-3</v>
      </c>
      <c r="K1966" s="16">
        <f t="shared" si="74"/>
        <v>1.5302376249010558E-2</v>
      </c>
      <c r="L1966" s="16">
        <f t="shared" si="75"/>
        <v>1.0312618252278657E-2</v>
      </c>
    </row>
    <row r="1967" spans="1:12" x14ac:dyDescent="0.35">
      <c r="A1967" s="18">
        <v>45107</v>
      </c>
      <c r="B1967" s="15">
        <v>431.7872314453125</v>
      </c>
      <c r="C1967" s="15">
        <v>67.003402709960938</v>
      </c>
      <c r="D1967" s="15">
        <v>178.27000427246091</v>
      </c>
      <c r="E1967" s="15">
        <v>364.8289794921875</v>
      </c>
      <c r="F1967" s="15">
        <v>214.2391357421875</v>
      </c>
      <c r="H1967" s="16">
        <f t="shared" si="74"/>
        <v>1.1498952294153998E-3</v>
      </c>
      <c r="I1967" s="16">
        <f t="shared" si="74"/>
        <v>-2.8452226851404558E-3</v>
      </c>
      <c r="J1967" s="16">
        <f t="shared" si="74"/>
        <v>1.1212477777403521E-3</v>
      </c>
      <c r="K1967" s="16">
        <f t="shared" si="74"/>
        <v>2.3523685142781479E-3</v>
      </c>
      <c r="L1967" s="16">
        <f t="shared" si="75"/>
        <v>2.9917363463138318E-3</v>
      </c>
    </row>
    <row r="1968" spans="1:12" x14ac:dyDescent="0.35">
      <c r="A1968" s="18">
        <v>45110</v>
      </c>
      <c r="B1968" s="15">
        <v>432.28402709960938</v>
      </c>
      <c r="C1968" s="15">
        <v>66.813034057617188</v>
      </c>
      <c r="D1968" s="15">
        <v>178.4700012207031</v>
      </c>
      <c r="E1968" s="15">
        <v>365.68820190429688</v>
      </c>
      <c r="F1968" s="15">
        <v>214.88104248046881</v>
      </c>
      <c r="H1968" s="16">
        <f t="shared" si="74"/>
        <v>-1.4882849605545913E-3</v>
      </c>
      <c r="I1968" s="16">
        <f t="shared" si="74"/>
        <v>-4.1579620936172948E-3</v>
      </c>
      <c r="J1968" s="16">
        <f t="shared" si="74"/>
        <v>-3.5362776439635509E-3</v>
      </c>
      <c r="K1968" s="16">
        <f t="shared" si="74"/>
        <v>-2.7122415605923891E-5</v>
      </c>
      <c r="L1968" s="16">
        <f t="shared" si="75"/>
        <v>-3.0369640781005218E-3</v>
      </c>
    </row>
    <row r="1969" spans="1:12" x14ac:dyDescent="0.35">
      <c r="A1969" s="18">
        <v>45112</v>
      </c>
      <c r="B1969" s="15">
        <v>431.64114379882813</v>
      </c>
      <c r="C1969" s="15">
        <v>66.535804748535156</v>
      </c>
      <c r="D1969" s="15">
        <v>177.8399963378906</v>
      </c>
      <c r="E1969" s="15">
        <v>365.67828369140619</v>
      </c>
      <c r="F1969" s="15">
        <v>214.22944641113281</v>
      </c>
      <c r="H1969" s="16">
        <f t="shared" si="74"/>
        <v>-7.8615527235588786E-3</v>
      </c>
      <c r="I1969" s="16">
        <f t="shared" si="74"/>
        <v>-6.4095722988262611E-3</v>
      </c>
      <c r="J1969" s="16">
        <f t="shared" si="74"/>
        <v>-2.9846497640256238E-3</v>
      </c>
      <c r="K1969" s="16">
        <f t="shared" si="74"/>
        <v>-7.6448916252506854E-3</v>
      </c>
      <c r="L1969" s="16">
        <f t="shared" si="75"/>
        <v>-8.9381387134185968E-3</v>
      </c>
    </row>
    <row r="1970" spans="1:12" x14ac:dyDescent="0.35">
      <c r="A1970" s="18">
        <v>45113</v>
      </c>
      <c r="B1970" s="15">
        <v>428.26107788085938</v>
      </c>
      <c r="C1970" s="15">
        <v>66.110702514648438</v>
      </c>
      <c r="D1970" s="15">
        <v>177.30999755859381</v>
      </c>
      <c r="E1970" s="15">
        <v>362.89337158203119</v>
      </c>
      <c r="F1970" s="15">
        <v>212.32316589355469</v>
      </c>
      <c r="H1970" s="16">
        <f t="shared" si="74"/>
        <v>-2.5279089322132998E-3</v>
      </c>
      <c r="I1970" s="16">
        <f t="shared" si="74"/>
        <v>-5.5905451868092928E-4</v>
      </c>
      <c r="J1970" s="16">
        <f t="shared" si="74"/>
        <v>7.4730048154883558E-3</v>
      </c>
      <c r="K1970" s="16">
        <f t="shared" si="74"/>
        <v>-3.3256851928985709E-3</v>
      </c>
      <c r="L1970" s="16">
        <f t="shared" si="75"/>
        <v>-1.2375051525507299E-3</v>
      </c>
    </row>
    <row r="1971" spans="1:12" x14ac:dyDescent="0.35">
      <c r="A1971" s="18">
        <v>45114</v>
      </c>
      <c r="B1971" s="15">
        <v>427.17984008789063</v>
      </c>
      <c r="C1971" s="15">
        <v>66.073753356933594</v>
      </c>
      <c r="D1971" s="15">
        <v>178.63999938964841</v>
      </c>
      <c r="E1971" s="15">
        <v>361.68850708007813</v>
      </c>
      <c r="F1971" s="15">
        <v>212.0605773925781</v>
      </c>
      <c r="H1971" s="16">
        <f t="shared" si="74"/>
        <v>2.5279089322132985E-3</v>
      </c>
      <c r="I1971" s="16">
        <f t="shared" si="74"/>
        <v>3.4902685508997632E-3</v>
      </c>
      <c r="J1971" s="16">
        <f t="shared" si="74"/>
        <v>7.8338871649863103E-4</v>
      </c>
      <c r="K1971" s="16">
        <f t="shared" si="74"/>
        <v>3.2757565082218448E-4</v>
      </c>
      <c r="L1971" s="16">
        <f t="shared" si="75"/>
        <v>4.3476180080074325E-3</v>
      </c>
    </row>
    <row r="1972" spans="1:12" x14ac:dyDescent="0.35">
      <c r="A1972" s="18">
        <v>45117</v>
      </c>
      <c r="B1972" s="15">
        <v>428.26107788085938</v>
      </c>
      <c r="C1972" s="15">
        <v>66.304771423339844</v>
      </c>
      <c r="D1972" s="15">
        <v>178.7799987792969</v>
      </c>
      <c r="E1972" s="15">
        <v>361.8070068359375</v>
      </c>
      <c r="F1972" s="15">
        <v>212.98454284667969</v>
      </c>
      <c r="H1972" s="16">
        <f t="shared" si="74"/>
        <v>6.3483202498859732E-3</v>
      </c>
      <c r="I1972" s="16">
        <f t="shared" si="74"/>
        <v>2.0884435346947483E-3</v>
      </c>
      <c r="J1972" s="16">
        <f t="shared" si="74"/>
        <v>3.7406077556984317E-3</v>
      </c>
      <c r="K1972" s="16">
        <f t="shared" si="74"/>
        <v>4.9284158230304929E-3</v>
      </c>
      <c r="L1972" s="16">
        <f t="shared" si="75"/>
        <v>7.8234352228777632E-3</v>
      </c>
    </row>
    <row r="1973" spans="1:12" x14ac:dyDescent="0.35">
      <c r="A1973" s="18">
        <v>45118</v>
      </c>
      <c r="B1973" s="15">
        <v>430.98846435546881</v>
      </c>
      <c r="C1973" s="15">
        <v>66.443389892578125</v>
      </c>
      <c r="D1973" s="15">
        <v>179.44999694824219</v>
      </c>
      <c r="E1973" s="15">
        <v>363.59454345703119</v>
      </c>
      <c r="F1973" s="15">
        <v>214.6573486328125</v>
      </c>
      <c r="H1973" s="16">
        <f t="shared" si="74"/>
        <v>8.0136152080334117E-3</v>
      </c>
      <c r="I1973" s="16">
        <f t="shared" si="74"/>
        <v>7.8962936024706658E-3</v>
      </c>
      <c r="J1973" s="16">
        <f t="shared" si="74"/>
        <v>1.3450555215707776E-2</v>
      </c>
      <c r="K1973" s="16">
        <f t="shared" si="74"/>
        <v>1.2550974819790532E-2</v>
      </c>
      <c r="L1973" s="16">
        <f t="shared" si="75"/>
        <v>7.6280440383072112E-3</v>
      </c>
    </row>
    <row r="1974" spans="1:12" x14ac:dyDescent="0.35">
      <c r="A1974" s="18">
        <v>45119</v>
      </c>
      <c r="B1974" s="15">
        <v>434.45611572265619</v>
      </c>
      <c r="C1974" s="15">
        <v>66.970123291015625</v>
      </c>
      <c r="D1974" s="15">
        <v>181.8800048828125</v>
      </c>
      <c r="E1974" s="15">
        <v>368.186767578125</v>
      </c>
      <c r="F1974" s="15">
        <v>216.301025390625</v>
      </c>
      <c r="H1974" s="16">
        <f t="shared" si="74"/>
        <v>7.905655169463302E-3</v>
      </c>
      <c r="I1974" s="16">
        <f t="shared" si="74"/>
        <v>6.0533614325210044E-3</v>
      </c>
      <c r="J1974" s="16">
        <f t="shared" si="74"/>
        <v>7.1444463860328587E-4</v>
      </c>
      <c r="K1974" s="16">
        <f t="shared" si="74"/>
        <v>1.6836118373078676E-2</v>
      </c>
      <c r="L1974" s="16">
        <f t="shared" si="75"/>
        <v>8.41764587110597E-3</v>
      </c>
    </row>
    <row r="1975" spans="1:12" x14ac:dyDescent="0.35">
      <c r="A1975" s="18">
        <v>45120</v>
      </c>
      <c r="B1975" s="15">
        <v>437.90438842773438</v>
      </c>
      <c r="C1975" s="15">
        <v>67.376747131347656</v>
      </c>
      <c r="D1975" s="15">
        <v>182.00999450683591</v>
      </c>
      <c r="E1975" s="15">
        <v>374.43807983398438</v>
      </c>
      <c r="F1975" s="15">
        <v>218.12945556640619</v>
      </c>
      <c r="H1975" s="16">
        <f t="shared" si="74"/>
        <v>-6.2301399753350432E-4</v>
      </c>
      <c r="I1975" s="16">
        <f t="shared" si="74"/>
        <v>-4.6744848889643115E-3</v>
      </c>
      <c r="J1975" s="16">
        <f t="shared" si="74"/>
        <v>-3.1917364290748448E-3</v>
      </c>
      <c r="K1975" s="16">
        <f t="shared" si="74"/>
        <v>-2.1103181307470455E-4</v>
      </c>
      <c r="L1975" s="16">
        <f t="shared" si="75"/>
        <v>-1.4726130701829471E-3</v>
      </c>
    </row>
    <row r="1976" spans="1:12" x14ac:dyDescent="0.35">
      <c r="A1976" s="18">
        <v>45121</v>
      </c>
      <c r="B1976" s="15">
        <v>437.63165283203119</v>
      </c>
      <c r="C1976" s="15">
        <v>67.062530517578125</v>
      </c>
      <c r="D1976" s="15">
        <v>181.42999267578119</v>
      </c>
      <c r="E1976" s="15">
        <v>374.35906982421881</v>
      </c>
      <c r="F1976" s="15">
        <v>217.8084716796875</v>
      </c>
      <c r="H1976" s="16">
        <f t="shared" si="74"/>
        <v>3.4661553747593957E-3</v>
      </c>
      <c r="I1976" s="16">
        <f t="shared" si="74"/>
        <v>1.1020066685319798E-3</v>
      </c>
      <c r="J1976" s="16">
        <f t="shared" si="74"/>
        <v>7.163001287573377E-4</v>
      </c>
      <c r="K1976" s="16">
        <f t="shared" si="74"/>
        <v>9.295217407675074E-3</v>
      </c>
      <c r="L1976" s="16">
        <f t="shared" si="75"/>
        <v>3.7884485322481972E-3</v>
      </c>
    </row>
    <row r="1977" spans="1:12" x14ac:dyDescent="0.35">
      <c r="A1977" s="18">
        <v>45124</v>
      </c>
      <c r="B1977" s="15">
        <v>439.15118408203119</v>
      </c>
      <c r="C1977" s="15">
        <v>67.136474609375</v>
      </c>
      <c r="D1977" s="15">
        <v>181.55999755859381</v>
      </c>
      <c r="E1977" s="15">
        <v>377.85504150390619</v>
      </c>
      <c r="F1977" s="15">
        <v>218.63519287109381</v>
      </c>
      <c r="H1977" s="16">
        <f t="shared" si="74"/>
        <v>7.4031896801413167E-3</v>
      </c>
      <c r="I1977" s="16">
        <f t="shared" si="74"/>
        <v>1.2377968753403432E-3</v>
      </c>
      <c r="J1977" s="16">
        <f t="shared" si="74"/>
        <v>1.1391151915954108E-2</v>
      </c>
      <c r="K1977" s="16">
        <f t="shared" si="74"/>
        <v>8.1474371756825245E-3</v>
      </c>
      <c r="L1977" s="16">
        <f t="shared" si="75"/>
        <v>7.9310711178615899E-3</v>
      </c>
    </row>
    <row r="1978" spans="1:12" x14ac:dyDescent="0.35">
      <c r="A1978" s="18">
        <v>45125</v>
      </c>
      <c r="B1978" s="15">
        <v>442.41436767578119</v>
      </c>
      <c r="C1978" s="15">
        <v>67.219627380371094</v>
      </c>
      <c r="D1978" s="15">
        <v>183.63999938964841</v>
      </c>
      <c r="E1978" s="15">
        <v>380.9461669921875</v>
      </c>
      <c r="F1978" s="15">
        <v>220.3760986328125</v>
      </c>
      <c r="H1978" s="16">
        <f t="shared" si="74"/>
        <v>2.2212274868870247E-3</v>
      </c>
      <c r="I1978" s="16">
        <f t="shared" si="74"/>
        <v>2.334681345091974E-3</v>
      </c>
      <c r="J1978" s="16">
        <f t="shared" si="74"/>
        <v>1.6334311378951724E-4</v>
      </c>
      <c r="K1978" s="16">
        <f t="shared" si="74"/>
        <v>-2.3322725778428033E-4</v>
      </c>
      <c r="L1978" s="16">
        <f t="shared" si="75"/>
        <v>2.600584591515001E-3</v>
      </c>
    </row>
    <row r="1979" spans="1:12" x14ac:dyDescent="0.35">
      <c r="A1979" s="18">
        <v>45126</v>
      </c>
      <c r="B1979" s="15">
        <v>443.39816284179688</v>
      </c>
      <c r="C1979" s="15">
        <v>67.376747131347656</v>
      </c>
      <c r="D1979" s="15">
        <v>183.66999816894531</v>
      </c>
      <c r="E1979" s="15">
        <v>380.85733032226563</v>
      </c>
      <c r="F1979" s="15">
        <v>220.949951171875</v>
      </c>
      <c r="H1979" s="16">
        <f t="shared" si="74"/>
        <v>-6.6565750533774922E-3</v>
      </c>
      <c r="I1979" s="16">
        <f t="shared" si="74"/>
        <v>-4.6744848889643115E-3</v>
      </c>
      <c r="J1979" s="16">
        <f t="shared" si="74"/>
        <v>-5.0762515407074132E-3</v>
      </c>
      <c r="K1979" s="16">
        <f t="shared" si="74"/>
        <v>-2.3321818431038463E-2</v>
      </c>
      <c r="L1979" s="16">
        <f t="shared" si="75"/>
        <v>-7.2452254620144771E-3</v>
      </c>
    </row>
    <row r="1980" spans="1:12" x14ac:dyDescent="0.35">
      <c r="A1980" s="18">
        <v>45127</v>
      </c>
      <c r="B1980" s="15">
        <v>440.45645141601563</v>
      </c>
      <c r="C1980" s="15">
        <v>67.062530517578125</v>
      </c>
      <c r="D1980" s="15">
        <v>182.74000549316409</v>
      </c>
      <c r="E1980" s="15">
        <v>372.07781982421881</v>
      </c>
      <c r="F1980" s="15">
        <v>219.35490417480469</v>
      </c>
      <c r="H1980" s="16">
        <f t="shared" si="74"/>
        <v>0</v>
      </c>
      <c r="I1980" s="16">
        <f t="shared" si="74"/>
        <v>6.8918068700398729E-4</v>
      </c>
      <c r="J1980" s="16">
        <f t="shared" si="74"/>
        <v>-3.0692385170084514E-3</v>
      </c>
      <c r="K1980" s="16">
        <f t="shared" si="74"/>
        <v>-3.0039547111952165E-3</v>
      </c>
      <c r="L1980" s="16">
        <f t="shared" si="75"/>
        <v>-8.8695618296349602E-5</v>
      </c>
    </row>
    <row r="1981" spans="1:12" x14ac:dyDescent="0.35">
      <c r="A1981" s="18">
        <v>45128</v>
      </c>
      <c r="B1981" s="15">
        <v>440.45645141601563</v>
      </c>
      <c r="C1981" s="15">
        <v>67.1087646484375</v>
      </c>
      <c r="D1981" s="15">
        <v>182.17999267578119</v>
      </c>
      <c r="E1981" s="15">
        <v>370.9617919921875</v>
      </c>
      <c r="F1981" s="15">
        <v>219.33544921875</v>
      </c>
      <c r="H1981" s="16">
        <f t="shared" si="74"/>
        <v>4.4573518254538026E-3</v>
      </c>
      <c r="I1981" s="16">
        <f t="shared" si="74"/>
        <v>-1.6539212937480769E-3</v>
      </c>
      <c r="J1981" s="16">
        <f t="shared" si="74"/>
        <v>-4.2906650791514987E-3</v>
      </c>
      <c r="K1981" s="16">
        <f t="shared" si="74"/>
        <v>1.5961684831751917E-3</v>
      </c>
      <c r="L1981" s="16">
        <f t="shared" si="75"/>
        <v>3.5410789333074921E-3</v>
      </c>
    </row>
    <row r="1982" spans="1:12" x14ac:dyDescent="0.35">
      <c r="A1982" s="18">
        <v>45131</v>
      </c>
      <c r="B1982" s="15">
        <v>442.42410278320313</v>
      </c>
      <c r="C1982" s="15">
        <v>66.99786376953125</v>
      </c>
      <c r="D1982" s="15">
        <v>181.3999938964844</v>
      </c>
      <c r="E1982" s="15">
        <v>371.55438232421881</v>
      </c>
      <c r="F1982" s="15">
        <v>220.11351013183591</v>
      </c>
      <c r="H1982" s="16">
        <f t="shared" si="74"/>
        <v>2.7262958862181988E-3</v>
      </c>
      <c r="I1982" s="16">
        <f t="shared" si="74"/>
        <v>-1.104173851318392E-3</v>
      </c>
      <c r="J1982" s="16">
        <f t="shared" si="74"/>
        <v>5.5524167407640206E-3</v>
      </c>
      <c r="K1982" s="16">
        <f t="shared" si="74"/>
        <v>6.7548236682941068E-3</v>
      </c>
      <c r="L1982" s="16">
        <f t="shared" si="75"/>
        <v>2.5153154558695909E-3</v>
      </c>
    </row>
    <row r="1983" spans="1:12" x14ac:dyDescent="0.35">
      <c r="A1983" s="18">
        <v>45132</v>
      </c>
      <c r="B1983" s="15">
        <v>443.63192749023438</v>
      </c>
      <c r="C1983" s="15">
        <v>66.923927307128906</v>
      </c>
      <c r="D1983" s="15">
        <v>182.4100036621094</v>
      </c>
      <c r="E1983" s="15">
        <v>374.07266235351563</v>
      </c>
      <c r="F1983" s="15">
        <v>220.66786193847659</v>
      </c>
      <c r="H1983" s="16">
        <f t="shared" si="74"/>
        <v>1.5366574690057588E-4</v>
      </c>
      <c r="I1983" s="16">
        <f t="shared" si="74"/>
        <v>3.3084161738646226E-3</v>
      </c>
      <c r="J1983" s="16">
        <f t="shared" si="74"/>
        <v>4.8672507195615744E-3</v>
      </c>
      <c r="K1983" s="16">
        <f t="shared" si="74"/>
        <v>-3.3320492235382909E-3</v>
      </c>
      <c r="L1983" s="16">
        <f t="shared" si="75"/>
        <v>7.4900949489030237E-4</v>
      </c>
    </row>
    <row r="1984" spans="1:12" x14ac:dyDescent="0.35">
      <c r="A1984" s="18">
        <v>45133</v>
      </c>
      <c r="B1984" s="15">
        <v>443.70010375976563</v>
      </c>
      <c r="C1984" s="15">
        <v>67.145706176757813</v>
      </c>
      <c r="D1984" s="15">
        <v>183.30000305175781</v>
      </c>
      <c r="E1984" s="15">
        <v>372.82830810546881</v>
      </c>
      <c r="F1984" s="15">
        <v>220.83320617675781</v>
      </c>
      <c r="H1984" s="16">
        <f t="shared" si="74"/>
        <v>-6.6519608704929444E-3</v>
      </c>
      <c r="I1984" s="16">
        <f t="shared" si="74"/>
        <v>-8.5694692308631703E-3</v>
      </c>
      <c r="J1984" s="16">
        <f t="shared" si="74"/>
        <v>-1.5836715414990758E-2</v>
      </c>
      <c r="K1984" s="16">
        <f t="shared" si="74"/>
        <v>-2.386768978656988E-3</v>
      </c>
      <c r="L1984" s="16">
        <f t="shared" si="75"/>
        <v>-7.7369394342733334E-3</v>
      </c>
    </row>
    <row r="1985" spans="1:12" x14ac:dyDescent="0.35">
      <c r="A1985" s="18">
        <v>45134</v>
      </c>
      <c r="B1985" s="15">
        <v>440.7584228515625</v>
      </c>
      <c r="C1985" s="15">
        <v>66.572761535644531</v>
      </c>
      <c r="D1985" s="15">
        <v>180.41999816894531</v>
      </c>
      <c r="E1985" s="15">
        <v>371.93951416015619</v>
      </c>
      <c r="F1985" s="15">
        <v>219.1312255859375</v>
      </c>
      <c r="H1985" s="16">
        <f t="shared" si="74"/>
        <v>9.7426806854778083E-3</v>
      </c>
      <c r="I1985" s="16">
        <f t="shared" si="74"/>
        <v>3.4642660795158654E-3</v>
      </c>
      <c r="J1985" s="16">
        <f t="shared" si="74"/>
        <v>7.9497075742812635E-3</v>
      </c>
      <c r="K1985" s="16">
        <f t="shared" si="74"/>
        <v>1.8050835547896601E-2</v>
      </c>
      <c r="L1985" s="16">
        <f t="shared" si="75"/>
        <v>1.0376047389230279E-2</v>
      </c>
    </row>
    <row r="1986" spans="1:12" x14ac:dyDescent="0.35">
      <c r="A1986" s="18">
        <v>45135</v>
      </c>
      <c r="B1986" s="15">
        <v>445.07357788085938</v>
      </c>
      <c r="C1986" s="15">
        <v>66.803787231445313</v>
      </c>
      <c r="D1986" s="15">
        <v>181.86000061035159</v>
      </c>
      <c r="E1986" s="15">
        <v>378.71429443359381</v>
      </c>
      <c r="F1986" s="15">
        <v>221.4167785644531</v>
      </c>
      <c r="H1986" s="16">
        <f t="shared" si="74"/>
        <v>1.9023086618146995E-3</v>
      </c>
      <c r="I1986" s="16">
        <f t="shared" si="74"/>
        <v>1.7967869774827025E-3</v>
      </c>
      <c r="J1986" s="16">
        <f t="shared" si="74"/>
        <v>2.6907870721918719E-3</v>
      </c>
      <c r="K1986" s="16">
        <f t="shared" si="74"/>
        <v>5.213106064589759E-4</v>
      </c>
      <c r="L1986" s="16">
        <f t="shared" si="75"/>
        <v>3.0261997773294172E-3</v>
      </c>
    </row>
    <row r="1987" spans="1:12" x14ac:dyDescent="0.35">
      <c r="A1987" s="18">
        <v>45138</v>
      </c>
      <c r="B1987" s="15">
        <v>445.92105102539063</v>
      </c>
      <c r="C1987" s="15">
        <v>66.923927307128906</v>
      </c>
      <c r="D1987" s="15">
        <v>182.3500061035156</v>
      </c>
      <c r="E1987" s="15">
        <v>378.91177368164063</v>
      </c>
      <c r="F1987" s="15">
        <v>222.08784484863281</v>
      </c>
      <c r="H1987" s="16">
        <f t="shared" si="74"/>
        <v>-2.8657344377527589E-3</v>
      </c>
      <c r="I1987" s="16">
        <f t="shared" si="74"/>
        <v>-6.208460876140515E-3</v>
      </c>
      <c r="J1987" s="16">
        <f t="shared" si="74"/>
        <v>-1.0418766955581723E-2</v>
      </c>
      <c r="K1987" s="16">
        <f t="shared" si="74"/>
        <v>-2.3222481466819689E-3</v>
      </c>
      <c r="L1987" s="16">
        <f t="shared" si="75"/>
        <v>-2.7188890879403676E-3</v>
      </c>
    </row>
    <row r="1988" spans="1:12" x14ac:dyDescent="0.35">
      <c r="A1988" s="18">
        <v>45139</v>
      </c>
      <c r="B1988" s="15">
        <v>444.64498901367188</v>
      </c>
      <c r="C1988" s="15">
        <v>66.509719848632813</v>
      </c>
      <c r="D1988" s="15">
        <v>180.46000671386719</v>
      </c>
      <c r="E1988" s="15">
        <v>378.03286743164063</v>
      </c>
      <c r="F1988" s="15">
        <v>221.4848327636719</v>
      </c>
      <c r="H1988" s="16">
        <f t="shared" si="74"/>
        <v>-1.4008453401747396E-2</v>
      </c>
      <c r="I1988" s="16">
        <f t="shared" si="74"/>
        <v>-3.208790659105067E-3</v>
      </c>
      <c r="J1988" s="16">
        <f t="shared" si="74"/>
        <v>-4.7769939185002752E-3</v>
      </c>
      <c r="K1988" s="16">
        <f t="shared" si="74"/>
        <v>-2.2188459108657913E-2</v>
      </c>
      <c r="L1988" s="16">
        <f t="shared" si="75"/>
        <v>-1.4284923850675507E-2</v>
      </c>
    </row>
    <row r="1989" spans="1:12" x14ac:dyDescent="0.35">
      <c r="A1989" s="18">
        <v>45140</v>
      </c>
      <c r="B1989" s="15">
        <v>438.45962524414063</v>
      </c>
      <c r="C1989" s="15">
        <v>66.296646118164063</v>
      </c>
      <c r="D1989" s="15">
        <v>179.6000061035156</v>
      </c>
      <c r="E1989" s="15">
        <v>369.73727416992188</v>
      </c>
      <c r="F1989" s="15">
        <v>218.34342956542969</v>
      </c>
      <c r="H1989" s="16">
        <f t="shared" si="74"/>
        <v>-2.869898639839971E-3</v>
      </c>
      <c r="I1989" s="16">
        <f t="shared" si="74"/>
        <v>-6.1689603018008467E-3</v>
      </c>
      <c r="J1989" s="16">
        <f t="shared" si="74"/>
        <v>-3.3420291832345495E-4</v>
      </c>
      <c r="K1989" s="16">
        <f t="shared" si="74"/>
        <v>-1.6039366250386186E-3</v>
      </c>
      <c r="L1989" s="16">
        <f t="shared" si="75"/>
        <v>-2.8995082125152921E-3</v>
      </c>
    </row>
    <row r="1990" spans="1:12" x14ac:dyDescent="0.35">
      <c r="A1990" s="18">
        <v>45141</v>
      </c>
      <c r="B1990" s="15">
        <v>437.20309448242188</v>
      </c>
      <c r="C1990" s="15">
        <v>65.888923645019531</v>
      </c>
      <c r="D1990" s="15">
        <v>179.53999328613281</v>
      </c>
      <c r="E1990" s="15">
        <v>369.14471435546881</v>
      </c>
      <c r="F1990" s="15">
        <v>217.71125793457031</v>
      </c>
      <c r="H1990" s="16">
        <f t="shared" si="74"/>
        <v>-4.5331388462448467E-3</v>
      </c>
      <c r="I1990" s="16">
        <f t="shared" si="74"/>
        <v>8.2629421330461337E-3</v>
      </c>
      <c r="J1990" s="16">
        <f t="shared" si="74"/>
        <v>3.6138763540737844E-3</v>
      </c>
      <c r="K1990" s="16">
        <f t="shared" si="74"/>
        <v>-4.6929035790689161E-3</v>
      </c>
      <c r="L1990" s="16">
        <f t="shared" si="75"/>
        <v>-4.2530261422517764E-3</v>
      </c>
    </row>
    <row r="1991" spans="1:12" x14ac:dyDescent="0.35">
      <c r="A1991" s="18">
        <v>45142</v>
      </c>
      <c r="B1991" s="15">
        <v>435.22567749023438</v>
      </c>
      <c r="C1991" s="15">
        <v>66.435615539550781</v>
      </c>
      <c r="D1991" s="15">
        <v>180.19000244140619</v>
      </c>
      <c r="E1991" s="15">
        <v>367.41641235351563</v>
      </c>
      <c r="F1991" s="15">
        <v>216.78729248046881</v>
      </c>
      <c r="H1991" s="16">
        <f t="shared" si="74"/>
        <v>8.6907461136986261E-3</v>
      </c>
      <c r="I1991" s="16">
        <f t="shared" si="74"/>
        <v>-1.5354261737383224E-3</v>
      </c>
      <c r="J1991" s="16">
        <f t="shared" si="74"/>
        <v>-2.277988932518299E-3</v>
      </c>
      <c r="K1991" s="16">
        <f t="shared" si="74"/>
        <v>8.4312361777931586E-3</v>
      </c>
      <c r="L1991" s="16">
        <f t="shared" si="75"/>
        <v>7.6424434051131024E-3</v>
      </c>
    </row>
    <row r="1992" spans="1:12" x14ac:dyDescent="0.35">
      <c r="A1992" s="18">
        <v>45145</v>
      </c>
      <c r="B1992" s="15">
        <v>439.02459716796881</v>
      </c>
      <c r="C1992" s="15">
        <v>66.333686828613281</v>
      </c>
      <c r="D1992" s="15">
        <v>179.7799987792969</v>
      </c>
      <c r="E1992" s="15">
        <v>370.52728271484381</v>
      </c>
      <c r="F1992" s="15">
        <v>218.45042419433591</v>
      </c>
      <c r="H1992" s="16">
        <f t="shared" si="74"/>
        <v>-4.358237865312066E-3</v>
      </c>
      <c r="I1992" s="16">
        <f t="shared" si="74"/>
        <v>3.6253762034603558E-3</v>
      </c>
      <c r="J1992" s="16">
        <f t="shared" si="74"/>
        <v>-6.3612702400250073E-3</v>
      </c>
      <c r="K1992" s="16">
        <f t="shared" si="74"/>
        <v>-8.53872149169819E-3</v>
      </c>
      <c r="L1992" s="16">
        <f t="shared" si="75"/>
        <v>-4.6409776686670047E-3</v>
      </c>
    </row>
    <row r="1993" spans="1:12" x14ac:dyDescent="0.35">
      <c r="A1993" s="18">
        <v>45146</v>
      </c>
      <c r="B1993" s="15">
        <v>437.11538696289063</v>
      </c>
      <c r="C1993" s="15">
        <v>66.574607849121094</v>
      </c>
      <c r="D1993" s="15">
        <v>178.63999938964841</v>
      </c>
      <c r="E1993" s="15">
        <v>367.37692260742188</v>
      </c>
      <c r="F1993" s="15">
        <v>217.43894958496091</v>
      </c>
      <c r="H1993" s="16">
        <f t="shared" si="74"/>
        <v>-6.7076619539458582E-3</v>
      </c>
      <c r="I1993" s="16">
        <f t="shared" si="74"/>
        <v>2.7809350411518231E-4</v>
      </c>
      <c r="J1993" s="16">
        <f t="shared" si="74"/>
        <v>-4.7695633496726269E-3</v>
      </c>
      <c r="K1993" s="16">
        <f t="shared" si="74"/>
        <v>-1.1055296593836382E-2</v>
      </c>
      <c r="L1993" s="16">
        <f t="shared" si="75"/>
        <v>-7.1823231464760084E-3</v>
      </c>
    </row>
    <row r="1994" spans="1:12" x14ac:dyDescent="0.35">
      <c r="A1994" s="18">
        <v>45147</v>
      </c>
      <c r="B1994" s="15">
        <v>434.19317626953119</v>
      </c>
      <c r="C1994" s="15">
        <v>66.593124389648438</v>
      </c>
      <c r="D1994" s="15">
        <v>177.78999328613281</v>
      </c>
      <c r="E1994" s="15">
        <v>363.33782958984381</v>
      </c>
      <c r="F1994" s="15">
        <v>215.88282775878909</v>
      </c>
      <c r="H1994" s="16">
        <f t="shared" si="74"/>
        <v>3.5888474299700947E-4</v>
      </c>
      <c r="I1994" s="16">
        <f t="shared" si="74"/>
        <v>-5.5811103815444447E-3</v>
      </c>
      <c r="J1994" s="16">
        <f t="shared" si="74"/>
        <v>-1.0691758408619008E-3</v>
      </c>
      <c r="K1994" s="16">
        <f t="shared" si="74"/>
        <v>1.8463768609831006E-3</v>
      </c>
      <c r="L1994" s="16">
        <f t="shared" si="75"/>
        <v>1.8007867677527351E-4</v>
      </c>
    </row>
    <row r="1995" spans="1:12" x14ac:dyDescent="0.35">
      <c r="A1995" s="18">
        <v>45148</v>
      </c>
      <c r="B1995" s="15">
        <v>434.34902954101563</v>
      </c>
      <c r="C1995" s="15">
        <v>66.222496032714844</v>
      </c>
      <c r="D1995" s="15">
        <v>177.6000061035156</v>
      </c>
      <c r="E1995" s="15">
        <v>364.00930786132813</v>
      </c>
      <c r="F1995" s="15">
        <v>215.92170715332031</v>
      </c>
      <c r="H1995" s="16">
        <f t="shared" si="74"/>
        <v>-5.8326191803165857E-4</v>
      </c>
      <c r="I1995" s="16">
        <f t="shared" si="74"/>
        <v>-3.2234239332221814E-3</v>
      </c>
      <c r="J1995" s="16">
        <f t="shared" si="74"/>
        <v>0</v>
      </c>
      <c r="K1995" s="16">
        <f t="shared" si="74"/>
        <v>-6.3960746344105526E-3</v>
      </c>
      <c r="L1995" s="16">
        <f t="shared" si="75"/>
        <v>-9.4634091841867818E-4</v>
      </c>
    </row>
    <row r="1996" spans="1:12" x14ac:dyDescent="0.35">
      <c r="A1996" s="18">
        <v>45149</v>
      </c>
      <c r="B1996" s="15">
        <v>434.09576416015619</v>
      </c>
      <c r="C1996" s="15">
        <v>66.009376525878906</v>
      </c>
      <c r="D1996" s="15">
        <v>177.6000061035156</v>
      </c>
      <c r="E1996" s="15">
        <v>361.68850708007813</v>
      </c>
      <c r="F1996" s="15">
        <v>215.71746826171881</v>
      </c>
      <c r="H1996" s="16">
        <f t="shared" si="74"/>
        <v>5.5048930669563522E-3</v>
      </c>
      <c r="I1996" s="16">
        <f t="shared" si="74"/>
        <v>-1.2640931278505118E-3</v>
      </c>
      <c r="J1996" s="16">
        <f t="shared" si="74"/>
        <v>-3.0452205303892485E-3</v>
      </c>
      <c r="K1996" s="16">
        <f t="shared" si="74"/>
        <v>1.1159750769836054E-2</v>
      </c>
      <c r="L1996" s="16">
        <f t="shared" si="75"/>
        <v>4.9471196516733661E-3</v>
      </c>
    </row>
    <row r="1997" spans="1:12" x14ac:dyDescent="0.35">
      <c r="A1997" s="18">
        <v>45152</v>
      </c>
      <c r="B1997" s="15">
        <v>436.49200439453119</v>
      </c>
      <c r="C1997" s="15">
        <v>65.925987243652344</v>
      </c>
      <c r="D1997" s="15">
        <v>177.05999755859381</v>
      </c>
      <c r="E1997" s="15">
        <v>365.74746704101563</v>
      </c>
      <c r="F1997" s="15">
        <v>216.78729248046881</v>
      </c>
      <c r="H1997" s="16">
        <f t="shared" si="74"/>
        <v>-1.1717147901479718E-2</v>
      </c>
      <c r="I1997" s="16">
        <f t="shared" si="74"/>
        <v>-2.2511008962059157E-3</v>
      </c>
      <c r="J1997" s="16">
        <f t="shared" si="74"/>
        <v>-2.6580037072095799E-3</v>
      </c>
      <c r="K1997" s="16">
        <f t="shared" si="74"/>
        <v>-1.0668385357565618E-2</v>
      </c>
      <c r="L1997" s="16">
        <f t="shared" si="75"/>
        <v>-1.1415353317087026E-2</v>
      </c>
    </row>
    <row r="1998" spans="1:12" x14ac:dyDescent="0.35">
      <c r="A1998" s="18">
        <v>45153</v>
      </c>
      <c r="B1998" s="15">
        <v>431.40740966796881</v>
      </c>
      <c r="C1998" s="15">
        <v>65.777748107910156</v>
      </c>
      <c r="D1998" s="15">
        <v>176.5899963378906</v>
      </c>
      <c r="E1998" s="15">
        <v>361.86627197265619</v>
      </c>
      <c r="F1998" s="15">
        <v>214.32666015625</v>
      </c>
      <c r="H1998" s="16">
        <f t="shared" si="74"/>
        <v>-7.3653694701356475E-3</v>
      </c>
      <c r="I1998" s="16">
        <f t="shared" si="74"/>
        <v>-2.8211954710565764E-3</v>
      </c>
      <c r="J1998" s="16">
        <f t="shared" si="74"/>
        <v>-5.7927751891944787E-3</v>
      </c>
      <c r="K1998" s="16">
        <f t="shared" si="74"/>
        <v>-1.0645335703500271E-2</v>
      </c>
      <c r="L1998" s="16">
        <f t="shared" si="75"/>
        <v>-8.2930189058298253E-3</v>
      </c>
    </row>
    <row r="1999" spans="1:12" x14ac:dyDescent="0.35">
      <c r="A1999" s="18">
        <v>45154</v>
      </c>
      <c r="B1999" s="15">
        <v>428.24160766601563</v>
      </c>
      <c r="C1999" s="15">
        <v>65.592437744140625</v>
      </c>
      <c r="D1999" s="15">
        <v>175.57000732421881</v>
      </c>
      <c r="E1999" s="15">
        <v>358.03451538085938</v>
      </c>
      <c r="F1999" s="15">
        <v>212.55659484863281</v>
      </c>
      <c r="H1999" s="16">
        <f t="shared" si="74"/>
        <v>-7.6492112647378032E-3</v>
      </c>
      <c r="I1999" s="16">
        <f t="shared" si="74"/>
        <v>-9.8986646050150547E-4</v>
      </c>
      <c r="J1999" s="16">
        <f t="shared" si="74"/>
        <v>-1.5390561619565131E-3</v>
      </c>
      <c r="K1999" s="16">
        <f t="shared" si="74"/>
        <v>-1.098305473919382E-2</v>
      </c>
      <c r="L1999" s="16">
        <f t="shared" si="75"/>
        <v>-8.224186058048831E-3</v>
      </c>
    </row>
    <row r="2000" spans="1:12" x14ac:dyDescent="0.35">
      <c r="A2000" s="18">
        <v>45155</v>
      </c>
      <c r="B2000" s="15">
        <v>424.9783935546875</v>
      </c>
      <c r="C2000" s="15">
        <v>65.527542114257813</v>
      </c>
      <c r="D2000" s="15">
        <v>175.30000305175781</v>
      </c>
      <c r="E2000" s="15">
        <v>354.12371826171881</v>
      </c>
      <c r="F2000" s="15">
        <v>210.81565856933591</v>
      </c>
      <c r="H2000" s="16">
        <f t="shared" si="74"/>
        <v>4.8136827543848596E-4</v>
      </c>
      <c r="I2000" s="16">
        <f t="shared" si="74"/>
        <v>2.1191140313553177E-3</v>
      </c>
      <c r="J2000" s="16">
        <f t="shared" si="74"/>
        <v>1.7111358955206591E-4</v>
      </c>
      <c r="K2000" s="16">
        <f t="shared" si="74"/>
        <v>-1.2556218876448855E-3</v>
      </c>
      <c r="L2000" s="16">
        <f t="shared" si="75"/>
        <v>1.1527070266800527E-3</v>
      </c>
    </row>
    <row r="2001" spans="1:12" x14ac:dyDescent="0.35">
      <c r="A2001" s="18">
        <v>45156</v>
      </c>
      <c r="B2001" s="15">
        <v>425.18301391601563</v>
      </c>
      <c r="C2001" s="15">
        <v>65.666549682617188</v>
      </c>
      <c r="D2001" s="15">
        <v>175.33000183105469</v>
      </c>
      <c r="E2001" s="15">
        <v>353.67935180664063</v>
      </c>
      <c r="F2001" s="15">
        <v>211.0588073730469</v>
      </c>
      <c r="H2001" s="16">
        <f t="shared" si="74"/>
        <v>6.4852714167360302E-3</v>
      </c>
      <c r="I2001" s="16">
        <f t="shared" si="74"/>
        <v>-4.8087760595999464E-3</v>
      </c>
      <c r="J2001" s="16">
        <f t="shared" si="74"/>
        <v>2.7339296425677529E-3</v>
      </c>
      <c r="K2001" s="16">
        <f t="shared" si="74"/>
        <v>1.5982827873415421E-2</v>
      </c>
      <c r="L2001" s="16">
        <f t="shared" si="75"/>
        <v>5.7436160915085872E-3</v>
      </c>
    </row>
    <row r="2002" spans="1:12" x14ac:dyDescent="0.35">
      <c r="A2002" s="18">
        <v>45159</v>
      </c>
      <c r="B2002" s="15">
        <v>427.94940185546881</v>
      </c>
      <c r="C2002" s="15">
        <v>65.351531982421875</v>
      </c>
      <c r="D2002" s="15">
        <v>175.80999755859381</v>
      </c>
      <c r="E2002" s="15">
        <v>359.3775634765625</v>
      </c>
      <c r="F2002" s="15">
        <v>212.2745361328125</v>
      </c>
      <c r="H2002" s="16">
        <f t="shared" si="74"/>
        <v>-2.7123590988018505E-3</v>
      </c>
      <c r="I2002" s="16">
        <f t="shared" si="74"/>
        <v>1.2751977205035341E-3</v>
      </c>
      <c r="J2002" s="16">
        <f t="shared" si="74"/>
        <v>1.6481975934522113E-3</v>
      </c>
      <c r="K2002" s="16">
        <f t="shared" si="74"/>
        <v>-1.4297648320805724E-3</v>
      </c>
      <c r="L2002" s="16">
        <f t="shared" si="75"/>
        <v>-2.6608831273591234E-3</v>
      </c>
    </row>
    <row r="2003" spans="1:12" x14ac:dyDescent="0.35">
      <c r="A2003" s="18">
        <v>45160</v>
      </c>
      <c r="B2003" s="15">
        <v>426.79022216796881</v>
      </c>
      <c r="C2003" s="15">
        <v>65.434921264648438</v>
      </c>
      <c r="D2003" s="15">
        <v>176.1000061035156</v>
      </c>
      <c r="E2003" s="15">
        <v>358.86410522460938</v>
      </c>
      <c r="F2003" s="15">
        <v>211.71044921875</v>
      </c>
      <c r="H2003" s="16">
        <f t="shared" si="74"/>
        <v>1.1076102486657063E-2</v>
      </c>
      <c r="I2003" s="16">
        <f t="shared" si="74"/>
        <v>9.0217724589787274E-3</v>
      </c>
      <c r="J2003" s="16">
        <f t="shared" si="74"/>
        <v>1.0113328144583607E-2</v>
      </c>
      <c r="K2003" s="16">
        <f t="shared" ref="K2003:L2066" si="76">LN(E2004/E2003)</f>
        <v>1.5645479282411258E-2</v>
      </c>
      <c r="L2003" s="16">
        <f t="shared" si="75"/>
        <v>1.0874122106015613E-2</v>
      </c>
    </row>
    <row r="2004" spans="1:12" x14ac:dyDescent="0.35">
      <c r="A2004" s="18">
        <v>45161</v>
      </c>
      <c r="B2004" s="15">
        <v>431.54367065429688</v>
      </c>
      <c r="C2004" s="15">
        <v>66.027931213378906</v>
      </c>
      <c r="D2004" s="15">
        <v>177.88999938964841</v>
      </c>
      <c r="E2004" s="15">
        <v>364.52285766601563</v>
      </c>
      <c r="F2004" s="15">
        <v>214.0251770019531</v>
      </c>
      <c r="H2004" s="16">
        <f t="shared" ref="H2004:L2067" si="77">LN(B2005/B2004)</f>
        <v>-1.3955956529505965E-2</v>
      </c>
      <c r="I2004" s="16">
        <f t="shared" si="77"/>
        <v>-2.3889171212354249E-3</v>
      </c>
      <c r="J2004" s="16">
        <f t="shared" si="77"/>
        <v>-2.2484559331952271E-4</v>
      </c>
      <c r="K2004" s="16">
        <f t="shared" si="76"/>
        <v>-2.1607468773762819E-2</v>
      </c>
      <c r="L2004" s="16">
        <f t="shared" si="76"/>
        <v>-1.3496144047734355E-2</v>
      </c>
    </row>
    <row r="2005" spans="1:12" x14ac:dyDescent="0.35">
      <c r="A2005" s="18">
        <v>45162</v>
      </c>
      <c r="B2005" s="15">
        <v>425.56289672851563</v>
      </c>
      <c r="C2005" s="15">
        <v>65.870384216308594</v>
      </c>
      <c r="D2005" s="15">
        <v>177.8500061035156</v>
      </c>
      <c r="E2005" s="15">
        <v>356.73092651367188</v>
      </c>
      <c r="F2005" s="15">
        <v>211.15606689453119</v>
      </c>
      <c r="H2005" s="16">
        <f t="shared" si="77"/>
        <v>7.0251113209888741E-3</v>
      </c>
      <c r="I2005" s="16">
        <f t="shared" si="77"/>
        <v>0</v>
      </c>
      <c r="J2005" s="16">
        <f t="shared" si="77"/>
        <v>-1.2941233726572576E-3</v>
      </c>
      <c r="K2005" s="16">
        <f t="shared" si="76"/>
        <v>7.7216058512094201E-3</v>
      </c>
      <c r="L2005" s="16">
        <f t="shared" si="76"/>
        <v>6.7937361977839401E-3</v>
      </c>
    </row>
    <row r="2006" spans="1:12" x14ac:dyDescent="0.35">
      <c r="A2006" s="18">
        <v>45163</v>
      </c>
      <c r="B2006" s="15">
        <v>428.56304931640619</v>
      </c>
      <c r="C2006" s="15">
        <v>65.870384216308594</v>
      </c>
      <c r="D2006" s="15">
        <v>177.6199951171875</v>
      </c>
      <c r="E2006" s="15">
        <v>359.49612426757813</v>
      </c>
      <c r="F2006" s="15">
        <v>212.5954895019531</v>
      </c>
      <c r="H2006" s="16">
        <f t="shared" si="77"/>
        <v>6.3214305145902466E-3</v>
      </c>
      <c r="I2006" s="16">
        <f t="shared" si="77"/>
        <v>1.827311782100195E-3</v>
      </c>
      <c r="J2006" s="16">
        <f t="shared" si="77"/>
        <v>2.8672388757646858E-3</v>
      </c>
      <c r="K2006" s="16">
        <f t="shared" si="76"/>
        <v>7.498828091683802E-3</v>
      </c>
      <c r="L2006" s="16">
        <f t="shared" si="76"/>
        <v>6.3843844184986141E-3</v>
      </c>
    </row>
    <row r="2007" spans="1:12" x14ac:dyDescent="0.35">
      <c r="A2007" s="18">
        <v>45166</v>
      </c>
      <c r="B2007" s="15">
        <v>431.28076171875</v>
      </c>
      <c r="C2007" s="15">
        <v>65.990859985351563</v>
      </c>
      <c r="D2007" s="15">
        <v>178.1300048828125</v>
      </c>
      <c r="E2007" s="15">
        <v>362.20205688476563</v>
      </c>
      <c r="F2007" s="15">
        <v>213.9571228027344</v>
      </c>
      <c r="H2007" s="16">
        <f t="shared" si="77"/>
        <v>1.4351169065151602E-2</v>
      </c>
      <c r="I2007" s="16">
        <f t="shared" si="77"/>
        <v>6.1588858567981101E-3</v>
      </c>
      <c r="J2007" s="16">
        <f t="shared" si="77"/>
        <v>9.7206923776326903E-3</v>
      </c>
      <c r="K2007" s="16">
        <f t="shared" si="76"/>
        <v>2.1604756197500422E-2</v>
      </c>
      <c r="L2007" s="16">
        <f t="shared" si="76"/>
        <v>1.4441259036446046E-2</v>
      </c>
    </row>
    <row r="2008" spans="1:12" x14ac:dyDescent="0.35">
      <c r="A2008" s="18">
        <v>45167</v>
      </c>
      <c r="B2008" s="15">
        <v>437.5147705078125</v>
      </c>
      <c r="C2008" s="15">
        <v>66.398544311523438</v>
      </c>
      <c r="D2008" s="15">
        <v>179.8699951171875</v>
      </c>
      <c r="E2008" s="15">
        <v>370.11248779296881</v>
      </c>
      <c r="F2008" s="15">
        <v>217.06935119628909</v>
      </c>
      <c r="H2008" s="16">
        <f t="shared" si="77"/>
        <v>4.1104027666610853E-3</v>
      </c>
      <c r="I2008" s="16">
        <f t="shared" si="77"/>
        <v>-4.1844950303839945E-4</v>
      </c>
      <c r="J2008" s="16">
        <f t="shared" si="77"/>
        <v>2.4987503158230557E-3</v>
      </c>
      <c r="K2008" s="16">
        <f t="shared" si="76"/>
        <v>5.5611783590765575E-3</v>
      </c>
      <c r="L2008" s="16">
        <f t="shared" si="76"/>
        <v>4.4258469151889661E-3</v>
      </c>
    </row>
    <row r="2009" spans="1:12" x14ac:dyDescent="0.35">
      <c r="A2009" s="18">
        <v>45168</v>
      </c>
      <c r="B2009" s="15">
        <v>439.31683349609381</v>
      </c>
      <c r="C2009" s="15">
        <v>66.370765686035156</v>
      </c>
      <c r="D2009" s="15">
        <v>180.32000732421881</v>
      </c>
      <c r="E2009" s="15">
        <v>372.17648315429688</v>
      </c>
      <c r="F2009" s="15">
        <v>218.0321960449219</v>
      </c>
      <c r="H2009" s="16">
        <f t="shared" si="77"/>
        <v>-1.4645118549260988E-3</v>
      </c>
      <c r="I2009" s="16">
        <f t="shared" si="77"/>
        <v>1.6736665085352572E-3</v>
      </c>
      <c r="J2009" s="16">
        <f t="shared" si="77"/>
        <v>-1.665111347164441E-3</v>
      </c>
      <c r="K2009" s="16">
        <f t="shared" si="76"/>
        <v>2.9941652156461819E-3</v>
      </c>
      <c r="L2009" s="16">
        <f t="shared" si="76"/>
        <v>-1.0711203662746216E-3</v>
      </c>
    </row>
    <row r="2010" spans="1:12" x14ac:dyDescent="0.35">
      <c r="A2010" s="18">
        <v>45169</v>
      </c>
      <c r="B2010" s="15">
        <v>438.67391967773438</v>
      </c>
      <c r="C2010" s="15">
        <v>66.481941223144531</v>
      </c>
      <c r="D2010" s="15">
        <v>180.02000427246091</v>
      </c>
      <c r="E2010" s="15">
        <v>373.29251098632813</v>
      </c>
      <c r="F2010" s="15">
        <v>217.79878234863281</v>
      </c>
      <c r="H2010" s="16">
        <f t="shared" si="77"/>
        <v>1.8635143470570963E-3</v>
      </c>
      <c r="I2010" s="16">
        <f t="shared" si="77"/>
        <v>-4.8191883087772237E-3</v>
      </c>
      <c r="J2010" s="16">
        <f t="shared" si="77"/>
        <v>4.9979917554144812E-4</v>
      </c>
      <c r="K2010" s="16">
        <f t="shared" si="76"/>
        <v>-1.058764032909448E-3</v>
      </c>
      <c r="L2010" s="16">
        <f t="shared" si="76"/>
        <v>3.2988906409444981E-3</v>
      </c>
    </row>
    <row r="2011" spans="1:12" x14ac:dyDescent="0.35">
      <c r="A2011" s="18">
        <v>45170</v>
      </c>
      <c r="B2011" s="15">
        <v>439.49215698242188</v>
      </c>
      <c r="C2011" s="15">
        <v>66.162322998046875</v>
      </c>
      <c r="D2011" s="15">
        <v>180.11000061035159</v>
      </c>
      <c r="E2011" s="15">
        <v>372.89749145507813</v>
      </c>
      <c r="F2011" s="15">
        <v>218.5184631347656</v>
      </c>
      <c r="H2011" s="16">
        <f t="shared" si="77"/>
        <v>-4.3312044980416218E-3</v>
      </c>
      <c r="I2011" s="16">
        <f t="shared" si="77"/>
        <v>-5.4916250537808574E-3</v>
      </c>
      <c r="J2011" s="16">
        <f t="shared" si="77"/>
        <v>-8.1951746224918475E-3</v>
      </c>
      <c r="K2011" s="16">
        <f t="shared" si="76"/>
        <v>1.270398735201917E-3</v>
      </c>
      <c r="L2011" s="16">
        <f t="shared" si="76"/>
        <v>-5.9818271386099025E-3</v>
      </c>
    </row>
    <row r="2012" spans="1:12" x14ac:dyDescent="0.35">
      <c r="A2012" s="18">
        <v>45174</v>
      </c>
      <c r="B2012" s="15">
        <v>437.59274291992188</v>
      </c>
      <c r="C2012" s="15">
        <v>65.799980163574219</v>
      </c>
      <c r="D2012" s="15">
        <v>178.63999938964841</v>
      </c>
      <c r="E2012" s="15">
        <v>373.37152099609381</v>
      </c>
      <c r="F2012" s="15">
        <v>217.21522521972659</v>
      </c>
      <c r="H2012" s="16">
        <f t="shared" si="77"/>
        <v>-6.7452546783242943E-3</v>
      </c>
      <c r="I2012" s="16">
        <f t="shared" si="77"/>
        <v>-1.1306709054586821E-3</v>
      </c>
      <c r="J2012" s="16">
        <f t="shared" si="77"/>
        <v>-4.5445560630183457E-3</v>
      </c>
      <c r="K2012" s="16">
        <f t="shared" si="76"/>
        <v>-8.8468802408939555E-3</v>
      </c>
      <c r="L2012" s="16">
        <f t="shared" si="76"/>
        <v>-6.2881085548938944E-3</v>
      </c>
    </row>
    <row r="2013" spans="1:12" x14ac:dyDescent="0.35">
      <c r="A2013" s="18">
        <v>45175</v>
      </c>
      <c r="B2013" s="15">
        <v>434.6510009765625</v>
      </c>
      <c r="C2013" s="15">
        <v>65.725624084472656</v>
      </c>
      <c r="D2013" s="15">
        <v>177.83000183105469</v>
      </c>
      <c r="E2013" s="15">
        <v>370.08291625976563</v>
      </c>
      <c r="F2013" s="15">
        <v>215.8536376953125</v>
      </c>
      <c r="H2013" s="16">
        <f t="shared" si="77"/>
        <v>-3.074939240669693E-3</v>
      </c>
      <c r="I2013" s="16">
        <f t="shared" si="77"/>
        <v>3.3872591835528727E-3</v>
      </c>
      <c r="J2013" s="16">
        <f t="shared" si="77"/>
        <v>1.0678794784507253E-3</v>
      </c>
      <c r="K2013" s="16">
        <f t="shared" si="76"/>
        <v>-7.1774137469538136E-3</v>
      </c>
      <c r="L2013" s="16">
        <f t="shared" si="76"/>
        <v>-3.4302630236471491E-3</v>
      </c>
    </row>
    <row r="2014" spans="1:12" x14ac:dyDescent="0.35">
      <c r="A2014" s="18">
        <v>45176</v>
      </c>
      <c r="B2014" s="15">
        <v>433.3165283203125</v>
      </c>
      <c r="C2014" s="15">
        <v>65.948631286621094</v>
      </c>
      <c r="D2014" s="15">
        <v>178.02000427246091</v>
      </c>
      <c r="E2014" s="15">
        <v>367.43618774414063</v>
      </c>
      <c r="F2014" s="15">
        <v>215.1144714355469</v>
      </c>
      <c r="H2014" s="16">
        <f t="shared" si="77"/>
        <v>1.5048975338182074E-3</v>
      </c>
      <c r="I2014" s="16">
        <f t="shared" si="77"/>
        <v>2.8165799930379487E-4</v>
      </c>
      <c r="J2014" s="16">
        <f t="shared" si="77"/>
        <v>3.3697027875966067E-4</v>
      </c>
      <c r="K2014" s="16">
        <f t="shared" si="76"/>
        <v>1.3966813084313589E-3</v>
      </c>
      <c r="L2014" s="16">
        <f t="shared" si="76"/>
        <v>1.0845499780557787E-3</v>
      </c>
    </row>
    <row r="2015" spans="1:12" x14ac:dyDescent="0.35">
      <c r="A2015" s="18">
        <v>45177</v>
      </c>
      <c r="B2015" s="15">
        <v>433.9691162109375</v>
      </c>
      <c r="C2015" s="15">
        <v>65.967208862304688</v>
      </c>
      <c r="D2015" s="15">
        <v>178.08000183105469</v>
      </c>
      <c r="E2015" s="15">
        <v>367.94973754882813</v>
      </c>
      <c r="F2015" s="15">
        <v>215.347900390625</v>
      </c>
      <c r="H2015" s="16">
        <f t="shared" si="77"/>
        <v>6.55519252470569E-3</v>
      </c>
      <c r="I2015" s="16">
        <f t="shared" si="77"/>
        <v>-1.550507061049656E-3</v>
      </c>
      <c r="J2015" s="16">
        <f t="shared" si="77"/>
        <v>1.8513951035427818E-3</v>
      </c>
      <c r="K2015" s="16">
        <f t="shared" si="76"/>
        <v>1.1713845564362562E-2</v>
      </c>
      <c r="L2015" s="16">
        <f t="shared" si="76"/>
        <v>6.2579765443793013E-3</v>
      </c>
    </row>
    <row r="2016" spans="1:12" x14ac:dyDescent="0.35">
      <c r="A2016" s="18">
        <v>45180</v>
      </c>
      <c r="B2016" s="15">
        <v>436.82321166992188</v>
      </c>
      <c r="C2016" s="15">
        <v>65.865005493164063</v>
      </c>
      <c r="D2016" s="15">
        <v>178.4100036621094</v>
      </c>
      <c r="E2016" s="15">
        <v>372.28518676757813</v>
      </c>
      <c r="F2016" s="15">
        <v>216.69976806640619</v>
      </c>
      <c r="H2016" s="16">
        <f t="shared" si="77"/>
        <v>-5.5008481522465071E-3</v>
      </c>
      <c r="I2016" s="16">
        <f t="shared" si="77"/>
        <v>7.0517920552454606E-4</v>
      </c>
      <c r="J2016" s="16">
        <f t="shared" si="77"/>
        <v>-5.1699926635786243E-3</v>
      </c>
      <c r="K2016" s="16">
        <f t="shared" si="76"/>
        <v>-1.1150430209412449E-2</v>
      </c>
      <c r="L2016" s="16">
        <f t="shared" si="76"/>
        <v>-4.8589029871710784E-3</v>
      </c>
    </row>
    <row r="2017" spans="1:12" x14ac:dyDescent="0.35">
      <c r="A2017" s="18">
        <v>45181</v>
      </c>
      <c r="B2017" s="15">
        <v>434.42691040039063</v>
      </c>
      <c r="C2017" s="15">
        <v>65.911468505859375</v>
      </c>
      <c r="D2017" s="15">
        <v>177.49000549316409</v>
      </c>
      <c r="E2017" s="15">
        <v>368.1571044921875</v>
      </c>
      <c r="F2017" s="15">
        <v>215.64939880371091</v>
      </c>
      <c r="H2017" s="16">
        <f t="shared" si="77"/>
        <v>1.1655059206227842E-3</v>
      </c>
      <c r="I2017" s="16">
        <f t="shared" si="77"/>
        <v>1.5492993345030521E-3</v>
      </c>
      <c r="J2017" s="16">
        <f t="shared" si="77"/>
        <v>-2.3126820451931833E-3</v>
      </c>
      <c r="K2017" s="16">
        <f t="shared" si="76"/>
        <v>3.80193691902736E-3</v>
      </c>
      <c r="L2017" s="16">
        <f t="shared" si="76"/>
        <v>1.3520823521557567E-4</v>
      </c>
    </row>
    <row r="2018" spans="1:12" x14ac:dyDescent="0.35">
      <c r="A2018" s="18">
        <v>45182</v>
      </c>
      <c r="B2018" s="15">
        <v>434.93353271484381</v>
      </c>
      <c r="C2018" s="15">
        <v>66.013664245605469</v>
      </c>
      <c r="D2018" s="15">
        <v>177.08000183105469</v>
      </c>
      <c r="E2018" s="15">
        <v>369.55947875976563</v>
      </c>
      <c r="F2018" s="15">
        <v>215.6785583496094</v>
      </c>
      <c r="H2018" s="16">
        <f t="shared" si="77"/>
        <v>8.5852585577745333E-3</v>
      </c>
      <c r="I2018" s="16">
        <f t="shared" si="77"/>
        <v>-1.6901796305315076E-3</v>
      </c>
      <c r="J2018" s="16">
        <f t="shared" si="77"/>
        <v>5.0809507312215424E-4</v>
      </c>
      <c r="K2018" s="16">
        <f t="shared" si="76"/>
        <v>8.1438951608102956E-3</v>
      </c>
      <c r="L2018" s="16">
        <f t="shared" si="76"/>
        <v>8.5313490187353524E-3</v>
      </c>
    </row>
    <row r="2019" spans="1:12" x14ac:dyDescent="0.35">
      <c r="A2019" s="18">
        <v>45183</v>
      </c>
      <c r="B2019" s="15">
        <v>438.68362426757813</v>
      </c>
      <c r="C2019" s="15">
        <v>65.902183532714844</v>
      </c>
      <c r="D2019" s="15">
        <v>177.16999816894531</v>
      </c>
      <c r="E2019" s="15">
        <v>372.5814208984375</v>
      </c>
      <c r="F2019" s="15">
        <v>217.5264587402344</v>
      </c>
      <c r="H2019" s="16">
        <f t="shared" si="77"/>
        <v>-1.2121418221438522E-2</v>
      </c>
      <c r="I2019" s="16">
        <f t="shared" si="77"/>
        <v>-1.9759189144166432E-3</v>
      </c>
      <c r="J2019" s="16">
        <f t="shared" si="77"/>
        <v>6.5821068949773196E-3</v>
      </c>
      <c r="K2019" s="16">
        <f t="shared" si="76"/>
        <v>-1.7271177822526823E-2</v>
      </c>
      <c r="L2019" s="16">
        <f t="shared" si="76"/>
        <v>-1.1828604580177135E-2</v>
      </c>
    </row>
    <row r="2020" spans="1:12" x14ac:dyDescent="0.35">
      <c r="A2020" s="18">
        <v>45184</v>
      </c>
      <c r="B2020" s="15">
        <v>433.39825439453119</v>
      </c>
      <c r="C2020" s="15">
        <v>65.7720947265625</v>
      </c>
      <c r="D2020" s="15">
        <v>178.3399963378906</v>
      </c>
      <c r="E2020" s="15">
        <v>366.20175170898438</v>
      </c>
      <c r="F2020" s="15">
        <v>214.96858215332031</v>
      </c>
      <c r="H2020" s="16">
        <f t="shared" si="77"/>
        <v>5.8624117336887409E-4</v>
      </c>
      <c r="I2020" s="16">
        <f t="shared" si="77"/>
        <v>9.8827366480125508E-4</v>
      </c>
      <c r="J2020" s="16">
        <f t="shared" si="77"/>
        <v>5.8703831363188597E-3</v>
      </c>
      <c r="K2020" s="16">
        <f t="shared" si="76"/>
        <v>1.0418165997591888E-3</v>
      </c>
      <c r="L2020" s="16">
        <f t="shared" si="76"/>
        <v>9.0497297617156883E-5</v>
      </c>
    </row>
    <row r="2021" spans="1:12" x14ac:dyDescent="0.35">
      <c r="A2021" s="18">
        <v>45187</v>
      </c>
      <c r="B2021" s="15">
        <v>433.65240478515619</v>
      </c>
      <c r="C2021" s="15">
        <v>65.837127685546875</v>
      </c>
      <c r="D2021" s="15">
        <v>179.38999938964841</v>
      </c>
      <c r="E2021" s="15">
        <v>366.58346557617188</v>
      </c>
      <c r="F2021" s="15">
        <v>214.988037109375</v>
      </c>
      <c r="H2021" s="16">
        <f t="shared" si="77"/>
        <v>-2.0759154850577915E-3</v>
      </c>
      <c r="I2021" s="16">
        <f t="shared" si="77"/>
        <v>-2.1190758266386011E-3</v>
      </c>
      <c r="J2021" s="16">
        <f t="shared" si="77"/>
        <v>-9.4809504135426922E-4</v>
      </c>
      <c r="K2021" s="16">
        <f t="shared" si="76"/>
        <v>-2.133522996419918E-3</v>
      </c>
      <c r="L2021" s="16">
        <f t="shared" si="76"/>
        <v>-2.5365271213151153E-3</v>
      </c>
    </row>
    <row r="2022" spans="1:12" x14ac:dyDescent="0.35">
      <c r="A2022" s="18">
        <v>45188</v>
      </c>
      <c r="B2022" s="15">
        <v>432.75311279296881</v>
      </c>
      <c r="C2022" s="15">
        <v>65.697761535644531</v>
      </c>
      <c r="D2022" s="15">
        <v>179.2200012207031</v>
      </c>
      <c r="E2022" s="15">
        <v>365.80218505859381</v>
      </c>
      <c r="F2022" s="15">
        <v>214.44340515136719</v>
      </c>
      <c r="H2022" s="16">
        <f t="shared" si="77"/>
        <v>-9.2358072374328255E-3</v>
      </c>
      <c r="I2022" s="16">
        <f t="shared" si="77"/>
        <v>-1.2736973038419968E-3</v>
      </c>
      <c r="J2022" s="16">
        <f t="shared" si="77"/>
        <v>7.2512974232927544E-4</v>
      </c>
      <c r="K2022" s="16">
        <f t="shared" si="76"/>
        <v>-1.451534087382938E-2</v>
      </c>
      <c r="L2022" s="16">
        <f t="shared" si="76"/>
        <v>-8.8834494132782951E-3</v>
      </c>
    </row>
    <row r="2023" spans="1:12" x14ac:dyDescent="0.35">
      <c r="A2023" s="18">
        <v>45189</v>
      </c>
      <c r="B2023" s="15">
        <v>428.77468872070313</v>
      </c>
      <c r="C2023" s="15">
        <v>65.6141357421875</v>
      </c>
      <c r="D2023" s="15">
        <v>179.3500061035156</v>
      </c>
      <c r="E2023" s="15">
        <v>360.53079223632813</v>
      </c>
      <c r="F2023" s="15">
        <v>212.5468444824219</v>
      </c>
      <c r="H2023" s="16">
        <f t="shared" si="77"/>
        <v>-1.6666554865951116E-2</v>
      </c>
      <c r="I2023" s="16">
        <f t="shared" si="77"/>
        <v>-6.2500611695899605E-3</v>
      </c>
      <c r="J2023" s="16">
        <f t="shared" si="77"/>
        <v>-7.2748111459229846E-3</v>
      </c>
      <c r="K2023" s="16">
        <f t="shared" si="76"/>
        <v>-1.8494359847269777E-2</v>
      </c>
      <c r="L2023" s="16">
        <f t="shared" si="76"/>
        <v>-1.6914237525689251E-2</v>
      </c>
    </row>
    <row r="2024" spans="1:12" x14ac:dyDescent="0.35">
      <c r="A2024" s="18">
        <v>45190</v>
      </c>
      <c r="B2024" s="15">
        <v>421.68771362304688</v>
      </c>
      <c r="C2024" s="15">
        <v>65.205322265625</v>
      </c>
      <c r="D2024" s="15">
        <v>178.05000305175781</v>
      </c>
      <c r="E2024" s="15">
        <v>353.92428588867188</v>
      </c>
      <c r="F2024" s="15">
        <v>208.98200988769531</v>
      </c>
      <c r="H2024" s="16">
        <f t="shared" si="77"/>
        <v>-2.2510704802936009E-3</v>
      </c>
      <c r="I2024" s="16">
        <f t="shared" si="77"/>
        <v>4.1240089758180316E-3</v>
      </c>
      <c r="J2024" s="16">
        <f t="shared" si="77"/>
        <v>3.1961900557462815E-3</v>
      </c>
      <c r="K2024" s="16">
        <f t="shared" si="76"/>
        <v>1.3959062034031483E-4</v>
      </c>
      <c r="L2024" s="16">
        <f t="shared" si="76"/>
        <v>-2.1041635584983522E-3</v>
      </c>
    </row>
    <row r="2025" spans="1:12" x14ac:dyDescent="0.35">
      <c r="A2025" s="18">
        <v>45191</v>
      </c>
      <c r="B2025" s="15">
        <v>420.73953247070313</v>
      </c>
      <c r="C2025" s="15">
        <v>65.474784851074219</v>
      </c>
      <c r="D2025" s="15">
        <v>178.6199951171875</v>
      </c>
      <c r="E2025" s="15">
        <v>353.97369384765619</v>
      </c>
      <c r="F2025" s="15">
        <v>208.54273986816409</v>
      </c>
      <c r="H2025" s="16">
        <f t="shared" si="77"/>
        <v>4.1963668269865912E-3</v>
      </c>
      <c r="I2025" s="16">
        <f t="shared" si="77"/>
        <v>-7.4067209075495358E-3</v>
      </c>
      <c r="J2025" s="16">
        <f t="shared" si="77"/>
        <v>-5.1638989324708342E-3</v>
      </c>
      <c r="K2025" s="16">
        <f t="shared" si="76"/>
        <v>4.7386430130094328E-3</v>
      </c>
      <c r="L2025" s="16">
        <f t="shared" si="76"/>
        <v>4.0174384500901838E-3</v>
      </c>
    </row>
    <row r="2026" spans="1:12" x14ac:dyDescent="0.35">
      <c r="A2026" s="18">
        <v>45194</v>
      </c>
      <c r="B2026" s="15">
        <v>422.50881958007813</v>
      </c>
      <c r="C2026" s="15">
        <v>64.991622924804688</v>
      </c>
      <c r="D2026" s="15">
        <v>177.69999694824219</v>
      </c>
      <c r="E2026" s="15">
        <v>355.655029296875</v>
      </c>
      <c r="F2026" s="15">
        <v>209.3822326660156</v>
      </c>
      <c r="H2026" s="16">
        <f t="shared" si="77"/>
        <v>-1.4800311199322529E-2</v>
      </c>
      <c r="I2026" s="16">
        <f t="shared" si="77"/>
        <v>-1.001136991791462E-3</v>
      </c>
      <c r="J2026" s="16">
        <f t="shared" si="77"/>
        <v>-8.0230849379643848E-3</v>
      </c>
      <c r="K2026" s="16">
        <f t="shared" si="76"/>
        <v>-1.513022782033838E-2</v>
      </c>
      <c r="L2026" s="16">
        <f t="shared" si="76"/>
        <v>-1.4510389538019846E-2</v>
      </c>
    </row>
    <row r="2027" spans="1:12" x14ac:dyDescent="0.35">
      <c r="A2027" s="18">
        <v>45195</v>
      </c>
      <c r="B2027" s="15">
        <v>416.30160522460938</v>
      </c>
      <c r="C2027" s="15">
        <v>64.926589965820313</v>
      </c>
      <c r="D2027" s="15">
        <v>176.2799987792969</v>
      </c>
      <c r="E2027" s="15">
        <v>350.31439208984381</v>
      </c>
      <c r="F2027" s="15">
        <v>206.36595153808591</v>
      </c>
      <c r="H2027" s="16">
        <f t="shared" si="77"/>
        <v>3.9914706482558482E-4</v>
      </c>
      <c r="I2027" s="16">
        <f t="shared" si="77"/>
        <v>-3.583592313583735E-3</v>
      </c>
      <c r="J2027" s="16">
        <f t="shared" si="77"/>
        <v>-1.2443751217319261E-2</v>
      </c>
      <c r="K2027" s="16">
        <f t="shared" si="76"/>
        <v>2.3405605169479777E-3</v>
      </c>
      <c r="L2027" s="16">
        <f t="shared" si="76"/>
        <v>1.0400227875678259E-3</v>
      </c>
    </row>
    <row r="2028" spans="1:12" x14ac:dyDescent="0.35">
      <c r="A2028" s="18">
        <v>45196</v>
      </c>
      <c r="B2028" s="15">
        <v>416.46780395507813</v>
      </c>
      <c r="C2028" s="15">
        <v>64.6943359375</v>
      </c>
      <c r="D2028" s="15">
        <v>174.1000061035156</v>
      </c>
      <c r="E2028" s="15">
        <v>351.13528442382813</v>
      </c>
      <c r="F2028" s="15">
        <v>206.5806884765625</v>
      </c>
      <c r="H2028" s="16">
        <f t="shared" si="77"/>
        <v>5.7807284565419177E-3</v>
      </c>
      <c r="I2028" s="16">
        <f t="shared" si="77"/>
        <v>2.5816872936456248E-3</v>
      </c>
      <c r="J2028" s="16">
        <f t="shared" si="77"/>
        <v>-5.0097152043375682E-3</v>
      </c>
      <c r="K2028" s="16">
        <f t="shared" si="76"/>
        <v>8.3304918487491497E-3</v>
      </c>
      <c r="L2028" s="16">
        <f t="shared" si="76"/>
        <v>6.593584355534826E-3</v>
      </c>
    </row>
    <row r="2029" spans="1:12" x14ac:dyDescent="0.35">
      <c r="A2029" s="18">
        <v>45197</v>
      </c>
      <c r="B2029" s="15">
        <v>418.88226318359381</v>
      </c>
      <c r="C2029" s="15">
        <v>64.861572265625</v>
      </c>
      <c r="D2029" s="15">
        <v>173.22999572753909</v>
      </c>
      <c r="E2029" s="15">
        <v>354.0726318359375</v>
      </c>
      <c r="F2029" s="15">
        <v>207.9472961425781</v>
      </c>
      <c r="H2029" s="16">
        <f t="shared" si="77"/>
        <v>-2.429888458786542E-3</v>
      </c>
      <c r="I2029" s="16">
        <f t="shared" si="77"/>
        <v>-4.3013243000431499E-4</v>
      </c>
      <c r="J2029" s="16">
        <f t="shared" si="77"/>
        <v>-1.0328505518099447E-2</v>
      </c>
      <c r="K2029" s="16">
        <f t="shared" si="76"/>
        <v>7.2597473649987725E-4</v>
      </c>
      <c r="L2029" s="16">
        <f t="shared" si="76"/>
        <v>-2.9146412304295512E-3</v>
      </c>
    </row>
    <row r="2030" spans="1:12" x14ac:dyDescent="0.35">
      <c r="A2030" s="18">
        <v>45198</v>
      </c>
      <c r="B2030" s="15">
        <v>417.86566162109381</v>
      </c>
      <c r="C2030" s="15">
        <v>64.83367919921875</v>
      </c>
      <c r="D2030" s="15">
        <v>171.44999694824219</v>
      </c>
      <c r="E2030" s="15">
        <v>354.32977294921881</v>
      </c>
      <c r="F2030" s="15">
        <v>207.34208679199219</v>
      </c>
      <c r="H2030" s="16">
        <f t="shared" si="77"/>
        <v>-3.9788462068311719E-4</v>
      </c>
      <c r="I2030" s="16">
        <f t="shared" si="77"/>
        <v>-6.8927075534267494E-3</v>
      </c>
      <c r="J2030" s="16">
        <f t="shared" si="77"/>
        <v>-1.0554205856098476E-2</v>
      </c>
      <c r="K2030" s="16">
        <f t="shared" si="76"/>
        <v>8.3109616822016653E-3</v>
      </c>
      <c r="L2030" s="16">
        <f t="shared" si="76"/>
        <v>-1.3189818513663924E-3</v>
      </c>
    </row>
    <row r="2031" spans="1:12" x14ac:dyDescent="0.35">
      <c r="A2031" s="18">
        <v>45201</v>
      </c>
      <c r="B2031" s="15">
        <v>417.69943237304688</v>
      </c>
      <c r="C2031" s="15">
        <v>64.388336181640625</v>
      </c>
      <c r="D2031" s="15">
        <v>169.6499938964844</v>
      </c>
      <c r="E2031" s="15">
        <v>357.286865234375</v>
      </c>
      <c r="F2031" s="15">
        <v>207.06878662109381</v>
      </c>
      <c r="H2031" s="16">
        <f t="shared" si="77"/>
        <v>-1.3476361291030459E-2</v>
      </c>
      <c r="I2031" s="16">
        <f t="shared" si="77"/>
        <v>-8.1359081857449271E-3</v>
      </c>
      <c r="J2031" s="16">
        <f t="shared" si="77"/>
        <v>-2.8924210000569228E-3</v>
      </c>
      <c r="K2031" s="16">
        <f t="shared" si="76"/>
        <v>-1.770548293860421E-2</v>
      </c>
      <c r="L2031" s="16">
        <f t="shared" si="76"/>
        <v>-1.4625917513667994E-2</v>
      </c>
    </row>
    <row r="2032" spans="1:12" x14ac:dyDescent="0.35">
      <c r="A2032" s="18">
        <v>45202</v>
      </c>
      <c r="B2032" s="15">
        <v>412.10812377929688</v>
      </c>
      <c r="C2032" s="15">
        <v>63.866603851318359</v>
      </c>
      <c r="D2032" s="15">
        <v>169.1600036621094</v>
      </c>
      <c r="E2032" s="15">
        <v>351.0166015625</v>
      </c>
      <c r="F2032" s="15">
        <v>204.062255859375</v>
      </c>
      <c r="H2032" s="16">
        <f t="shared" si="77"/>
        <v>7.2555532767669068E-3</v>
      </c>
      <c r="I2032" s="16">
        <f t="shared" si="77"/>
        <v>6.5434343705180623E-3</v>
      </c>
      <c r="J2032" s="16">
        <f t="shared" si="77"/>
        <v>-1.1826350756047872E-4</v>
      </c>
      <c r="K2032" s="16">
        <f t="shared" si="76"/>
        <v>1.351686535957307E-2</v>
      </c>
      <c r="L2032" s="16">
        <f t="shared" si="76"/>
        <v>7.1971696163731199E-3</v>
      </c>
    </row>
    <row r="2033" spans="1:12" x14ac:dyDescent="0.35">
      <c r="A2033" s="18">
        <v>45203</v>
      </c>
      <c r="B2033" s="15">
        <v>415.10906982421881</v>
      </c>
      <c r="C2033" s="15">
        <v>64.285881042480469</v>
      </c>
      <c r="D2033" s="15">
        <v>169.13999938964841</v>
      </c>
      <c r="E2033" s="15">
        <v>355.79345703125</v>
      </c>
      <c r="F2033" s="15">
        <v>205.5362243652344</v>
      </c>
      <c r="H2033" s="16">
        <f t="shared" si="77"/>
        <v>-3.7677213496699097E-4</v>
      </c>
      <c r="I2033" s="16">
        <f t="shared" si="77"/>
        <v>7.2415534492767755E-4</v>
      </c>
      <c r="J2033" s="16">
        <f t="shared" si="77"/>
        <v>-1.8344684108626311E-3</v>
      </c>
      <c r="K2033" s="16">
        <f t="shared" si="76"/>
        <v>-2.9507477280249668E-3</v>
      </c>
      <c r="L2033" s="16">
        <f t="shared" si="76"/>
        <v>-5.2263012603941084E-4</v>
      </c>
    </row>
    <row r="2034" spans="1:12" x14ac:dyDescent="0.35">
      <c r="A2034" s="18">
        <v>45204</v>
      </c>
      <c r="B2034" s="15">
        <v>414.95269775390619</v>
      </c>
      <c r="C2034" s="15">
        <v>64.332450866699219</v>
      </c>
      <c r="D2034" s="15">
        <v>168.83000183105469</v>
      </c>
      <c r="E2034" s="15">
        <v>354.74514770507813</v>
      </c>
      <c r="F2034" s="15">
        <v>205.4288330078125</v>
      </c>
      <c r="H2034" s="16">
        <f t="shared" si="77"/>
        <v>1.1802836380295332E-2</v>
      </c>
      <c r="I2034" s="16">
        <f t="shared" si="77"/>
        <v>-3.9181598509097819E-3</v>
      </c>
      <c r="J2034" s="16">
        <f t="shared" si="77"/>
        <v>5.1398519222737556E-3</v>
      </c>
      <c r="K2034" s="16">
        <f t="shared" si="76"/>
        <v>1.6616609667069314E-2</v>
      </c>
      <c r="L2034" s="16">
        <f t="shared" si="76"/>
        <v>1.1856433129757692E-2</v>
      </c>
    </row>
    <row r="2035" spans="1:12" x14ac:dyDescent="0.35">
      <c r="A2035" s="18">
        <v>45205</v>
      </c>
      <c r="B2035" s="15">
        <v>419.87933349609381</v>
      </c>
      <c r="C2035" s="15">
        <v>64.080879211425781</v>
      </c>
      <c r="D2035" s="15">
        <v>169.69999694824219</v>
      </c>
      <c r="E2035" s="15">
        <v>360.68905639648438</v>
      </c>
      <c r="F2035" s="15">
        <v>207.87898254394531</v>
      </c>
      <c r="H2035" s="16">
        <f t="shared" si="77"/>
        <v>6.3818401064042749E-3</v>
      </c>
      <c r="I2035" s="16">
        <f t="shared" si="77"/>
        <v>1.0126063926912529E-2</v>
      </c>
      <c r="J2035" s="16">
        <f t="shared" si="77"/>
        <v>1.8218478536943892E-2</v>
      </c>
      <c r="K2035" s="16">
        <f t="shared" si="76"/>
        <v>5.0869379570449205E-3</v>
      </c>
      <c r="L2035" s="16">
        <f t="shared" si="76"/>
        <v>6.2724032134655076E-3</v>
      </c>
    </row>
    <row r="2036" spans="1:12" x14ac:dyDescent="0.35">
      <c r="A2036" s="18">
        <v>45208</v>
      </c>
      <c r="B2036" s="15">
        <v>422.5675048828125</v>
      </c>
      <c r="C2036" s="15">
        <v>64.733062744140625</v>
      </c>
      <c r="D2036" s="15">
        <v>172.82000732421881</v>
      </c>
      <c r="E2036" s="15">
        <v>362.52853393554688</v>
      </c>
      <c r="F2036" s="15">
        <v>209.1869812011719</v>
      </c>
      <c r="H2036" s="16">
        <f t="shared" si="77"/>
        <v>5.191282984030589E-3</v>
      </c>
      <c r="I2036" s="16">
        <f t="shared" si="77"/>
        <v>-1.0079692679926845E-3</v>
      </c>
      <c r="J2036" s="16">
        <f t="shared" si="77"/>
        <v>-1.6795054754093447E-3</v>
      </c>
      <c r="K2036" s="16">
        <f t="shared" si="76"/>
        <v>5.522741983452803E-3</v>
      </c>
      <c r="L2036" s="16">
        <f t="shared" si="76"/>
        <v>6.1871280617190067E-3</v>
      </c>
    </row>
    <row r="2037" spans="1:12" x14ac:dyDescent="0.35">
      <c r="A2037" s="18">
        <v>45209</v>
      </c>
      <c r="B2037" s="15">
        <v>424.76687622070313</v>
      </c>
      <c r="C2037" s="15">
        <v>64.6678466796875</v>
      </c>
      <c r="D2037" s="15">
        <v>172.5299987792969</v>
      </c>
      <c r="E2037" s="15">
        <v>364.53622436523438</v>
      </c>
      <c r="F2037" s="15">
        <v>210.4852600097656</v>
      </c>
      <c r="H2037" s="16">
        <f t="shared" si="77"/>
        <v>4.0878313511798648E-3</v>
      </c>
      <c r="I2037" s="16">
        <f t="shared" si="77"/>
        <v>4.599756005515555E-3</v>
      </c>
      <c r="J2037" s="16">
        <f t="shared" si="77"/>
        <v>7.276507826110017E-3</v>
      </c>
      <c r="K2037" s="16">
        <f t="shared" si="76"/>
        <v>7.110044313450554E-3</v>
      </c>
      <c r="L2037" s="16">
        <f t="shared" si="76"/>
        <v>3.934223597979983E-3</v>
      </c>
    </row>
    <row r="2038" spans="1:12" x14ac:dyDescent="0.35">
      <c r="A2038" s="18">
        <v>45210</v>
      </c>
      <c r="B2038" s="15">
        <v>426.50680541992188</v>
      </c>
      <c r="C2038" s="15">
        <v>64.965988159179688</v>
      </c>
      <c r="D2038" s="15">
        <v>173.78999328613281</v>
      </c>
      <c r="E2038" s="15">
        <v>367.1373291015625</v>
      </c>
      <c r="F2038" s="15">
        <v>211.31498718261719</v>
      </c>
      <c r="H2038" s="16">
        <f t="shared" si="77"/>
        <v>-6.1150650600942241E-3</v>
      </c>
      <c r="I2038" s="16">
        <f t="shared" si="77"/>
        <v>-8.6418239253674301E-3</v>
      </c>
      <c r="J2038" s="16">
        <f t="shared" si="77"/>
        <v>-3.0543103873243468E-3</v>
      </c>
      <c r="K2038" s="16">
        <f t="shared" si="76"/>
        <v>-3.4810946191429822E-3</v>
      </c>
      <c r="L2038" s="16">
        <f t="shared" si="76"/>
        <v>-8.0701757630423764E-3</v>
      </c>
    </row>
    <row r="2039" spans="1:12" x14ac:dyDescent="0.35">
      <c r="A2039" s="18">
        <v>45211</v>
      </c>
      <c r="B2039" s="15">
        <v>423.90664672851563</v>
      </c>
      <c r="C2039" s="15">
        <v>64.406982421875</v>
      </c>
      <c r="D2039" s="15">
        <v>173.25999450683591</v>
      </c>
      <c r="E2039" s="15">
        <v>365.86151123046881</v>
      </c>
      <c r="F2039" s="15">
        <v>209.61650085449219</v>
      </c>
      <c r="H2039" s="16">
        <f t="shared" si="77"/>
        <v>-4.9933058686921043E-3</v>
      </c>
      <c r="I2039" s="16">
        <f t="shared" si="77"/>
        <v>4.6182252940952266E-3</v>
      </c>
      <c r="J2039" s="16">
        <f t="shared" si="77"/>
        <v>3.1642319381776023E-2</v>
      </c>
      <c r="K2039" s="16">
        <f t="shared" si="76"/>
        <v>-1.2649664586450447E-2</v>
      </c>
      <c r="L2039" s="16">
        <f t="shared" si="76"/>
        <v>-5.6507607297959506E-3</v>
      </c>
    </row>
    <row r="2040" spans="1:12" x14ac:dyDescent="0.35">
      <c r="A2040" s="18">
        <v>45212</v>
      </c>
      <c r="B2040" s="15">
        <v>421.79522705078119</v>
      </c>
      <c r="C2040" s="15">
        <v>64.705116271972656</v>
      </c>
      <c r="D2040" s="15">
        <v>178.83000183105469</v>
      </c>
      <c r="E2040" s="15">
        <v>361.26263427734381</v>
      </c>
      <c r="F2040" s="15">
        <v>208.43534851074219</v>
      </c>
      <c r="H2040" s="16">
        <f t="shared" si="77"/>
        <v>1.0466483195726118E-2</v>
      </c>
      <c r="I2040" s="16">
        <f t="shared" si="77"/>
        <v>-5.1970504185160429E-3</v>
      </c>
      <c r="J2040" s="16">
        <f t="shared" si="77"/>
        <v>-4.8768004743516558E-3</v>
      </c>
      <c r="K2040" s="16">
        <f t="shared" si="76"/>
        <v>1.1243084648298391E-2</v>
      </c>
      <c r="L2040" s="16">
        <f t="shared" si="76"/>
        <v>1.1547403673005503E-2</v>
      </c>
    </row>
    <row r="2041" spans="1:12" x14ac:dyDescent="0.35">
      <c r="A2041" s="18">
        <v>45215</v>
      </c>
      <c r="B2041" s="15">
        <v>426.23312377929688</v>
      </c>
      <c r="C2041" s="15">
        <v>64.369712829589844</v>
      </c>
      <c r="D2041" s="15">
        <v>177.96000671386719</v>
      </c>
      <c r="E2041" s="15">
        <v>365.34725952148438</v>
      </c>
      <c r="F2041" s="15">
        <v>210.85618591308591</v>
      </c>
      <c r="H2041" s="16">
        <f t="shared" si="77"/>
        <v>-4.5895580116736922E-5</v>
      </c>
      <c r="I2041" s="16">
        <f t="shared" si="77"/>
        <v>-6.5348249835620702E-3</v>
      </c>
      <c r="J2041" s="16">
        <f t="shared" si="77"/>
        <v>1.8525567250013085E-3</v>
      </c>
      <c r="K2041" s="16">
        <f t="shared" si="76"/>
        <v>-3.2809348502918696E-3</v>
      </c>
      <c r="L2041" s="16">
        <f t="shared" si="76"/>
        <v>1.2954501779225578E-3</v>
      </c>
    </row>
    <row r="2042" spans="1:12" x14ac:dyDescent="0.35">
      <c r="A2042" s="18">
        <v>45216</v>
      </c>
      <c r="B2042" s="15">
        <v>426.21356201171881</v>
      </c>
      <c r="C2042" s="15">
        <v>63.950439453125</v>
      </c>
      <c r="D2042" s="15">
        <v>178.28999328613281</v>
      </c>
      <c r="E2042" s="15">
        <v>364.15054321289063</v>
      </c>
      <c r="F2042" s="15">
        <v>211.1295166015625</v>
      </c>
      <c r="H2042" s="16">
        <f t="shared" si="77"/>
        <v>-1.3414635237969307E-2</v>
      </c>
      <c r="I2042" s="16">
        <f t="shared" si="77"/>
        <v>-4.3802558361591831E-3</v>
      </c>
      <c r="J2042" s="16">
        <f t="shared" si="77"/>
        <v>1.4367113783494704E-2</v>
      </c>
      <c r="K2042" s="16">
        <f t="shared" si="76"/>
        <v>-1.3204772178402572E-2</v>
      </c>
      <c r="L2042" s="16">
        <f t="shared" si="76"/>
        <v>-1.490551854349078E-2</v>
      </c>
    </row>
    <row r="2043" spans="1:12" x14ac:dyDescent="0.35">
      <c r="A2043" s="18">
        <v>45217</v>
      </c>
      <c r="B2043" s="15">
        <v>420.53424072265619</v>
      </c>
      <c r="C2043" s="15">
        <v>63.670932769775391</v>
      </c>
      <c r="D2043" s="15">
        <v>180.8699951171875</v>
      </c>
      <c r="E2043" s="15">
        <v>359.37362670898438</v>
      </c>
      <c r="F2043" s="15">
        <v>208.005859375</v>
      </c>
      <c r="H2043" s="16">
        <f t="shared" si="77"/>
        <v>-8.825288645367203E-3</v>
      </c>
      <c r="I2043" s="16">
        <f t="shared" si="77"/>
        <v>-4.399286213147822E-3</v>
      </c>
      <c r="J2043" s="16">
        <f t="shared" si="77"/>
        <v>1.2199301049653857E-2</v>
      </c>
      <c r="K2043" s="16">
        <f t="shared" si="76"/>
        <v>-9.4008279229122749E-3</v>
      </c>
      <c r="L2043" s="16">
        <f t="shared" si="76"/>
        <v>-9.4774430824553536E-3</v>
      </c>
    </row>
    <row r="2044" spans="1:12" x14ac:dyDescent="0.35">
      <c r="A2044" s="18">
        <v>45218</v>
      </c>
      <c r="B2044" s="15">
        <v>416.8392333984375</v>
      </c>
      <c r="C2044" s="15">
        <v>63.391441345214837</v>
      </c>
      <c r="D2044" s="15">
        <v>183.0899963378906</v>
      </c>
      <c r="E2044" s="15">
        <v>356.01104736328119</v>
      </c>
      <c r="F2044" s="15">
        <v>206.04380798339841</v>
      </c>
      <c r="H2044" s="16">
        <f t="shared" si="77"/>
        <v>-1.2364148051124634E-2</v>
      </c>
      <c r="I2044" s="16">
        <f t="shared" si="77"/>
        <v>3.6677842710574221E-3</v>
      </c>
      <c r="J2044" s="16">
        <f t="shared" si="77"/>
        <v>2.7271753020748097E-3</v>
      </c>
      <c r="K2044" s="16">
        <f t="shared" si="76"/>
        <v>-1.5030309279047239E-2</v>
      </c>
      <c r="L2044" s="16">
        <f t="shared" si="76"/>
        <v>-1.2442071910694059E-2</v>
      </c>
    </row>
    <row r="2045" spans="1:12" x14ac:dyDescent="0.35">
      <c r="A2045" s="18">
        <v>45219</v>
      </c>
      <c r="B2045" s="15">
        <v>411.71710205078119</v>
      </c>
      <c r="C2045" s="15">
        <v>63.624374389648438</v>
      </c>
      <c r="D2045" s="15">
        <v>183.5899963378906</v>
      </c>
      <c r="E2045" s="15">
        <v>350.70010375976563</v>
      </c>
      <c r="F2045" s="15">
        <v>203.49607849121091</v>
      </c>
      <c r="H2045" s="16">
        <f t="shared" si="77"/>
        <v>-1.7347145512262567E-3</v>
      </c>
      <c r="I2045" s="16">
        <f t="shared" si="77"/>
        <v>3.7999512826284308E-3</v>
      </c>
      <c r="J2045" s="16">
        <f t="shared" si="77"/>
        <v>-3.3827788768209456E-3</v>
      </c>
      <c r="K2045" s="16">
        <f t="shared" si="76"/>
        <v>3.0129279876890693E-3</v>
      </c>
      <c r="L2045" s="16">
        <f t="shared" si="76"/>
        <v>-2.7379324657269013E-3</v>
      </c>
    </row>
    <row r="2046" spans="1:12" x14ac:dyDescent="0.35">
      <c r="A2046" s="18">
        <v>45222</v>
      </c>
      <c r="B2046" s="15">
        <v>411.00350952148438</v>
      </c>
      <c r="C2046" s="15">
        <v>63.866603851318359</v>
      </c>
      <c r="D2046" s="15">
        <v>182.9700012207031</v>
      </c>
      <c r="E2046" s="15">
        <v>351.75833129882813</v>
      </c>
      <c r="F2046" s="15">
        <v>202.93968200683591</v>
      </c>
      <c r="H2046" s="16">
        <f t="shared" si="77"/>
        <v>7.5112053498410554E-3</v>
      </c>
      <c r="I2046" s="16">
        <f t="shared" si="77"/>
        <v>3.3494298645360514E-3</v>
      </c>
      <c r="J2046" s="16">
        <f t="shared" si="77"/>
        <v>-1.0933686369115942E-4</v>
      </c>
      <c r="K2046" s="16">
        <f t="shared" si="76"/>
        <v>9.6811608208598014E-3</v>
      </c>
      <c r="L2046" s="16">
        <f t="shared" si="76"/>
        <v>7.5233648515812416E-3</v>
      </c>
    </row>
    <row r="2047" spans="1:12" x14ac:dyDescent="0.35">
      <c r="A2047" s="18">
        <v>45223</v>
      </c>
      <c r="B2047" s="15">
        <v>414.10226440429688</v>
      </c>
      <c r="C2047" s="15">
        <v>64.080879211425781</v>
      </c>
      <c r="D2047" s="15">
        <v>182.94999694824219</v>
      </c>
      <c r="E2047" s="15">
        <v>355.1802978515625</v>
      </c>
      <c r="F2047" s="15">
        <v>204.47222900390619</v>
      </c>
      <c r="H2047" s="16">
        <f t="shared" si="77"/>
        <v>-1.4456162794543837E-2</v>
      </c>
      <c r="I2047" s="16">
        <f t="shared" si="77"/>
        <v>-7.5888392103403285E-3</v>
      </c>
      <c r="J2047" s="16">
        <f t="shared" si="77"/>
        <v>4.1999913175737929E-3</v>
      </c>
      <c r="K2047" s="16">
        <f t="shared" si="76"/>
        <v>-2.4780331417121531E-2</v>
      </c>
      <c r="L2047" s="16">
        <f t="shared" si="76"/>
        <v>-1.4958309672477774E-2</v>
      </c>
    </row>
    <row r="2048" spans="1:12" x14ac:dyDescent="0.35">
      <c r="A2048" s="18">
        <v>45224</v>
      </c>
      <c r="B2048" s="15">
        <v>408.15899658203119</v>
      </c>
      <c r="C2048" s="15">
        <v>63.596420288085938</v>
      </c>
      <c r="D2048" s="15">
        <v>183.7200012207031</v>
      </c>
      <c r="E2048" s="15">
        <v>346.48696899414063</v>
      </c>
      <c r="F2048" s="15">
        <v>201.4364318847656</v>
      </c>
      <c r="H2048" s="16">
        <f t="shared" si="77"/>
        <v>-1.2047029382468091E-2</v>
      </c>
      <c r="I2048" s="16">
        <f t="shared" si="77"/>
        <v>6.7163527718852112E-3</v>
      </c>
      <c r="J2048" s="16">
        <f t="shared" si="77"/>
        <v>1.5772080037926501E-3</v>
      </c>
      <c r="K2048" s="16">
        <f t="shared" si="76"/>
        <v>-1.9251324851621097E-2</v>
      </c>
      <c r="L2048" s="16">
        <f t="shared" si="76"/>
        <v>-1.0424305735144752E-2</v>
      </c>
    </row>
    <row r="2049" spans="1:12" x14ac:dyDescent="0.35">
      <c r="A2049" s="18">
        <v>45225</v>
      </c>
      <c r="B2049" s="15">
        <v>403.27139282226563</v>
      </c>
      <c r="C2049" s="15">
        <v>64.024993896484375</v>
      </c>
      <c r="D2049" s="15">
        <v>184.00999450683591</v>
      </c>
      <c r="E2049" s="15">
        <v>339.88043212890619</v>
      </c>
      <c r="F2049" s="15">
        <v>199.3475036621094</v>
      </c>
      <c r="H2049" s="16">
        <f t="shared" si="77"/>
        <v>-4.5430116411457923E-3</v>
      </c>
      <c r="I2049" s="16">
        <f t="shared" si="77"/>
        <v>0</v>
      </c>
      <c r="J2049" s="16">
        <f t="shared" si="77"/>
        <v>1.1562693424815196E-2</v>
      </c>
      <c r="K2049" s="16">
        <f t="shared" si="76"/>
        <v>4.7897168747072305E-3</v>
      </c>
      <c r="L2049" s="16">
        <f t="shared" si="76"/>
        <v>-5.4010136856013427E-3</v>
      </c>
    </row>
    <row r="2050" spans="1:12" x14ac:dyDescent="0.35">
      <c r="A2050" s="18">
        <v>45226</v>
      </c>
      <c r="B2050" s="15">
        <v>401.4434814453125</v>
      </c>
      <c r="C2050" s="15">
        <v>64.024993896484375</v>
      </c>
      <c r="D2050" s="15">
        <v>186.1499938964844</v>
      </c>
      <c r="E2050" s="15">
        <v>341.51226806640619</v>
      </c>
      <c r="F2050" s="15">
        <v>198.27372741699219</v>
      </c>
      <c r="H2050" s="16">
        <f t="shared" si="77"/>
        <v>1.1884851120250501E-2</v>
      </c>
      <c r="I2050" s="16">
        <f t="shared" si="77"/>
        <v>-2.4769434260809497E-3</v>
      </c>
      <c r="J2050" s="16">
        <f t="shared" si="77"/>
        <v>-5.6565149769637942E-3</v>
      </c>
      <c r="K2050" s="16">
        <f t="shared" si="76"/>
        <v>1.1202292573168619E-2</v>
      </c>
      <c r="L2050" s="16">
        <f t="shared" si="76"/>
        <v>1.1454480860630431E-2</v>
      </c>
    </row>
    <row r="2051" spans="1:12" x14ac:dyDescent="0.35">
      <c r="A2051" s="18">
        <v>45229</v>
      </c>
      <c r="B2051" s="15">
        <v>406.2430419921875</v>
      </c>
      <c r="C2051" s="15">
        <v>63.866603851318359</v>
      </c>
      <c r="D2051" s="15">
        <v>185.1000061035156</v>
      </c>
      <c r="E2051" s="15">
        <v>345.3594970703125</v>
      </c>
      <c r="F2051" s="15">
        <v>200.55790710449219</v>
      </c>
      <c r="H2051" s="16">
        <f t="shared" si="77"/>
        <v>6.2607415970906063E-3</v>
      </c>
      <c r="I2051" s="16">
        <f t="shared" si="77"/>
        <v>-2.9169992653883597E-4</v>
      </c>
      <c r="J2051" s="16">
        <f t="shared" si="77"/>
        <v>-5.471503988171267E-3</v>
      </c>
      <c r="K2051" s="16">
        <f t="shared" si="76"/>
        <v>4.7708971115623996E-3</v>
      </c>
      <c r="L2051" s="16">
        <f t="shared" si="76"/>
        <v>6.4523231969305294E-3</v>
      </c>
    </row>
    <row r="2052" spans="1:12" x14ac:dyDescent="0.35">
      <c r="A2052" s="18">
        <v>45230</v>
      </c>
      <c r="B2052" s="15">
        <v>408.79440307617188</v>
      </c>
      <c r="C2052" s="15">
        <v>63.847976684570313</v>
      </c>
      <c r="D2052" s="15">
        <v>184.0899963378906</v>
      </c>
      <c r="E2052" s="15">
        <v>347.0111083984375</v>
      </c>
      <c r="F2052" s="15">
        <v>201.85615539550781</v>
      </c>
      <c r="H2052" s="16">
        <f t="shared" si="77"/>
        <v>1.0608184762009108E-2</v>
      </c>
      <c r="I2052" s="16">
        <f t="shared" si="77"/>
        <v>9.6564268514496478E-3</v>
      </c>
      <c r="J2052" s="16">
        <f t="shared" si="77"/>
        <v>-3.1556165767174377E-3</v>
      </c>
      <c r="K2052" s="16">
        <f t="shared" si="76"/>
        <v>1.7208086446053546E-2</v>
      </c>
      <c r="L2052" s="16">
        <f t="shared" si="76"/>
        <v>9.9604010558965467E-3</v>
      </c>
    </row>
    <row r="2053" spans="1:12" x14ac:dyDescent="0.35">
      <c r="A2053" s="18">
        <v>45231</v>
      </c>
      <c r="B2053" s="15">
        <v>413.154052734375</v>
      </c>
      <c r="C2053" s="15">
        <v>64.467506408691406</v>
      </c>
      <c r="D2053" s="15">
        <v>183.50999450683591</v>
      </c>
      <c r="E2053" s="15">
        <v>353.0341796875</v>
      </c>
      <c r="F2053" s="15">
        <v>203.87677001953119</v>
      </c>
      <c r="H2053" s="16">
        <f t="shared" si="77"/>
        <v>1.898299662846431E-2</v>
      </c>
      <c r="I2053" s="16">
        <f t="shared" si="77"/>
        <v>5.7812053118895621E-3</v>
      </c>
      <c r="J2053" s="16">
        <f t="shared" si="77"/>
        <v>3.3185604405965375E-3</v>
      </c>
      <c r="K2053" s="16">
        <f t="shared" si="76"/>
        <v>1.7990373859578107E-2</v>
      </c>
      <c r="L2053" s="16">
        <f t="shared" si="76"/>
        <v>1.9674845654197397E-2</v>
      </c>
    </row>
    <row r="2054" spans="1:12" x14ac:dyDescent="0.35">
      <c r="A2054" s="18">
        <v>45232</v>
      </c>
      <c r="B2054" s="15">
        <v>421.07186889648438</v>
      </c>
      <c r="C2054" s="15">
        <v>64.841285705566406</v>
      </c>
      <c r="D2054" s="15">
        <v>184.1199951171875</v>
      </c>
      <c r="E2054" s="15">
        <v>359.44287109375</v>
      </c>
      <c r="F2054" s="15">
        <v>207.927734375</v>
      </c>
      <c r="H2054" s="16">
        <f t="shared" si="77"/>
        <v>9.0821207432764638E-3</v>
      </c>
      <c r="I2054" s="16">
        <f t="shared" si="77"/>
        <v>5.8915092436944306E-3</v>
      </c>
      <c r="J2054" s="16">
        <f t="shared" si="77"/>
        <v>3.6323164276059108E-3</v>
      </c>
      <c r="K2054" s="16">
        <f t="shared" si="76"/>
        <v>1.1680402782728493E-2</v>
      </c>
      <c r="L2054" s="16">
        <f t="shared" si="76"/>
        <v>1.1204245783324268E-2</v>
      </c>
    </row>
    <row r="2055" spans="1:12" x14ac:dyDescent="0.35">
      <c r="A2055" s="18">
        <v>45233</v>
      </c>
      <c r="B2055" s="15">
        <v>424.91351318359381</v>
      </c>
      <c r="C2055" s="15">
        <v>65.22442626953125</v>
      </c>
      <c r="D2055" s="15">
        <v>184.78999328613281</v>
      </c>
      <c r="E2055" s="15">
        <v>363.66592407226563</v>
      </c>
      <c r="F2055" s="15">
        <v>210.2705078125</v>
      </c>
      <c r="H2055" s="16">
        <f t="shared" si="77"/>
        <v>2.2977028678342662E-3</v>
      </c>
      <c r="I2055" s="16">
        <f t="shared" si="77"/>
        <v>-4.3074961895990683E-3</v>
      </c>
      <c r="J2055" s="16">
        <f t="shared" si="77"/>
        <v>-7.8230810507058206E-3</v>
      </c>
      <c r="K2055" s="16">
        <f t="shared" si="76"/>
        <v>4.0708846420250203E-3</v>
      </c>
      <c r="L2055" s="16">
        <f t="shared" si="76"/>
        <v>4.178284914395024E-4</v>
      </c>
    </row>
    <row r="2056" spans="1:12" x14ac:dyDescent="0.35">
      <c r="A2056" s="18">
        <v>45236</v>
      </c>
      <c r="B2056" s="15">
        <v>425.89096069335938</v>
      </c>
      <c r="C2056" s="15">
        <v>64.944076538085938</v>
      </c>
      <c r="D2056" s="15">
        <v>183.3500061035156</v>
      </c>
      <c r="E2056" s="15">
        <v>365.14938354492188</v>
      </c>
      <c r="F2056" s="15">
        <v>210.35838317871091</v>
      </c>
      <c r="H2056" s="16">
        <f t="shared" si="77"/>
        <v>2.8419847207191468E-3</v>
      </c>
      <c r="I2056" s="16">
        <f t="shared" si="77"/>
        <v>5.0235727940867048E-3</v>
      </c>
      <c r="J2056" s="16">
        <f t="shared" si="77"/>
        <v>-4.153745714032089E-3</v>
      </c>
      <c r="K2056" s="16">
        <f t="shared" si="76"/>
        <v>9.4084197120937671E-3</v>
      </c>
      <c r="L2056" s="16">
        <f t="shared" si="76"/>
        <v>2.9653408254731984E-3</v>
      </c>
    </row>
    <row r="2057" spans="1:12" x14ac:dyDescent="0.35">
      <c r="A2057" s="18">
        <v>45237</v>
      </c>
      <c r="B2057" s="15">
        <v>427.10305786132813</v>
      </c>
      <c r="C2057" s="15">
        <v>65.271148681640625</v>
      </c>
      <c r="D2057" s="15">
        <v>182.5899963378906</v>
      </c>
      <c r="E2057" s="15">
        <v>368.60107421875</v>
      </c>
      <c r="F2057" s="15">
        <v>210.98309326171881</v>
      </c>
      <c r="H2057" s="16">
        <f t="shared" si="77"/>
        <v>7.3219138514603939E-4</v>
      </c>
      <c r="I2057" s="16">
        <f t="shared" si="77"/>
        <v>3.1444731822785513E-3</v>
      </c>
      <c r="J2057" s="16">
        <f t="shared" si="77"/>
        <v>-1.0017653470627112E-2</v>
      </c>
      <c r="K2057" s="16">
        <f t="shared" si="76"/>
        <v>6.4359099499094747E-4</v>
      </c>
      <c r="L2057" s="16">
        <f t="shared" si="76"/>
        <v>-1.3879618453589175E-4</v>
      </c>
    </row>
    <row r="2058" spans="1:12" x14ac:dyDescent="0.35">
      <c r="A2058" s="18">
        <v>45238</v>
      </c>
      <c r="B2058" s="15">
        <v>427.4158935546875</v>
      </c>
      <c r="C2058" s="15">
        <v>65.476715087890625</v>
      </c>
      <c r="D2058" s="15">
        <v>180.77000427246091</v>
      </c>
      <c r="E2058" s="15">
        <v>368.83837890625</v>
      </c>
      <c r="F2058" s="15">
        <v>210.95381164550781</v>
      </c>
      <c r="H2058" s="16">
        <f t="shared" si="77"/>
        <v>-7.8291831207367175E-3</v>
      </c>
      <c r="I2058" s="16">
        <f t="shared" si="77"/>
        <v>-7.4487619412026184E-3</v>
      </c>
      <c r="J2058" s="16">
        <f t="shared" si="77"/>
        <v>3.9750574137909995E-3</v>
      </c>
      <c r="K2058" s="16">
        <f t="shared" si="76"/>
        <v>-7.7252171461807293E-3</v>
      </c>
      <c r="L2058" s="16">
        <f t="shared" si="76"/>
        <v>-8.5506964507858635E-3</v>
      </c>
    </row>
    <row r="2059" spans="1:12" x14ac:dyDescent="0.35">
      <c r="A2059" s="18">
        <v>45239</v>
      </c>
      <c r="B2059" s="15">
        <v>424.0826416015625</v>
      </c>
      <c r="C2059" s="15">
        <v>64.990806579589844</v>
      </c>
      <c r="D2059" s="15">
        <v>181.49000549316409</v>
      </c>
      <c r="E2059" s="15">
        <v>366</v>
      </c>
      <c r="F2059" s="15">
        <v>209.15769958496091</v>
      </c>
      <c r="H2059" s="16">
        <f t="shared" si="77"/>
        <v>1.5484254138234874E-2</v>
      </c>
      <c r="I2059" s="16">
        <f t="shared" si="77"/>
        <v>1.8673692767713793E-3</v>
      </c>
      <c r="J2059" s="16">
        <f t="shared" si="77"/>
        <v>-1.0969699953245735E-2</v>
      </c>
      <c r="K2059" s="16">
        <f t="shared" si="76"/>
        <v>2.2233200222950965E-2</v>
      </c>
      <c r="L2059" s="16">
        <f t="shared" si="76"/>
        <v>1.4778034369494101E-2</v>
      </c>
    </row>
    <row r="2060" spans="1:12" x14ac:dyDescent="0.35">
      <c r="A2060" s="18">
        <v>45240</v>
      </c>
      <c r="B2060" s="15">
        <v>430.70034790039063</v>
      </c>
      <c r="C2060" s="15">
        <v>65.112281799316406</v>
      </c>
      <c r="D2060" s="15">
        <v>179.50999450683591</v>
      </c>
      <c r="E2060" s="15">
        <v>374.22848510742188</v>
      </c>
      <c r="F2060" s="15">
        <v>212.27159118652341</v>
      </c>
      <c r="H2060" s="16">
        <f t="shared" si="77"/>
        <v>-9.5367644578676512E-4</v>
      </c>
      <c r="I2060" s="16">
        <f t="shared" si="77"/>
        <v>-2.8746642492292308E-4</v>
      </c>
      <c r="J2060" s="16">
        <f t="shared" si="77"/>
        <v>5.5552613869158472E-3</v>
      </c>
      <c r="K2060" s="16">
        <f t="shared" si="76"/>
        <v>-3.1235126026161173E-3</v>
      </c>
      <c r="L2060" s="16">
        <f t="shared" si="76"/>
        <v>-5.9803245013540797E-4</v>
      </c>
    </row>
    <row r="2061" spans="1:12" x14ac:dyDescent="0.35">
      <c r="A2061" s="18">
        <v>45243</v>
      </c>
      <c r="B2061" s="15">
        <v>430.289794921875</v>
      </c>
      <c r="C2061" s="15">
        <v>65.09356689453125</v>
      </c>
      <c r="D2061" s="15">
        <v>180.50999450683591</v>
      </c>
      <c r="E2061" s="15">
        <v>373.0614013671875</v>
      </c>
      <c r="F2061" s="15">
        <v>212.1446838378906</v>
      </c>
      <c r="H2061" s="16">
        <f t="shared" si="77"/>
        <v>1.9214992693100702E-2</v>
      </c>
      <c r="I2061" s="16">
        <f t="shared" si="77"/>
        <v>1.2128528465857082E-2</v>
      </c>
      <c r="J2061" s="16">
        <f t="shared" si="77"/>
        <v>8.8796361866049535E-3</v>
      </c>
      <c r="K2061" s="16">
        <f t="shared" si="76"/>
        <v>2.1298062557250603E-2</v>
      </c>
      <c r="L2061" s="16">
        <f t="shared" si="76"/>
        <v>2.1935978285803393E-2</v>
      </c>
    </row>
    <row r="2062" spans="1:12" x14ac:dyDescent="0.35">
      <c r="A2062" s="18">
        <v>45244</v>
      </c>
      <c r="B2062" s="15">
        <v>438.63775634765619</v>
      </c>
      <c r="C2062" s="15">
        <v>65.887863159179688</v>
      </c>
      <c r="D2062" s="15">
        <v>182.1199951171875</v>
      </c>
      <c r="E2062" s="15">
        <v>381.09210205078119</v>
      </c>
      <c r="F2062" s="15">
        <v>216.8497009277344</v>
      </c>
      <c r="H2062" s="16">
        <f t="shared" si="77"/>
        <v>2.1148152165169224E-3</v>
      </c>
      <c r="I2062" s="16">
        <f t="shared" si="77"/>
        <v>-5.5461180330238389E-3</v>
      </c>
      <c r="J2062" s="16">
        <f t="shared" si="77"/>
        <v>-2.6390807860948379E-3</v>
      </c>
      <c r="K2062" s="16">
        <f t="shared" si="76"/>
        <v>7.5238196790363961E-4</v>
      </c>
      <c r="L2062" s="16">
        <f t="shared" si="76"/>
        <v>2.4727586733412879E-3</v>
      </c>
    </row>
    <row r="2063" spans="1:12" x14ac:dyDescent="0.35">
      <c r="A2063" s="18">
        <v>45245</v>
      </c>
      <c r="B2063" s="15">
        <v>439.56637573242188</v>
      </c>
      <c r="C2063" s="15">
        <v>65.523452758789063</v>
      </c>
      <c r="D2063" s="15">
        <v>181.63999938964841</v>
      </c>
      <c r="E2063" s="15">
        <v>381.37893676757813</v>
      </c>
      <c r="F2063" s="15">
        <v>217.38658142089841</v>
      </c>
      <c r="H2063" s="16">
        <f t="shared" si="77"/>
        <v>1.2222015321431798E-3</v>
      </c>
      <c r="I2063" s="16">
        <f t="shared" si="77"/>
        <v>5.9716848328263492E-3</v>
      </c>
      <c r="J2063" s="16">
        <f t="shared" si="77"/>
        <v>1.1222864579353353E-2</v>
      </c>
      <c r="K2063" s="16">
        <f t="shared" si="76"/>
        <v>8.5543769010198078E-4</v>
      </c>
      <c r="L2063" s="16">
        <f t="shared" si="76"/>
        <v>-6.7378894152300022E-4</v>
      </c>
    </row>
    <row r="2064" spans="1:12" x14ac:dyDescent="0.35">
      <c r="A2064" s="18">
        <v>45246</v>
      </c>
      <c r="B2064" s="15">
        <v>440.10394287109381</v>
      </c>
      <c r="C2064" s="15">
        <v>65.915908813476563</v>
      </c>
      <c r="D2064" s="15">
        <v>183.69000244140619</v>
      </c>
      <c r="E2064" s="15">
        <v>381.705322265625</v>
      </c>
      <c r="F2064" s="15">
        <v>217.24015808105469</v>
      </c>
      <c r="H2064" s="16">
        <f t="shared" si="77"/>
        <v>1.2431486458658455E-3</v>
      </c>
      <c r="I2064" s="16">
        <f t="shared" si="77"/>
        <v>1.416401834188118E-3</v>
      </c>
      <c r="J2064" s="16">
        <f t="shared" si="77"/>
        <v>-1.0890827769720228E-4</v>
      </c>
      <c r="K2064" s="16">
        <f t="shared" si="76"/>
        <v>2.3310884321933769E-4</v>
      </c>
      <c r="L2064" s="16">
        <f t="shared" si="76"/>
        <v>2.5130909742976065E-3</v>
      </c>
    </row>
    <row r="2065" spans="1:12" x14ac:dyDescent="0.35">
      <c r="A2065" s="18">
        <v>45247</v>
      </c>
      <c r="B2065" s="15">
        <v>440.65139770507813</v>
      </c>
      <c r="C2065" s="15">
        <v>66.00933837890625</v>
      </c>
      <c r="D2065" s="15">
        <v>183.66999816894531</v>
      </c>
      <c r="E2065" s="15">
        <v>381.7943115234375</v>
      </c>
      <c r="F2065" s="15">
        <v>217.78678894042969</v>
      </c>
      <c r="H2065" s="16">
        <f t="shared" si="77"/>
        <v>7.6681462021747967E-3</v>
      </c>
      <c r="I2065" s="16">
        <f t="shared" si="77"/>
        <v>1.4148601458372557E-3</v>
      </c>
      <c r="J2065" s="16">
        <f t="shared" si="77"/>
        <v>-1.6347162383040547E-3</v>
      </c>
      <c r="K2065" s="16">
        <f t="shared" si="76"/>
        <v>1.2101481345774783E-2</v>
      </c>
      <c r="L2065" s="16">
        <f t="shared" si="76"/>
        <v>7.5017390027419476E-3</v>
      </c>
    </row>
    <row r="2066" spans="1:12" x14ac:dyDescent="0.35">
      <c r="A2066" s="18">
        <v>45250</v>
      </c>
      <c r="B2066" s="15">
        <v>444.04336547851563</v>
      </c>
      <c r="C2066" s="15">
        <v>66.102798461914063</v>
      </c>
      <c r="D2066" s="15">
        <v>183.3699951171875</v>
      </c>
      <c r="E2066" s="15">
        <v>386.44265747070313</v>
      </c>
      <c r="F2066" s="15">
        <v>219.42671203613281</v>
      </c>
      <c r="H2066" s="16">
        <f t="shared" si="77"/>
        <v>-2.1817666330036112E-3</v>
      </c>
      <c r="I2066" s="16">
        <f t="shared" si="77"/>
        <v>1.4125153820231514E-3</v>
      </c>
      <c r="J2066" s="16">
        <f t="shared" si="77"/>
        <v>1.0740019593541818E-2</v>
      </c>
      <c r="K2066" s="16">
        <f t="shared" si="76"/>
        <v>-5.8265658580188449E-3</v>
      </c>
      <c r="L2066" s="16">
        <f t="shared" si="76"/>
        <v>-2.7173223018246047E-3</v>
      </c>
    </row>
    <row r="2067" spans="1:12" x14ac:dyDescent="0.35">
      <c r="A2067" s="18">
        <v>45251</v>
      </c>
      <c r="B2067" s="15">
        <v>443.07562255859381</v>
      </c>
      <c r="C2067" s="15">
        <v>66.196235656738281</v>
      </c>
      <c r="D2067" s="15">
        <v>185.3500061035156</v>
      </c>
      <c r="E2067" s="15">
        <v>384.19757080078119</v>
      </c>
      <c r="F2067" s="15">
        <v>218.8312683105469</v>
      </c>
      <c r="H2067" s="16">
        <f t="shared" si="77"/>
        <v>3.8533796401900842E-3</v>
      </c>
      <c r="I2067" s="16">
        <f t="shared" si="77"/>
        <v>8.4675980630332314E-4</v>
      </c>
      <c r="J2067" s="16">
        <f t="shared" si="77"/>
        <v>-4.2713618891713819E-3</v>
      </c>
      <c r="K2067" s="16">
        <f t="shared" si="77"/>
        <v>4.084776444599301E-3</v>
      </c>
      <c r="L2067" s="16">
        <f t="shared" si="77"/>
        <v>4.2730278809740537E-3</v>
      </c>
    </row>
    <row r="2068" spans="1:12" x14ac:dyDescent="0.35">
      <c r="A2068" s="18">
        <v>45252</v>
      </c>
      <c r="B2068" s="15">
        <v>444.7862548828125</v>
      </c>
      <c r="C2068" s="15">
        <v>66.252311706542969</v>
      </c>
      <c r="D2068" s="15">
        <v>184.55999755859381</v>
      </c>
      <c r="E2068" s="15">
        <v>385.7701416015625</v>
      </c>
      <c r="F2068" s="15">
        <v>219.7683410644531</v>
      </c>
      <c r="H2068" s="16">
        <f t="shared" ref="H2068:K2131" si="78">LN(B2069/B2068)</f>
        <v>6.1512124656506464E-4</v>
      </c>
      <c r="I2068" s="16">
        <f t="shared" si="78"/>
        <v>-4.807119402826931E-3</v>
      </c>
      <c r="J2068" s="16">
        <f t="shared" si="78"/>
        <v>5.1881153396811566E-3</v>
      </c>
      <c r="K2068" s="16">
        <f t="shared" si="78"/>
        <v>-1.4110986398761464E-3</v>
      </c>
      <c r="L2068" s="16">
        <f t="shared" ref="L2068:L2131" si="79">LN(F2069/F2068)</f>
        <v>1.0655488353428877E-3</v>
      </c>
    </row>
    <row r="2069" spans="1:12" x14ac:dyDescent="0.35">
      <c r="A2069" s="18">
        <v>45254</v>
      </c>
      <c r="B2069" s="15">
        <v>445.0599365234375</v>
      </c>
      <c r="C2069" s="15">
        <v>65.934593200683594</v>
      </c>
      <c r="D2069" s="15">
        <v>185.52000427246091</v>
      </c>
      <c r="E2069" s="15">
        <v>385.22616577148438</v>
      </c>
      <c r="F2069" s="15">
        <v>220.00263977050781</v>
      </c>
      <c r="H2069" s="16">
        <f t="shared" si="78"/>
        <v>-1.8026040406172506E-3</v>
      </c>
      <c r="I2069" s="16">
        <f t="shared" si="78"/>
        <v>6.0754562064997001E-3</v>
      </c>
      <c r="J2069" s="16">
        <f t="shared" si="78"/>
        <v>6.7152202241083361E-3</v>
      </c>
      <c r="K2069" s="16">
        <f t="shared" si="78"/>
        <v>-8.7322600321705873E-4</v>
      </c>
      <c r="L2069" s="16">
        <f t="shared" si="79"/>
        <v>-1.2876146048036066E-3</v>
      </c>
    </row>
    <row r="2070" spans="1:12" x14ac:dyDescent="0.35">
      <c r="A2070" s="18">
        <v>45257</v>
      </c>
      <c r="B2070" s="15">
        <v>444.25839233398438</v>
      </c>
      <c r="C2070" s="15">
        <v>66.336395263671875</v>
      </c>
      <c r="D2070" s="15">
        <v>186.77000427246091</v>
      </c>
      <c r="E2070" s="15">
        <v>384.88992309570313</v>
      </c>
      <c r="F2070" s="15">
        <v>219.71954345703119</v>
      </c>
      <c r="H2070" s="16">
        <f t="shared" si="78"/>
        <v>9.8965545632443992E-4</v>
      </c>
      <c r="I2070" s="16">
        <f t="shared" si="78"/>
        <v>4.2173920789163027E-3</v>
      </c>
      <c r="J2070" s="16">
        <f t="shared" si="78"/>
        <v>1.3243765854618068E-2</v>
      </c>
      <c r="K2070" s="16">
        <f t="shared" si="78"/>
        <v>2.6174728444455396E-3</v>
      </c>
      <c r="L2070" s="16">
        <f t="shared" si="79"/>
        <v>6.2177097310877423E-4</v>
      </c>
    </row>
    <row r="2071" spans="1:12" x14ac:dyDescent="0.35">
      <c r="A2071" s="18">
        <v>45258</v>
      </c>
      <c r="B2071" s="15">
        <v>444.69827270507813</v>
      </c>
      <c r="C2071" s="15">
        <v>66.616752624511719</v>
      </c>
      <c r="D2071" s="15">
        <v>189.25999450683591</v>
      </c>
      <c r="E2071" s="15">
        <v>385.898681640625</v>
      </c>
      <c r="F2071" s="15">
        <v>219.856201171875</v>
      </c>
      <c r="H2071" s="16">
        <f t="shared" si="78"/>
        <v>-7.0365742737678761E-4</v>
      </c>
      <c r="I2071" s="16">
        <f t="shared" si="78"/>
        <v>5.1764692996459846E-3</v>
      </c>
      <c r="J2071" s="16">
        <f t="shared" si="78"/>
        <v>1.4783465644931614E-3</v>
      </c>
      <c r="K2071" s="16">
        <f t="shared" si="78"/>
        <v>-9.74367411832546E-4</v>
      </c>
      <c r="L2071" s="16">
        <f t="shared" si="79"/>
        <v>4.439450116784347E-4</v>
      </c>
    </row>
    <row r="2072" spans="1:12" x14ac:dyDescent="0.35">
      <c r="A2072" s="18">
        <v>45259</v>
      </c>
      <c r="B2072" s="15">
        <v>444.38546752929688</v>
      </c>
      <c r="C2072" s="15">
        <v>66.962486267089844</v>
      </c>
      <c r="D2072" s="15">
        <v>189.53999328613281</v>
      </c>
      <c r="E2072" s="15">
        <v>385.52285766601563</v>
      </c>
      <c r="F2072" s="15">
        <v>219.9538269042969</v>
      </c>
      <c r="H2072" s="16">
        <f t="shared" si="78"/>
        <v>3.9296732153589354E-3</v>
      </c>
      <c r="I2072" s="16">
        <f t="shared" si="78"/>
        <v>-3.2148348865320767E-3</v>
      </c>
      <c r="J2072" s="16">
        <f t="shared" si="78"/>
        <v>-4.1766604910127118E-3</v>
      </c>
      <c r="K2072" s="16">
        <f t="shared" si="78"/>
        <v>-2.5170946259686915E-3</v>
      </c>
      <c r="L2072" s="16">
        <f t="shared" si="79"/>
        <v>4.1186269853252305E-3</v>
      </c>
    </row>
    <row r="2073" spans="1:12" x14ac:dyDescent="0.35">
      <c r="A2073" s="18">
        <v>45260</v>
      </c>
      <c r="B2073" s="15">
        <v>446.13519287109381</v>
      </c>
      <c r="C2073" s="15">
        <v>66.74755859375</v>
      </c>
      <c r="D2073" s="15">
        <v>188.75</v>
      </c>
      <c r="E2073" s="15">
        <v>384.55368041992188</v>
      </c>
      <c r="F2073" s="15">
        <v>220.8616027832031</v>
      </c>
      <c r="H2073" s="16">
        <f t="shared" si="78"/>
        <v>5.8985178079094171E-3</v>
      </c>
      <c r="I2073" s="16">
        <f t="shared" si="78"/>
        <v>8.1234081440220846E-3</v>
      </c>
      <c r="J2073" s="16">
        <f t="shared" si="78"/>
        <v>1.712403726695098E-2</v>
      </c>
      <c r="K2073" s="16">
        <f t="shared" si="78"/>
        <v>2.8506147463225532E-3</v>
      </c>
      <c r="L2073" s="16">
        <f t="shared" si="79"/>
        <v>8.4063760647133338E-3</v>
      </c>
    </row>
    <row r="2074" spans="1:12" x14ac:dyDescent="0.35">
      <c r="A2074" s="18">
        <v>45261</v>
      </c>
      <c r="B2074" s="15">
        <v>448.77450561523438</v>
      </c>
      <c r="C2074" s="15">
        <v>67.291984558105469</v>
      </c>
      <c r="D2074" s="15">
        <v>192.00999450683591</v>
      </c>
      <c r="E2074" s="15">
        <v>385.65145874023438</v>
      </c>
      <c r="F2074" s="15">
        <v>222.72607421875</v>
      </c>
      <c r="H2074" s="16">
        <f t="shared" si="78"/>
        <v>-5.2633801508376026E-3</v>
      </c>
      <c r="I2074" s="16">
        <f t="shared" si="78"/>
        <v>-4.0461128528053213E-3</v>
      </c>
      <c r="J2074" s="16">
        <f t="shared" si="78"/>
        <v>-2.1850417580745338E-2</v>
      </c>
      <c r="K2074" s="16">
        <f t="shared" si="78"/>
        <v>-9.326873018869258E-3</v>
      </c>
      <c r="L2074" s="16">
        <f t="shared" si="79"/>
        <v>-3.6002611922448329E-3</v>
      </c>
    </row>
    <row r="2075" spans="1:12" x14ac:dyDescent="0.35">
      <c r="A2075" s="18">
        <v>45264</v>
      </c>
      <c r="B2075" s="15">
        <v>446.41864013671881</v>
      </c>
      <c r="C2075" s="15">
        <v>67.020263671875</v>
      </c>
      <c r="D2075" s="15">
        <v>187.86000061035159</v>
      </c>
      <c r="E2075" s="15">
        <v>382.07125854492188</v>
      </c>
      <c r="F2075" s="15">
        <v>221.92564392089841</v>
      </c>
      <c r="H2075" s="16">
        <f t="shared" si="78"/>
        <v>-1.9703551181044469E-4</v>
      </c>
      <c r="I2075" s="16">
        <f t="shared" si="78"/>
        <v>6.4108628216730497E-3</v>
      </c>
      <c r="J2075" s="16">
        <f t="shared" si="78"/>
        <v>-3.7866060778630421E-3</v>
      </c>
      <c r="K2075" s="16">
        <f t="shared" si="78"/>
        <v>2.5077734854462535E-3</v>
      </c>
      <c r="L2075" s="16">
        <f t="shared" si="79"/>
        <v>-1.9372968062057855E-3</v>
      </c>
    </row>
    <row r="2076" spans="1:12" x14ac:dyDescent="0.35">
      <c r="A2076" s="18">
        <v>45265</v>
      </c>
      <c r="B2076" s="15">
        <v>446.3306884765625</v>
      </c>
      <c r="C2076" s="15">
        <v>67.451301574707031</v>
      </c>
      <c r="D2076" s="15">
        <v>187.1499938964844</v>
      </c>
      <c r="E2076" s="15">
        <v>383.03060913085938</v>
      </c>
      <c r="F2076" s="15">
        <v>221.4961242675781</v>
      </c>
      <c r="H2076" s="16">
        <f t="shared" si="78"/>
        <v>-4.0377841862286705E-3</v>
      </c>
      <c r="I2076" s="16">
        <f t="shared" si="78"/>
        <v>2.9133030629894989E-3</v>
      </c>
      <c r="J2076" s="16">
        <f t="shared" si="78"/>
        <v>3.6801154063570828E-3</v>
      </c>
      <c r="K2076" s="16">
        <f t="shared" si="78"/>
        <v>-5.8006451176273498E-3</v>
      </c>
      <c r="L2076" s="16">
        <f t="shared" si="79"/>
        <v>-4.2396944999706417E-3</v>
      </c>
    </row>
    <row r="2077" spans="1:12" x14ac:dyDescent="0.35">
      <c r="A2077" s="18">
        <v>45266</v>
      </c>
      <c r="B2077" s="15">
        <v>444.53213500976563</v>
      </c>
      <c r="C2077" s="15">
        <v>67.648094177246094</v>
      </c>
      <c r="D2077" s="15">
        <v>187.8399963378906</v>
      </c>
      <c r="E2077" s="15">
        <v>380.81521606445313</v>
      </c>
      <c r="F2077" s="15">
        <v>220.55903625488281</v>
      </c>
      <c r="H2077" s="16">
        <f t="shared" si="78"/>
        <v>7.60145755660713E-3</v>
      </c>
      <c r="I2077" s="16">
        <f t="shared" si="78"/>
        <v>-2.7702759049359836E-4</v>
      </c>
      <c r="J2077" s="16">
        <f t="shared" si="78"/>
        <v>1.6489674559860745E-3</v>
      </c>
      <c r="K2077" s="16">
        <f t="shared" si="78"/>
        <v>1.387550140506507E-2</v>
      </c>
      <c r="L2077" s="16">
        <f t="shared" si="79"/>
        <v>7.9787078202334157E-3</v>
      </c>
    </row>
    <row r="2078" spans="1:12" x14ac:dyDescent="0.35">
      <c r="A2078" s="18">
        <v>45267</v>
      </c>
      <c r="B2078" s="15">
        <v>447.92410278320313</v>
      </c>
      <c r="C2078" s="15">
        <v>67.629356384277344</v>
      </c>
      <c r="D2078" s="15">
        <v>188.1499938964844</v>
      </c>
      <c r="E2078" s="15">
        <v>386.13604736328119</v>
      </c>
      <c r="F2078" s="15">
        <v>222.32585144042969</v>
      </c>
      <c r="H2078" s="16">
        <f t="shared" si="78"/>
        <v>4.2897922432006312E-3</v>
      </c>
      <c r="I2078" s="16">
        <f t="shared" si="78"/>
        <v>-4.8615808839535335E-3</v>
      </c>
      <c r="J2078" s="16">
        <f t="shared" si="78"/>
        <v>-1.3430173514668523E-2</v>
      </c>
      <c r="K2078" s="16">
        <f t="shared" si="78"/>
        <v>4.4467034162965508E-3</v>
      </c>
      <c r="L2078" s="16">
        <f t="shared" si="79"/>
        <v>4.7744004039113113E-3</v>
      </c>
    </row>
    <row r="2079" spans="1:12" x14ac:dyDescent="0.35">
      <c r="A2079" s="18">
        <v>45268</v>
      </c>
      <c r="B2079" s="15">
        <v>449.8497314453125</v>
      </c>
      <c r="C2079" s="15">
        <v>67.301368713378906</v>
      </c>
      <c r="D2079" s="15">
        <v>185.63999938964841</v>
      </c>
      <c r="E2079" s="15">
        <v>387.85690307617188</v>
      </c>
      <c r="F2079" s="15">
        <v>223.3898620605469</v>
      </c>
      <c r="H2079" s="16">
        <f t="shared" si="78"/>
        <v>3.8821001127601548E-3</v>
      </c>
      <c r="I2079" s="16">
        <f t="shared" si="78"/>
        <v>1.3953846118055748E-4</v>
      </c>
      <c r="J2079" s="16">
        <f t="shared" si="78"/>
        <v>-1.1104320560253362E-2</v>
      </c>
      <c r="K2079" s="16">
        <f t="shared" si="78"/>
        <v>8.505973370166264E-3</v>
      </c>
      <c r="L2079" s="16">
        <f t="shared" si="79"/>
        <v>4.0988749828702762E-3</v>
      </c>
    </row>
    <row r="2080" spans="1:12" x14ac:dyDescent="0.35">
      <c r="A2080" s="18">
        <v>45271</v>
      </c>
      <c r="B2080" s="15">
        <v>451.5994873046875</v>
      </c>
      <c r="C2080" s="15">
        <v>67.310760498046875</v>
      </c>
      <c r="D2080" s="15">
        <v>183.5899963378906</v>
      </c>
      <c r="E2080" s="15">
        <v>391.17007446289063</v>
      </c>
      <c r="F2080" s="15">
        <v>224.30738830566409</v>
      </c>
      <c r="H2080" s="16">
        <f t="shared" si="78"/>
        <v>4.5568369426759832E-3</v>
      </c>
      <c r="I2080" s="16">
        <f t="shared" si="78"/>
        <v>2.9190379589870571E-3</v>
      </c>
      <c r="J2080" s="16">
        <f t="shared" si="78"/>
        <v>-5.4479049090559977E-4</v>
      </c>
      <c r="K2080" s="16">
        <f t="shared" si="78"/>
        <v>7.932729881369293E-3</v>
      </c>
      <c r="L2080" s="16">
        <f t="shared" si="79"/>
        <v>3.7791228100335882E-3</v>
      </c>
    </row>
    <row r="2081" spans="1:12" x14ac:dyDescent="0.35">
      <c r="A2081" s="18">
        <v>45272</v>
      </c>
      <c r="B2081" s="15">
        <v>453.66204833984381</v>
      </c>
      <c r="C2081" s="15">
        <v>67.507530212402344</v>
      </c>
      <c r="D2081" s="15">
        <v>183.49000549316409</v>
      </c>
      <c r="E2081" s="15">
        <v>394.28546142578119</v>
      </c>
      <c r="F2081" s="15">
        <v>225.15667724609381</v>
      </c>
      <c r="H2081" s="16">
        <f t="shared" si="78"/>
        <v>1.3695876262666537E-2</v>
      </c>
      <c r="I2081" s="16">
        <f t="shared" si="78"/>
        <v>1.269000018615354E-2</v>
      </c>
      <c r="J2081" s="16">
        <f t="shared" si="78"/>
        <v>2.2311764488914056E-2</v>
      </c>
      <c r="K2081" s="16">
        <f t="shared" si="78"/>
        <v>1.2636974448834904E-2</v>
      </c>
      <c r="L2081" s="16">
        <f t="shared" si="79"/>
        <v>1.5401392419158848E-2</v>
      </c>
    </row>
    <row r="2082" spans="1:12" x14ac:dyDescent="0.35">
      <c r="A2082" s="18">
        <v>45273</v>
      </c>
      <c r="B2082" s="15">
        <v>459.9180908203125</v>
      </c>
      <c r="C2082" s="15">
        <v>68.369659423828125</v>
      </c>
      <c r="D2082" s="15">
        <v>187.6300048828125</v>
      </c>
      <c r="E2082" s="15">
        <v>399.29965209960938</v>
      </c>
      <c r="F2082" s="15">
        <v>228.6512451171875</v>
      </c>
      <c r="H2082" s="16">
        <f t="shared" si="78"/>
        <v>3.204289256599963E-3</v>
      </c>
      <c r="I2082" s="16">
        <f t="shared" si="78"/>
        <v>7.5101032517942727E-3</v>
      </c>
      <c r="J2082" s="16">
        <f t="shared" si="78"/>
        <v>5.8454350891880731E-3</v>
      </c>
      <c r="K2082" s="16">
        <f t="shared" si="78"/>
        <v>-8.6721958429974977E-4</v>
      </c>
      <c r="L2082" s="16">
        <f t="shared" si="79"/>
        <v>5.9165079171799992E-3</v>
      </c>
    </row>
    <row r="2083" spans="1:12" x14ac:dyDescent="0.35">
      <c r="A2083" s="18">
        <v>45274</v>
      </c>
      <c r="B2083" s="15">
        <v>461.3941650390625</v>
      </c>
      <c r="C2083" s="15">
        <v>68.885055541992188</v>
      </c>
      <c r="D2083" s="15">
        <v>188.72999572753909</v>
      </c>
      <c r="E2083" s="15">
        <v>398.95352172851563</v>
      </c>
      <c r="F2083" s="15">
        <v>230.00807189941409</v>
      </c>
      <c r="H2083" s="16">
        <f t="shared" si="78"/>
        <v>-1.6479646802840451E-3</v>
      </c>
      <c r="I2083" s="16">
        <f t="shared" si="78"/>
        <v>-1.4977593218956529E-3</v>
      </c>
      <c r="J2083" s="16">
        <f t="shared" si="78"/>
        <v>-9.2087827575078919E-3</v>
      </c>
      <c r="K2083" s="16">
        <f t="shared" si="78"/>
        <v>4.8223200831419011E-3</v>
      </c>
      <c r="L2083" s="16">
        <f t="shared" si="79"/>
        <v>-1.359040325357466E-3</v>
      </c>
    </row>
    <row r="2084" spans="1:12" x14ac:dyDescent="0.35">
      <c r="A2084" s="18">
        <v>45275</v>
      </c>
      <c r="B2084" s="15">
        <v>460.63442993164063</v>
      </c>
      <c r="C2084" s="15">
        <v>68.781959533691406</v>
      </c>
      <c r="D2084" s="15">
        <v>187</v>
      </c>
      <c r="E2084" s="15">
        <v>400.88204956054688</v>
      </c>
      <c r="F2084" s="15">
        <v>229.69569396972659</v>
      </c>
      <c r="H2084" s="16">
        <f t="shared" si="78"/>
        <v>5.6093614259627644E-3</v>
      </c>
      <c r="I2084" s="16">
        <f t="shared" si="78"/>
        <v>-2.0452631933098662E-3</v>
      </c>
      <c r="J2084" s="16">
        <f t="shared" si="78"/>
        <v>4.5351876568232455E-3</v>
      </c>
      <c r="K2084" s="16">
        <f t="shared" si="78"/>
        <v>6.2789179559609894E-3</v>
      </c>
      <c r="L2084" s="16">
        <f t="shared" si="79"/>
        <v>4.3253520992647902E-3</v>
      </c>
    </row>
    <row r="2085" spans="1:12" x14ac:dyDescent="0.35">
      <c r="A2085" s="18">
        <v>45278</v>
      </c>
      <c r="B2085" s="15">
        <v>463.22555541992188</v>
      </c>
      <c r="C2085" s="15">
        <v>68.641426086425781</v>
      </c>
      <c r="D2085" s="15">
        <v>187.8500061035156</v>
      </c>
      <c r="E2085" s="15">
        <v>403.40707397460938</v>
      </c>
      <c r="F2085" s="15">
        <v>230.69136047363281</v>
      </c>
      <c r="H2085" s="16">
        <f t="shared" si="78"/>
        <v>6.0624316492701568E-3</v>
      </c>
      <c r="I2085" s="16">
        <f t="shared" si="78"/>
        <v>1.908931441261776E-3</v>
      </c>
      <c r="J2085" s="16">
        <f t="shared" si="78"/>
        <v>6.7908306061817258E-3</v>
      </c>
      <c r="K2085" s="16">
        <f t="shared" si="78"/>
        <v>5.096590276861713E-3</v>
      </c>
      <c r="L2085" s="16">
        <f t="shared" si="79"/>
        <v>7.2936624492402954E-3</v>
      </c>
    </row>
    <row r="2086" spans="1:12" x14ac:dyDescent="0.35">
      <c r="A2086" s="18">
        <v>45279</v>
      </c>
      <c r="B2086" s="15">
        <v>466.0423583984375</v>
      </c>
      <c r="C2086" s="15">
        <v>68.7725830078125</v>
      </c>
      <c r="D2086" s="15">
        <v>189.1300048828125</v>
      </c>
      <c r="E2086" s="15">
        <v>405.46832275390619</v>
      </c>
      <c r="F2086" s="15">
        <v>232.3800964355469</v>
      </c>
      <c r="H2086" s="16">
        <f t="shared" si="78"/>
        <v>-1.3954098927204197E-2</v>
      </c>
      <c r="I2086" s="16">
        <f t="shared" si="78"/>
        <v>3.2651845252323979E-3</v>
      </c>
      <c r="J2086" s="16">
        <f t="shared" si="78"/>
        <v>-5.460866362358663E-3</v>
      </c>
      <c r="K2086" s="16">
        <f t="shared" si="78"/>
        <v>-1.4971157157360067E-2</v>
      </c>
      <c r="L2086" s="16">
        <f t="shared" si="79"/>
        <v>-1.5024518005009835E-2</v>
      </c>
    </row>
    <row r="2087" spans="1:12" x14ac:dyDescent="0.35">
      <c r="A2087" s="18">
        <v>45280</v>
      </c>
      <c r="B2087" s="15">
        <v>459.58432006835938</v>
      </c>
      <c r="C2087" s="15">
        <v>68.997505187988281</v>
      </c>
      <c r="D2087" s="15">
        <v>188.1000061035156</v>
      </c>
      <c r="E2087" s="15">
        <v>399.44320678710938</v>
      </c>
      <c r="F2087" s="15">
        <v>228.914794921875</v>
      </c>
      <c r="H2087" s="16">
        <f t="shared" si="78"/>
        <v>9.4371512785993723E-3</v>
      </c>
      <c r="I2087" s="16">
        <f t="shared" si="78"/>
        <v>-1.3568464785517471E-4</v>
      </c>
      <c r="J2087" s="16">
        <f t="shared" si="78"/>
        <v>7.0457557204401527E-3</v>
      </c>
      <c r="K2087" s="16">
        <f t="shared" si="78"/>
        <v>1.1568136604698076E-2</v>
      </c>
      <c r="L2087" s="16">
        <f t="shared" si="79"/>
        <v>1.099678747328421E-2</v>
      </c>
    </row>
    <row r="2088" spans="1:12" x14ac:dyDescent="0.35">
      <c r="A2088" s="18">
        <v>45281</v>
      </c>
      <c r="B2088" s="15">
        <v>463.9420166015625</v>
      </c>
      <c r="C2088" s="15">
        <v>68.988143920898438</v>
      </c>
      <c r="D2088" s="15">
        <v>189.42999267578119</v>
      </c>
      <c r="E2088" s="15">
        <v>404.09085083007813</v>
      </c>
      <c r="F2088" s="15">
        <v>231.4460144042969</v>
      </c>
      <c r="H2088" s="16">
        <f t="shared" si="78"/>
        <v>2.0077247575521471E-3</v>
      </c>
      <c r="I2088" s="16">
        <f t="shared" si="78"/>
        <v>-6.6774375459137533E-4</v>
      </c>
      <c r="J2088" s="16">
        <f t="shared" si="78"/>
        <v>4.424614031362936E-3</v>
      </c>
      <c r="K2088" s="16">
        <f t="shared" si="78"/>
        <v>1.494813597606244E-3</v>
      </c>
      <c r="L2088" s="16">
        <f t="shared" si="79"/>
        <v>2.284696556185001E-3</v>
      </c>
    </row>
    <row r="2089" spans="1:12" x14ac:dyDescent="0.35">
      <c r="A2089" s="18">
        <v>45282</v>
      </c>
      <c r="B2089" s="15">
        <v>464.87442016601563</v>
      </c>
      <c r="C2089" s="15">
        <v>68.942092895507813</v>
      </c>
      <c r="D2089" s="15">
        <v>190.27000427246091</v>
      </c>
      <c r="E2089" s="15">
        <v>404.69534301757813</v>
      </c>
      <c r="F2089" s="15">
        <v>231.97540283203119</v>
      </c>
      <c r="H2089" s="16">
        <f t="shared" si="78"/>
        <v>4.2136518639227889E-3</v>
      </c>
      <c r="I2089" s="16">
        <f t="shared" si="78"/>
        <v>9.5357788881500992E-4</v>
      </c>
      <c r="J2089" s="16">
        <f t="shared" si="78"/>
        <v>7.591842151508473E-3</v>
      </c>
      <c r="K2089" s="16">
        <f t="shared" si="78"/>
        <v>6.1031724785984851E-3</v>
      </c>
      <c r="L2089" s="16">
        <f t="shared" si="79"/>
        <v>4.9321886057695809E-3</v>
      </c>
    </row>
    <row r="2090" spans="1:12" x14ac:dyDescent="0.35">
      <c r="A2090" s="18">
        <v>45286</v>
      </c>
      <c r="B2090" s="15">
        <v>466.83737182617188</v>
      </c>
      <c r="C2090" s="15">
        <v>69.007865905761719</v>
      </c>
      <c r="D2090" s="15">
        <v>191.7200012207031</v>
      </c>
      <c r="E2090" s="15">
        <v>407.17282104492188</v>
      </c>
      <c r="F2090" s="15">
        <v>233.12237548828119</v>
      </c>
      <c r="H2090" s="16">
        <f t="shared" si="78"/>
        <v>1.8064610287038619E-3</v>
      </c>
      <c r="I2090" s="16">
        <f t="shared" si="78"/>
        <v>6.3802667984435403E-3</v>
      </c>
      <c r="J2090" s="16">
        <f t="shared" si="78"/>
        <v>4.5275772625212145E-3</v>
      </c>
      <c r="K2090" s="16">
        <f t="shared" si="78"/>
        <v>2.033720831957997E-3</v>
      </c>
      <c r="L2090" s="16">
        <f t="shared" si="79"/>
        <v>1.8904866834654011E-3</v>
      </c>
    </row>
    <row r="2091" spans="1:12" x14ac:dyDescent="0.35">
      <c r="A2091" s="18">
        <v>45287</v>
      </c>
      <c r="B2091" s="15">
        <v>467.68145751953119</v>
      </c>
      <c r="C2091" s="15">
        <v>69.449562072753906</v>
      </c>
      <c r="D2091" s="15">
        <v>192.5899963378906</v>
      </c>
      <c r="E2091" s="15">
        <v>408.00173950195313</v>
      </c>
      <c r="F2091" s="15">
        <v>233.5635070800781</v>
      </c>
      <c r="H2091" s="16">
        <f t="shared" si="78"/>
        <v>3.7761256408458789E-4</v>
      </c>
      <c r="I2091" s="16">
        <f t="shared" si="78"/>
        <v>-2.4386803402637147E-3</v>
      </c>
      <c r="J2091" s="16">
        <f t="shared" si="78"/>
        <v>-5.8324131605246438E-3</v>
      </c>
      <c r="K2091" s="16">
        <f t="shared" si="78"/>
        <v>-4.8630305972892357E-4</v>
      </c>
      <c r="L2091" s="16">
        <f t="shared" si="79"/>
        <v>-5.0369328209625428E-4</v>
      </c>
    </row>
    <row r="2092" spans="1:12" x14ac:dyDescent="0.35">
      <c r="A2092" s="18">
        <v>45288</v>
      </c>
      <c r="B2092" s="15">
        <v>467.85809326171881</v>
      </c>
      <c r="C2092" s="15">
        <v>69.280403137207031</v>
      </c>
      <c r="D2092" s="15">
        <v>191.4700012207031</v>
      </c>
      <c r="E2092" s="15">
        <v>407.80337524414063</v>
      </c>
      <c r="F2092" s="15">
        <v>233.4458923339844</v>
      </c>
      <c r="H2092" s="16">
        <f t="shared" si="78"/>
        <v>-2.8992253912776341E-3</v>
      </c>
      <c r="I2092" s="16">
        <f t="shared" si="78"/>
        <v>-2.3087575477572994E-3</v>
      </c>
      <c r="J2092" s="16">
        <f t="shared" si="78"/>
        <v>-1.5680697977629434E-3</v>
      </c>
      <c r="K2092" s="16">
        <f t="shared" si="78"/>
        <v>-4.3370445002926987E-3</v>
      </c>
      <c r="L2092" s="16">
        <f t="shared" si="79"/>
        <v>-3.8287845742530791E-3</v>
      </c>
    </row>
    <row r="2093" spans="1:12" x14ac:dyDescent="0.35">
      <c r="A2093" s="18">
        <v>45289</v>
      </c>
      <c r="B2093" s="15">
        <v>466.50363159179688</v>
      </c>
      <c r="C2093" s="15">
        <v>69.120635986328125</v>
      </c>
      <c r="D2093" s="15">
        <v>191.16999816894531</v>
      </c>
      <c r="E2093" s="15">
        <v>406.03854370117188</v>
      </c>
      <c r="F2093" s="15">
        <v>232.55378723144531</v>
      </c>
      <c r="H2093" s="16">
        <f t="shared" si="78"/>
        <v>-5.6119370423872101E-3</v>
      </c>
      <c r="I2093" s="16">
        <f t="shared" si="78"/>
        <v>-4.2234677987186093E-3</v>
      </c>
      <c r="J2093" s="16">
        <f t="shared" si="78"/>
        <v>-2.3566846852946621E-3</v>
      </c>
      <c r="K2093" s="16">
        <f t="shared" si="78"/>
        <v>-1.7067087405808635E-2</v>
      </c>
      <c r="L2093" s="16">
        <f t="shared" si="79"/>
        <v>-6.7251667910707249E-3</v>
      </c>
    </row>
    <row r="2094" spans="1:12" x14ac:dyDescent="0.35">
      <c r="A2094" s="18">
        <v>45293</v>
      </c>
      <c r="B2094" s="15">
        <v>463.89297485351563</v>
      </c>
      <c r="C2094" s="15">
        <v>68.829322814941406</v>
      </c>
      <c r="D2094" s="15">
        <v>190.7200012207031</v>
      </c>
      <c r="E2094" s="15">
        <v>399.16744995117188</v>
      </c>
      <c r="F2094" s="15">
        <v>230.99507141113281</v>
      </c>
      <c r="H2094" s="16">
        <f t="shared" si="78"/>
        <v>-8.2003136886413738E-3</v>
      </c>
      <c r="I2094" s="16">
        <f t="shared" si="78"/>
        <v>8.1858860977997172E-4</v>
      </c>
      <c r="J2094" s="16">
        <f t="shared" si="78"/>
        <v>-8.3717551598919988E-3</v>
      </c>
      <c r="K2094" s="16">
        <f t="shared" si="78"/>
        <v>-1.0637869575125162E-2</v>
      </c>
      <c r="L2094" s="16">
        <f t="shared" si="79"/>
        <v>-9.6376042385608578E-3</v>
      </c>
    </row>
    <row r="2095" spans="1:12" x14ac:dyDescent="0.35">
      <c r="A2095" s="18">
        <v>45294</v>
      </c>
      <c r="B2095" s="15">
        <v>460.10446166992188</v>
      </c>
      <c r="C2095" s="15">
        <v>68.885688781738281</v>
      </c>
      <c r="D2095" s="15">
        <v>189.1300048828125</v>
      </c>
      <c r="E2095" s="15">
        <v>394.94366455078119</v>
      </c>
      <c r="F2095" s="15">
        <v>228.77952575683591</v>
      </c>
      <c r="H2095" s="16">
        <f t="shared" si="78"/>
        <v>-3.2262611117672749E-3</v>
      </c>
      <c r="I2095" s="16">
        <f t="shared" si="78"/>
        <v>-4.51210995320584E-3</v>
      </c>
      <c r="J2095" s="16">
        <f t="shared" si="78"/>
        <v>1.0041086074337173E-3</v>
      </c>
      <c r="K2095" s="16">
        <f t="shared" si="78"/>
        <v>-5.1598275400967239E-3</v>
      </c>
      <c r="L2095" s="16">
        <f t="shared" si="79"/>
        <v>-2.5743266480416781E-3</v>
      </c>
    </row>
    <row r="2096" spans="1:12" x14ac:dyDescent="0.35">
      <c r="A2096" s="18">
        <v>45295</v>
      </c>
      <c r="B2096" s="15">
        <v>458.6224365234375</v>
      </c>
      <c r="C2096" s="15">
        <v>68.575569152832031</v>
      </c>
      <c r="D2096" s="15">
        <v>189.32000732421881</v>
      </c>
      <c r="E2096" s="15">
        <v>392.91107177734381</v>
      </c>
      <c r="F2096" s="15">
        <v>228.19132995605469</v>
      </c>
      <c r="H2096" s="16">
        <f t="shared" si="78"/>
        <v>1.3687599354562157E-3</v>
      </c>
      <c r="I2096" s="16">
        <f t="shared" si="78"/>
        <v>-3.0191261969440045E-3</v>
      </c>
      <c r="J2096" s="16">
        <f t="shared" si="78"/>
        <v>1.5844285681866825E-4</v>
      </c>
      <c r="K2096" s="16">
        <f t="shared" si="78"/>
        <v>1.1853249329115906E-3</v>
      </c>
      <c r="L2096" s="16">
        <f t="shared" si="79"/>
        <v>1.5024735570479768E-3</v>
      </c>
    </row>
    <row r="2097" spans="1:12" x14ac:dyDescent="0.35">
      <c r="A2097" s="18">
        <v>45296</v>
      </c>
      <c r="B2097" s="15">
        <v>459.2506103515625</v>
      </c>
      <c r="C2097" s="15">
        <v>68.368843078613281</v>
      </c>
      <c r="D2097" s="15">
        <v>189.3500061035156</v>
      </c>
      <c r="E2097" s="15">
        <v>393.3770751953125</v>
      </c>
      <c r="F2097" s="15">
        <v>228.53443908691409</v>
      </c>
      <c r="H2097" s="16">
        <f t="shared" si="78"/>
        <v>1.4175019231771389E-2</v>
      </c>
      <c r="I2097" s="16">
        <f t="shared" si="78"/>
        <v>4.3888528115819192E-3</v>
      </c>
      <c r="J2097" s="16">
        <f t="shared" si="78"/>
        <v>-7.8469782930157064E-3</v>
      </c>
      <c r="K2097" s="16">
        <f t="shared" si="78"/>
        <v>2.0457296642212328E-2</v>
      </c>
      <c r="L2097" s="16">
        <f t="shared" si="79"/>
        <v>1.4183484888862037E-2</v>
      </c>
    </row>
    <row r="2098" spans="1:12" x14ac:dyDescent="0.35">
      <c r="A2098" s="18">
        <v>45299</v>
      </c>
      <c r="B2098" s="15">
        <v>465.80685424804688</v>
      </c>
      <c r="C2098" s="15">
        <v>68.669563293457031</v>
      </c>
      <c r="D2098" s="15">
        <v>187.8699951171875</v>
      </c>
      <c r="E2098" s="15">
        <v>401.50738525390619</v>
      </c>
      <c r="F2098" s="15">
        <v>231.7989501953125</v>
      </c>
      <c r="H2098" s="16">
        <f t="shared" si="78"/>
        <v>-1.5182949157650869E-3</v>
      </c>
      <c r="I2098" s="16">
        <f t="shared" si="78"/>
        <v>-1.3711050194586461E-4</v>
      </c>
      <c r="J2098" s="16">
        <f t="shared" si="78"/>
        <v>3.1930580655852822E-4</v>
      </c>
      <c r="K2098" s="16">
        <f t="shared" si="78"/>
        <v>1.9736383924714137E-3</v>
      </c>
      <c r="L2098" s="16">
        <f t="shared" si="79"/>
        <v>-1.8626824671401823E-3</v>
      </c>
    </row>
    <row r="2099" spans="1:12" x14ac:dyDescent="0.35">
      <c r="A2099" s="18">
        <v>45300</v>
      </c>
      <c r="B2099" s="15">
        <v>465.10015869140619</v>
      </c>
      <c r="C2099" s="15">
        <v>68.660148620605469</v>
      </c>
      <c r="D2099" s="15">
        <v>187.92999267578119</v>
      </c>
      <c r="E2099" s="15">
        <v>402.30059814453119</v>
      </c>
      <c r="F2099" s="15">
        <v>231.3675842285156</v>
      </c>
      <c r="H2099" s="16">
        <f t="shared" si="78"/>
        <v>5.6395616004997241E-3</v>
      </c>
      <c r="I2099" s="16">
        <f t="shared" si="78"/>
        <v>-1.7810325129141752E-3</v>
      </c>
      <c r="J2099" s="16">
        <f t="shared" si="78"/>
        <v>-2.2906686849212634E-3</v>
      </c>
      <c r="K2099" s="16">
        <f t="shared" si="78"/>
        <v>6.754637757919112E-3</v>
      </c>
      <c r="L2099" s="16">
        <f t="shared" si="79"/>
        <v>5.1560106243955725E-3</v>
      </c>
    </row>
    <row r="2100" spans="1:12" x14ac:dyDescent="0.35">
      <c r="A2100" s="18">
        <v>45301</v>
      </c>
      <c r="B2100" s="15">
        <v>467.73052978515619</v>
      </c>
      <c r="C2100" s="15">
        <v>68.537971496582031</v>
      </c>
      <c r="D2100" s="15">
        <v>187.5</v>
      </c>
      <c r="E2100" s="15">
        <v>405.02719116210938</v>
      </c>
      <c r="F2100" s="15">
        <v>232.5635986328125</v>
      </c>
      <c r="H2100" s="16">
        <f t="shared" si="78"/>
        <v>-4.4076907018574554E-4</v>
      </c>
      <c r="I2100" s="16">
        <f t="shared" si="78"/>
        <v>5.1968557516008373E-3</v>
      </c>
      <c r="J2100" s="16">
        <f t="shared" si="78"/>
        <v>1.9713628783626612E-3</v>
      </c>
      <c r="K2100" s="16">
        <f t="shared" si="78"/>
        <v>2.0786957281801479E-3</v>
      </c>
      <c r="L2100" s="16">
        <f t="shared" si="79"/>
        <v>-6.7464558972168552E-4</v>
      </c>
    </row>
    <row r="2101" spans="1:12" x14ac:dyDescent="0.35">
      <c r="A2101" s="18">
        <v>45302</v>
      </c>
      <c r="B2101" s="15">
        <v>467.5244140625</v>
      </c>
      <c r="C2101" s="15">
        <v>68.89508056640625</v>
      </c>
      <c r="D2101" s="15">
        <v>187.8699951171875</v>
      </c>
      <c r="E2101" s="15">
        <v>405.8699951171875</v>
      </c>
      <c r="F2101" s="15">
        <v>232.40675354003909</v>
      </c>
      <c r="H2101" s="16">
        <f t="shared" si="78"/>
        <v>6.9245672596091978E-4</v>
      </c>
      <c r="I2101" s="16">
        <f t="shared" si="78"/>
        <v>2.0441504973774992E-3</v>
      </c>
      <c r="J2101" s="16">
        <f t="shared" si="78"/>
        <v>9.7464174657847444E-3</v>
      </c>
      <c r="K2101" s="16">
        <f t="shared" si="78"/>
        <v>5.1274309766803877E-4</v>
      </c>
      <c r="L2101" s="16">
        <f t="shared" si="79"/>
        <v>1.6858919442280942E-4</v>
      </c>
    </row>
    <row r="2102" spans="1:12" x14ac:dyDescent="0.35">
      <c r="A2102" s="18">
        <v>45303</v>
      </c>
      <c r="B2102" s="15">
        <v>467.8482666015625</v>
      </c>
      <c r="C2102" s="15">
        <v>69.036056518554688</v>
      </c>
      <c r="D2102" s="15">
        <v>189.71000671386719</v>
      </c>
      <c r="E2102" s="15">
        <v>406.07815551757813</v>
      </c>
      <c r="F2102" s="15">
        <v>232.44593811035159</v>
      </c>
      <c r="H2102" s="16">
        <f t="shared" si="78"/>
        <v>-3.6779452205021749E-3</v>
      </c>
      <c r="I2102" s="16">
        <f t="shared" si="78"/>
        <v>-7.103762648997947E-3</v>
      </c>
      <c r="J2102" s="16">
        <f t="shared" si="78"/>
        <v>-9.5334814649170596E-3</v>
      </c>
      <c r="K2102" s="16">
        <f t="shared" si="78"/>
        <v>-9.755203033198118E-5</v>
      </c>
      <c r="L2102" s="16">
        <f t="shared" si="79"/>
        <v>-4.6499542290967758E-3</v>
      </c>
    </row>
    <row r="2103" spans="1:12" x14ac:dyDescent="0.35">
      <c r="A2103" s="18">
        <v>45307</v>
      </c>
      <c r="B2103" s="15">
        <v>466.13070678710938</v>
      </c>
      <c r="C2103" s="15">
        <v>68.547378540039063</v>
      </c>
      <c r="D2103" s="15">
        <v>187.9100036621094</v>
      </c>
      <c r="E2103" s="15">
        <v>406.03854370117188</v>
      </c>
      <c r="F2103" s="15">
        <v>231.3675842285156</v>
      </c>
      <c r="H2103" s="16">
        <f t="shared" si="78"/>
        <v>-5.5741718869907943E-3</v>
      </c>
      <c r="I2103" s="16">
        <f t="shared" si="78"/>
        <v>-2.3338102026431761E-3</v>
      </c>
      <c r="J2103" s="16">
        <f t="shared" si="78"/>
        <v>-1.1077075533253862E-2</v>
      </c>
      <c r="K2103" s="16">
        <f t="shared" si="78"/>
        <v>-5.6568264992955071E-3</v>
      </c>
      <c r="L2103" s="16">
        <f t="shared" si="79"/>
        <v>-6.0348960606195403E-3</v>
      </c>
    </row>
    <row r="2104" spans="1:12" x14ac:dyDescent="0.35">
      <c r="A2104" s="18">
        <v>45308</v>
      </c>
      <c r="B2104" s="15">
        <v>463.53964233398438</v>
      </c>
      <c r="C2104" s="15">
        <v>68.387588500976563</v>
      </c>
      <c r="D2104" s="15">
        <v>185.8399963378906</v>
      </c>
      <c r="E2104" s="15">
        <v>403.74813842773438</v>
      </c>
      <c r="F2104" s="15">
        <v>229.97550964355469</v>
      </c>
      <c r="H2104" s="16">
        <f t="shared" si="78"/>
        <v>8.8534192542110163E-3</v>
      </c>
      <c r="I2104" s="16">
        <f t="shared" si="78"/>
        <v>-1.3747078511023886E-3</v>
      </c>
      <c r="J2104" s="16">
        <f t="shared" si="78"/>
        <v>8.1991767942439196E-3</v>
      </c>
      <c r="K2104" s="16">
        <f t="shared" si="78"/>
        <v>1.4094440173317657E-2</v>
      </c>
      <c r="L2104" s="16">
        <f t="shared" si="79"/>
        <v>8.7852657609050182E-3</v>
      </c>
    </row>
    <row r="2105" spans="1:12" x14ac:dyDescent="0.35">
      <c r="A2105" s="18">
        <v>45309</v>
      </c>
      <c r="B2105" s="15">
        <v>467.66177368164063</v>
      </c>
      <c r="C2105" s="15">
        <v>68.29364013671875</v>
      </c>
      <c r="D2105" s="15">
        <v>187.3699951171875</v>
      </c>
      <c r="E2105" s="15">
        <v>409.47903442382813</v>
      </c>
      <c r="F2105" s="15">
        <v>232.00480651855469</v>
      </c>
      <c r="H2105" s="16">
        <f t="shared" si="78"/>
        <v>1.2389052951999085E-2</v>
      </c>
      <c r="I2105" s="16">
        <f t="shared" si="78"/>
        <v>0</v>
      </c>
      <c r="J2105" s="16">
        <f t="shared" si="78"/>
        <v>2.9842685447006639E-3</v>
      </c>
      <c r="K2105" s="16">
        <f t="shared" si="78"/>
        <v>1.963688561899431E-2</v>
      </c>
      <c r="L2105" s="16">
        <f t="shared" si="79"/>
        <v>1.2095839348870881E-2</v>
      </c>
    </row>
    <row r="2106" spans="1:12" x14ac:dyDescent="0.35">
      <c r="A2106" s="18">
        <v>45310</v>
      </c>
      <c r="B2106" s="15">
        <v>473.49169921875</v>
      </c>
      <c r="C2106" s="15">
        <v>68.29364013671875</v>
      </c>
      <c r="D2106" s="15">
        <v>187.92999267578119</v>
      </c>
      <c r="E2106" s="15">
        <v>417.59939575195313</v>
      </c>
      <c r="F2106" s="15">
        <v>234.82814025878909</v>
      </c>
      <c r="H2106" s="16">
        <f t="shared" si="78"/>
        <v>2.1121863887283163E-3</v>
      </c>
      <c r="I2106" s="16">
        <f t="shared" si="78"/>
        <v>1.6497796855147555E-3</v>
      </c>
      <c r="J2106" s="16">
        <f t="shared" si="78"/>
        <v>-3.7851116316348463E-3</v>
      </c>
      <c r="K2106" s="16">
        <f t="shared" si="78"/>
        <v>1.3050625711563543E-3</v>
      </c>
      <c r="L2106" s="16">
        <f t="shared" si="79"/>
        <v>4.3322730629727132E-3</v>
      </c>
    </row>
    <row r="2107" spans="1:12" x14ac:dyDescent="0.35">
      <c r="A2107" s="18">
        <v>45313</v>
      </c>
      <c r="B2107" s="15">
        <v>474.49285888671881</v>
      </c>
      <c r="C2107" s="15">
        <v>68.406402587890625</v>
      </c>
      <c r="D2107" s="15">
        <v>187.2200012207031</v>
      </c>
      <c r="E2107" s="15">
        <v>418.14474487304688</v>
      </c>
      <c r="F2107" s="15">
        <v>235.8476867675781</v>
      </c>
      <c r="H2107" s="16">
        <f t="shared" si="78"/>
        <v>2.9122377704221126E-3</v>
      </c>
      <c r="I2107" s="16">
        <f t="shared" si="78"/>
        <v>-2.3382901102430727E-3</v>
      </c>
      <c r="J2107" s="16">
        <f t="shared" si="78"/>
        <v>3.8915513093621982E-3</v>
      </c>
      <c r="K2107" s="16">
        <f t="shared" si="78"/>
        <v>4.1409522038661816E-3</v>
      </c>
      <c r="L2107" s="16">
        <f t="shared" si="79"/>
        <v>1.8272671546783849E-3</v>
      </c>
    </row>
    <row r="2108" spans="1:12" x14ac:dyDescent="0.35">
      <c r="A2108" s="18">
        <v>45314</v>
      </c>
      <c r="B2108" s="15">
        <v>475.876708984375</v>
      </c>
      <c r="C2108" s="15">
        <v>68.246635437011719</v>
      </c>
      <c r="D2108" s="15">
        <v>187.94999694824219</v>
      </c>
      <c r="E2108" s="15">
        <v>419.87985229492188</v>
      </c>
      <c r="F2108" s="15">
        <v>236.27903747558591</v>
      </c>
      <c r="H2108" s="16">
        <f t="shared" si="78"/>
        <v>1.0924847150892525E-3</v>
      </c>
      <c r="I2108" s="16">
        <f t="shared" si="78"/>
        <v>-2.0672599022832487E-3</v>
      </c>
      <c r="J2108" s="16">
        <f t="shared" si="78"/>
        <v>-8.2810842658062912E-3</v>
      </c>
      <c r="K2108" s="16">
        <f t="shared" si="78"/>
        <v>5.5339068417104391E-3</v>
      </c>
      <c r="L2108" s="16">
        <f t="shared" si="79"/>
        <v>-1.6604775541891818E-4</v>
      </c>
    </row>
    <row r="2109" spans="1:12" x14ac:dyDescent="0.35">
      <c r="A2109" s="18">
        <v>45315</v>
      </c>
      <c r="B2109" s="15">
        <v>476.39688110351563</v>
      </c>
      <c r="C2109" s="15">
        <v>68.105697631835938</v>
      </c>
      <c r="D2109" s="15">
        <v>186.3999938964844</v>
      </c>
      <c r="E2109" s="15">
        <v>422.20986938476563</v>
      </c>
      <c r="F2109" s="15">
        <v>236.23980712890619</v>
      </c>
      <c r="H2109" s="16">
        <f t="shared" si="78"/>
        <v>5.4243317218836459E-3</v>
      </c>
      <c r="I2109" s="16">
        <f t="shared" si="78"/>
        <v>4.6804347034755649E-3</v>
      </c>
      <c r="J2109" s="16">
        <f t="shared" si="78"/>
        <v>3.9621270789884748E-3</v>
      </c>
      <c r="K2109" s="16">
        <f t="shared" si="78"/>
        <v>1.2205077124659647E-3</v>
      </c>
      <c r="L2109" s="16">
        <f t="shared" si="79"/>
        <v>5.5453647113754383E-3</v>
      </c>
    </row>
    <row r="2110" spans="1:12" x14ac:dyDescent="0.35">
      <c r="A2110" s="18">
        <v>45316</v>
      </c>
      <c r="B2110" s="15">
        <v>478.988037109375</v>
      </c>
      <c r="C2110" s="15">
        <v>68.425209045410156</v>
      </c>
      <c r="D2110" s="15">
        <v>187.13999938964841</v>
      </c>
      <c r="E2110" s="15">
        <v>422.72549438476563</v>
      </c>
      <c r="F2110" s="15">
        <v>237.55348205566409</v>
      </c>
      <c r="H2110" s="16">
        <f t="shared" si="78"/>
        <v>-1.2713647154285403E-3</v>
      </c>
      <c r="I2110" s="16">
        <f t="shared" si="78"/>
        <v>-1.5119642187113563E-3</v>
      </c>
      <c r="J2110" s="16">
        <f t="shared" si="78"/>
        <v>-6.9493459930648641E-4</v>
      </c>
      <c r="K2110" s="16">
        <f t="shared" si="78"/>
        <v>-5.9754249431596164E-3</v>
      </c>
      <c r="L2110" s="16">
        <f t="shared" si="79"/>
        <v>-8.2580004107516618E-4</v>
      </c>
    </row>
    <row r="2111" spans="1:12" x14ac:dyDescent="0.35">
      <c r="A2111" s="18">
        <v>45317</v>
      </c>
      <c r="B2111" s="15">
        <v>478.37945556640619</v>
      </c>
      <c r="C2111" s="15">
        <v>68.321830749511719</v>
      </c>
      <c r="D2111" s="15">
        <v>187.00999450683591</v>
      </c>
      <c r="E2111" s="15">
        <v>420.20706176757813</v>
      </c>
      <c r="F2111" s="15">
        <v>237.3573913574219</v>
      </c>
      <c r="H2111" s="16">
        <f t="shared" si="78"/>
        <v>7.8883418566340364E-3</v>
      </c>
      <c r="I2111" s="16">
        <f t="shared" si="78"/>
        <v>3.9811973771491432E-3</v>
      </c>
      <c r="J2111" s="16">
        <f t="shared" si="78"/>
        <v>7.0336909422522723E-3</v>
      </c>
      <c r="K2111" s="16">
        <f t="shared" si="78"/>
        <v>1.0188279160897399E-2</v>
      </c>
      <c r="L2111" s="16">
        <f t="shared" si="79"/>
        <v>9.0454895361549228E-3</v>
      </c>
    </row>
    <row r="2112" spans="1:12" x14ac:dyDescent="0.35">
      <c r="A2112" s="18">
        <v>45320</v>
      </c>
      <c r="B2112" s="15">
        <v>482.16799926757813</v>
      </c>
      <c r="C2112" s="15">
        <v>68.594375610351563</v>
      </c>
      <c r="D2112" s="15">
        <v>188.33000183105469</v>
      </c>
      <c r="E2112" s="15">
        <v>424.5101318359375</v>
      </c>
      <c r="F2112" s="15">
        <v>239.51414489746091</v>
      </c>
      <c r="H2112" s="16">
        <f t="shared" si="78"/>
        <v>-7.7385927373839112E-4</v>
      </c>
      <c r="I2112" s="16">
        <f t="shared" si="78"/>
        <v>1.7794582722137678E-3</v>
      </c>
      <c r="J2112" s="16">
        <f t="shared" si="78"/>
        <v>1.3795741766668092E-3</v>
      </c>
      <c r="K2112" s="16">
        <f t="shared" si="78"/>
        <v>-6.6787365527859162E-3</v>
      </c>
      <c r="L2112" s="16">
        <f t="shared" si="79"/>
        <v>-1.3927181071146295E-3</v>
      </c>
    </row>
    <row r="2113" spans="1:12" x14ac:dyDescent="0.35">
      <c r="A2113" s="18">
        <v>45321</v>
      </c>
      <c r="B2113" s="15">
        <v>481.79501342773438</v>
      </c>
      <c r="C2113" s="15">
        <v>68.716545104980469</v>
      </c>
      <c r="D2113" s="15">
        <v>188.5899963378906</v>
      </c>
      <c r="E2113" s="15">
        <v>421.68438720703119</v>
      </c>
      <c r="F2113" s="15">
        <v>239.18080139160159</v>
      </c>
      <c r="H2113" s="16">
        <f t="shared" si="78"/>
        <v>-1.6451912293045261E-2</v>
      </c>
      <c r="I2113" s="16">
        <f t="shared" si="78"/>
        <v>4.2304952785934859E-3</v>
      </c>
      <c r="J2113" s="16">
        <f t="shared" si="78"/>
        <v>-7.426235867566644E-4</v>
      </c>
      <c r="K2113" s="16">
        <f t="shared" si="78"/>
        <v>-1.978052988248984E-2</v>
      </c>
      <c r="L2113" s="16">
        <f t="shared" si="79"/>
        <v>-1.6989166627065556E-2</v>
      </c>
    </row>
    <row r="2114" spans="1:12" x14ac:dyDescent="0.35">
      <c r="A2114" s="18">
        <v>45322</v>
      </c>
      <c r="B2114" s="15">
        <v>473.93341064453119</v>
      </c>
      <c r="C2114" s="15">
        <v>69.007865905761719</v>
      </c>
      <c r="D2114" s="15">
        <v>188.44999694824219</v>
      </c>
      <c r="E2114" s="15">
        <v>413.42520141601563</v>
      </c>
      <c r="F2114" s="15">
        <v>235.1516418457031</v>
      </c>
      <c r="H2114" s="16">
        <f t="shared" si="78"/>
        <v>1.3003303398038988E-2</v>
      </c>
      <c r="I2114" s="16">
        <f t="shared" si="78"/>
        <v>6.0186680136770894E-3</v>
      </c>
      <c r="J2114" s="16">
        <f t="shared" si="78"/>
        <v>1.0346957700093792E-2</v>
      </c>
      <c r="K2114" s="16">
        <f t="shared" si="78"/>
        <v>1.1706629791802533E-2</v>
      </c>
      <c r="L2114" s="16">
        <f t="shared" si="79"/>
        <v>1.3375937390281567E-2</v>
      </c>
    </row>
    <row r="2115" spans="1:12" x14ac:dyDescent="0.35">
      <c r="A2115" s="18">
        <v>45323</v>
      </c>
      <c r="B2115" s="15">
        <v>480.1363525390625</v>
      </c>
      <c r="C2115" s="15">
        <v>69.424453735351563</v>
      </c>
      <c r="D2115" s="15">
        <v>190.4100036621094</v>
      </c>
      <c r="E2115" s="15">
        <v>418.29345703125</v>
      </c>
      <c r="F2115" s="15">
        <v>238.3181457519531</v>
      </c>
      <c r="H2115" s="16">
        <f t="shared" si="78"/>
        <v>1.0472327423856951E-2</v>
      </c>
      <c r="I2115" s="16">
        <f t="shared" si="78"/>
        <v>-9.0003340805722993E-3</v>
      </c>
      <c r="J2115" s="16">
        <f t="shared" si="78"/>
        <v>-9.4982669201155463E-3</v>
      </c>
      <c r="K2115" s="16">
        <f t="shared" si="78"/>
        <v>1.6759342276729573E-2</v>
      </c>
      <c r="L2115" s="16">
        <f t="shared" si="79"/>
        <v>8.5196566592864748E-3</v>
      </c>
    </row>
    <row r="2116" spans="1:12" x14ac:dyDescent="0.35">
      <c r="A2116" s="18">
        <v>45324</v>
      </c>
      <c r="B2116" s="15">
        <v>485.19091796875</v>
      </c>
      <c r="C2116" s="15">
        <v>68.802413940429688</v>
      </c>
      <c r="D2116" s="15">
        <v>188.61000061035159</v>
      </c>
      <c r="E2116" s="15">
        <v>425.36285400390619</v>
      </c>
      <c r="F2116" s="15">
        <v>240.3572082519531</v>
      </c>
      <c r="H2116" s="16">
        <f t="shared" si="78"/>
        <v>-3.6478782877668163E-3</v>
      </c>
      <c r="I2116" s="16">
        <f t="shared" si="78"/>
        <v>-7.9770017331736928E-3</v>
      </c>
      <c r="J2116" s="16">
        <f t="shared" si="78"/>
        <v>-5.5292461789589837E-3</v>
      </c>
      <c r="K2116" s="16">
        <f t="shared" si="78"/>
        <v>-1.3061059555460888E-3</v>
      </c>
      <c r="L2116" s="16">
        <f t="shared" si="79"/>
        <v>-4.7424212416984825E-3</v>
      </c>
    </row>
    <row r="2117" spans="1:12" x14ac:dyDescent="0.35">
      <c r="A2117" s="18">
        <v>45327</v>
      </c>
      <c r="B2117" s="15">
        <v>483.42422485351563</v>
      </c>
      <c r="C2117" s="15">
        <v>68.255760192871094</v>
      </c>
      <c r="D2117" s="15">
        <v>187.57000732421881</v>
      </c>
      <c r="E2117" s="15">
        <v>424.80764770507813</v>
      </c>
      <c r="F2117" s="15">
        <v>239.22003173828119</v>
      </c>
      <c r="H2117" s="16">
        <f t="shared" si="78"/>
        <v>2.8991738012476829E-3</v>
      </c>
      <c r="I2117" s="16">
        <f t="shared" si="78"/>
        <v>4.6837417144171695E-3</v>
      </c>
      <c r="J2117" s="16">
        <f t="shared" si="78"/>
        <v>5.211091769597785E-3</v>
      </c>
      <c r="K2117" s="16">
        <f t="shared" si="78"/>
        <v>-2.0093309524961025E-3</v>
      </c>
      <c r="L2117" s="16">
        <f t="shared" si="79"/>
        <v>3.3955946229188004E-3</v>
      </c>
    </row>
    <row r="2118" spans="1:12" x14ac:dyDescent="0.35">
      <c r="A2118" s="18">
        <v>45328</v>
      </c>
      <c r="B2118" s="15">
        <v>484.82778930664063</v>
      </c>
      <c r="C2118" s="15">
        <v>68.576202392578125</v>
      </c>
      <c r="D2118" s="15">
        <v>188.55000305175781</v>
      </c>
      <c r="E2118" s="15">
        <v>423.95492553710938</v>
      </c>
      <c r="F2118" s="15">
        <v>240.03370666503909</v>
      </c>
      <c r="H2118" s="16">
        <f t="shared" si="78"/>
        <v>8.305775140834323E-3</v>
      </c>
      <c r="I2118" s="16">
        <f t="shared" si="78"/>
        <v>-1.9261074053091318E-3</v>
      </c>
      <c r="J2118" s="16">
        <f t="shared" si="78"/>
        <v>-2.6523300170391861E-4</v>
      </c>
      <c r="K2118" s="16">
        <f t="shared" si="78"/>
        <v>1.0237612512030057E-2</v>
      </c>
      <c r="L2118" s="16">
        <f t="shared" si="79"/>
        <v>7.8515060057481375E-3</v>
      </c>
    </row>
    <row r="2119" spans="1:12" x14ac:dyDescent="0.35">
      <c r="A2119" s="18">
        <v>45329</v>
      </c>
      <c r="B2119" s="15">
        <v>488.87142944335938</v>
      </c>
      <c r="C2119" s="15">
        <v>68.444244384765625</v>
      </c>
      <c r="D2119" s="15">
        <v>188.5</v>
      </c>
      <c r="E2119" s="15">
        <v>428.3175048828125</v>
      </c>
      <c r="F2119" s="15">
        <v>241.9257507324219</v>
      </c>
      <c r="H2119" s="16">
        <f t="shared" si="78"/>
        <v>4.415561784398412E-4</v>
      </c>
      <c r="I2119" s="16">
        <f t="shared" si="78"/>
        <v>-2.6195997764489431E-3</v>
      </c>
      <c r="J2119" s="16">
        <f t="shared" si="78"/>
        <v>-9.0225395882333464E-4</v>
      </c>
      <c r="K2119" s="16">
        <f t="shared" si="78"/>
        <v>1.8502146207669313E-3</v>
      </c>
      <c r="L2119" s="16">
        <f t="shared" si="79"/>
        <v>2.4687496022282557E-3</v>
      </c>
    </row>
    <row r="2120" spans="1:12" x14ac:dyDescent="0.35">
      <c r="A2120" s="18">
        <v>45330</v>
      </c>
      <c r="B2120" s="15">
        <v>489.08734130859381</v>
      </c>
      <c r="C2120" s="15">
        <v>68.265182495117188</v>
      </c>
      <c r="D2120" s="15">
        <v>188.33000183105469</v>
      </c>
      <c r="E2120" s="15">
        <v>429.1107177734375</v>
      </c>
      <c r="F2120" s="15">
        <v>242.52374267578119</v>
      </c>
      <c r="H2120" s="16">
        <f t="shared" si="78"/>
        <v>5.7628838732467387E-3</v>
      </c>
      <c r="I2120" s="16">
        <f t="shared" si="78"/>
        <v>-8.2860499744872261E-4</v>
      </c>
      <c r="J2120" s="16">
        <f t="shared" si="78"/>
        <v>-3.8836838223869725E-3</v>
      </c>
      <c r="K2120" s="16">
        <f t="shared" si="78"/>
        <v>9.7949853915908543E-3</v>
      </c>
      <c r="L2120" s="16">
        <f t="shared" si="79"/>
        <v>6.0850586051745727E-3</v>
      </c>
    </row>
    <row r="2121" spans="1:12" x14ac:dyDescent="0.35">
      <c r="A2121" s="18">
        <v>45331</v>
      </c>
      <c r="B2121" s="15">
        <v>491.91403198242188</v>
      </c>
      <c r="C2121" s="15">
        <v>68.208641052246094</v>
      </c>
      <c r="D2121" s="15">
        <v>187.6000061035156</v>
      </c>
      <c r="E2121" s="15">
        <v>433.33450317382813</v>
      </c>
      <c r="F2121" s="15">
        <v>244.00401306152341</v>
      </c>
      <c r="H2121" s="16">
        <f t="shared" si="78"/>
        <v>-4.3908036825432287E-4</v>
      </c>
      <c r="I2121" s="16">
        <f t="shared" si="78"/>
        <v>2.7646433165523374E-4</v>
      </c>
      <c r="J2121" s="16">
        <f t="shared" si="78"/>
        <v>-2.6153866387207837E-3</v>
      </c>
      <c r="K2121" s="16">
        <f t="shared" si="78"/>
        <v>-3.9203461283697678E-3</v>
      </c>
      <c r="L2121" s="16">
        <f t="shared" si="79"/>
        <v>9.6388742650440403E-4</v>
      </c>
    </row>
    <row r="2122" spans="1:12" x14ac:dyDescent="0.35">
      <c r="A2122" s="18">
        <v>45334</v>
      </c>
      <c r="B2122" s="15">
        <v>491.69808959960938</v>
      </c>
      <c r="C2122" s="15">
        <v>68.227500915527344</v>
      </c>
      <c r="D2122" s="15">
        <v>187.11000061035159</v>
      </c>
      <c r="E2122" s="15">
        <v>431.63900756835938</v>
      </c>
      <c r="F2122" s="15">
        <v>244.23931884765619</v>
      </c>
      <c r="H2122" s="16">
        <f t="shared" si="78"/>
        <v>-1.3868786506848163E-2</v>
      </c>
      <c r="I2122" s="16">
        <f t="shared" si="78"/>
        <v>-8.7411544723107418E-3</v>
      </c>
      <c r="J2122" s="16">
        <f t="shared" si="78"/>
        <v>-1.3884637194949071E-2</v>
      </c>
      <c r="K2122" s="16">
        <f t="shared" si="78"/>
        <v>-1.5719830953744442E-2</v>
      </c>
      <c r="L2122" s="16">
        <f t="shared" si="79"/>
        <v>-1.6144779279375975E-2</v>
      </c>
    </row>
    <row r="2123" spans="1:12" x14ac:dyDescent="0.35">
      <c r="A2123" s="18">
        <v>45335</v>
      </c>
      <c r="B2123" s="15">
        <v>484.9259033203125</v>
      </c>
      <c r="C2123" s="15">
        <v>67.633712768554688</v>
      </c>
      <c r="D2123" s="15">
        <v>184.5299987792969</v>
      </c>
      <c r="E2123" s="15">
        <v>424.90676879882813</v>
      </c>
      <c r="F2123" s="15">
        <v>240.3277893066406</v>
      </c>
      <c r="H2123" s="16">
        <f t="shared" si="78"/>
        <v>9.0465290091902122E-3</v>
      </c>
      <c r="I2123" s="16">
        <f t="shared" si="78"/>
        <v>3.7554244900217509E-3</v>
      </c>
      <c r="J2123" s="16">
        <f t="shared" si="78"/>
        <v>-5.9629009091095538E-4</v>
      </c>
      <c r="K2123" s="16">
        <f t="shared" si="78"/>
        <v>1.0838290655427654E-2</v>
      </c>
      <c r="L2123" s="16">
        <f t="shared" si="79"/>
        <v>1.099386296227107E-2</v>
      </c>
    </row>
    <row r="2124" spans="1:12" x14ac:dyDescent="0.35">
      <c r="A2124" s="18">
        <v>45336</v>
      </c>
      <c r="B2124" s="15">
        <v>489.33270263671881</v>
      </c>
      <c r="C2124" s="15">
        <v>67.88818359375</v>
      </c>
      <c r="D2124" s="15">
        <v>184.41999816894531</v>
      </c>
      <c r="E2124" s="15">
        <v>429.53707885742188</v>
      </c>
      <c r="F2124" s="15">
        <v>242.9844970703125</v>
      </c>
      <c r="H2124" s="16">
        <f t="shared" si="78"/>
        <v>6.8760727483992068E-3</v>
      </c>
      <c r="I2124" s="16">
        <f t="shared" si="78"/>
        <v>2.7726567499533521E-3</v>
      </c>
      <c r="J2124" s="16">
        <f t="shared" si="78"/>
        <v>6.7013085143284006E-3</v>
      </c>
      <c r="K2124" s="16">
        <f t="shared" si="78"/>
        <v>2.9731805881322913E-3</v>
      </c>
      <c r="L2124" s="16">
        <f t="shared" si="79"/>
        <v>7.6764522266121703E-3</v>
      </c>
    </row>
    <row r="2125" spans="1:12" x14ac:dyDescent="0.35">
      <c r="A2125" s="18">
        <v>45337</v>
      </c>
      <c r="B2125" s="15">
        <v>492.708984375</v>
      </c>
      <c r="C2125" s="15">
        <v>68.076675415039063</v>
      </c>
      <c r="D2125" s="15">
        <v>185.6600036621094</v>
      </c>
      <c r="E2125" s="15">
        <v>430.81607055664063</v>
      </c>
      <c r="F2125" s="15">
        <v>244.85693359375</v>
      </c>
      <c r="H2125" s="16">
        <f t="shared" si="78"/>
        <v>-4.9924080184980775E-3</v>
      </c>
      <c r="I2125" s="16">
        <f t="shared" si="78"/>
        <v>-3.1894552177447245E-3</v>
      </c>
      <c r="J2125" s="16">
        <f t="shared" si="78"/>
        <v>3.655878672840241E-3</v>
      </c>
      <c r="K2125" s="16">
        <f t="shared" si="78"/>
        <v>-9.1089511167584541E-3</v>
      </c>
      <c r="L2125" s="16">
        <f t="shared" si="79"/>
        <v>-5.258664145475188E-3</v>
      </c>
    </row>
    <row r="2126" spans="1:12" x14ac:dyDescent="0.35">
      <c r="A2126" s="18">
        <v>45338</v>
      </c>
      <c r="B2126" s="15">
        <v>490.25531005859381</v>
      </c>
      <c r="C2126" s="15">
        <v>67.859893798828125</v>
      </c>
      <c r="D2126" s="15">
        <v>186.3399963378906</v>
      </c>
      <c r="E2126" s="15">
        <v>426.90960693359381</v>
      </c>
      <c r="F2126" s="15">
        <v>243.57269287109381</v>
      </c>
      <c r="H2126" s="16">
        <f t="shared" si="78"/>
        <v>-5.5206404674764536E-3</v>
      </c>
      <c r="I2126" s="16">
        <f t="shared" si="78"/>
        <v>1.2496500258331053E-3</v>
      </c>
      <c r="J2126" s="16">
        <f t="shared" si="78"/>
        <v>6.0458967511154123E-3</v>
      </c>
      <c r="K2126" s="16">
        <f t="shared" si="78"/>
        <v>-7.57679052006282E-3</v>
      </c>
      <c r="L2126" s="16">
        <f t="shared" si="79"/>
        <v>-6.2985250267649714E-3</v>
      </c>
    </row>
    <row r="2127" spans="1:12" x14ac:dyDescent="0.35">
      <c r="A2127" s="18">
        <v>45342</v>
      </c>
      <c r="B2127" s="15">
        <v>487.55624389648438</v>
      </c>
      <c r="C2127" s="15">
        <v>67.944747924804688</v>
      </c>
      <c r="D2127" s="15">
        <v>187.4700012207031</v>
      </c>
      <c r="E2127" s="15">
        <v>423.68722534179688</v>
      </c>
      <c r="F2127" s="15">
        <v>242.0433654785156</v>
      </c>
      <c r="H2127" s="16">
        <f t="shared" si="78"/>
        <v>9.0543497999991194E-4</v>
      </c>
      <c r="I2127" s="16">
        <f t="shared" si="78"/>
        <v>-2.7783856705760816E-3</v>
      </c>
      <c r="J2127" s="16">
        <f t="shared" si="78"/>
        <v>5.3311145057830288E-5</v>
      </c>
      <c r="K2127" s="16">
        <f t="shared" si="78"/>
        <v>-4.009863189605738E-3</v>
      </c>
      <c r="L2127" s="16">
        <f t="shared" si="79"/>
        <v>2.0253199096052557E-4</v>
      </c>
    </row>
    <row r="2128" spans="1:12" x14ac:dyDescent="0.35">
      <c r="A2128" s="18">
        <v>45343</v>
      </c>
      <c r="B2128" s="15">
        <v>487.99789428710938</v>
      </c>
      <c r="C2128" s="15">
        <v>67.756233215332031</v>
      </c>
      <c r="D2128" s="15">
        <v>187.47999572753909</v>
      </c>
      <c r="E2128" s="15">
        <v>421.99169921875</v>
      </c>
      <c r="F2128" s="15">
        <v>242.09239196777341</v>
      </c>
      <c r="H2128" s="16">
        <f t="shared" si="78"/>
        <v>2.0484328609891318E-2</v>
      </c>
      <c r="I2128" s="16">
        <f t="shared" si="78"/>
        <v>4.1732344303436591E-4</v>
      </c>
      <c r="J2128" s="16">
        <f t="shared" si="78"/>
        <v>4.2663093910154582E-4</v>
      </c>
      <c r="K2128" s="16">
        <f t="shared" si="78"/>
        <v>2.8855475561607582E-2</v>
      </c>
      <c r="L2128" s="16">
        <f t="shared" si="79"/>
        <v>1.9568383666370443E-2</v>
      </c>
    </row>
    <row r="2129" spans="1:12" x14ac:dyDescent="0.35">
      <c r="A2129" s="18">
        <v>45344</v>
      </c>
      <c r="B2129" s="15">
        <v>498.0972900390625</v>
      </c>
      <c r="C2129" s="15">
        <v>67.784515380859375</v>
      </c>
      <c r="D2129" s="15">
        <v>187.55999755859381</v>
      </c>
      <c r="E2129" s="15">
        <v>434.34585571289063</v>
      </c>
      <c r="F2129" s="15">
        <v>246.87640380859381</v>
      </c>
      <c r="H2129" s="16">
        <f t="shared" si="78"/>
        <v>6.894596100019769E-4</v>
      </c>
      <c r="I2129" s="16">
        <f t="shared" si="78"/>
        <v>3.6083675396232132E-3</v>
      </c>
      <c r="J2129" s="16">
        <f t="shared" si="78"/>
        <v>5.6356020239859278E-3</v>
      </c>
      <c r="K2129" s="16">
        <f t="shared" si="78"/>
        <v>-2.9491238076539577E-3</v>
      </c>
      <c r="L2129" s="16">
        <f t="shared" si="79"/>
        <v>6.7489445635343518E-4</v>
      </c>
    </row>
    <row r="2130" spans="1:12" x14ac:dyDescent="0.35">
      <c r="A2130" s="18">
        <v>45345</v>
      </c>
      <c r="B2130" s="15">
        <v>498.44082641601563</v>
      </c>
      <c r="C2130" s="15">
        <v>68.029548645019531</v>
      </c>
      <c r="D2130" s="15">
        <v>188.6199951171875</v>
      </c>
      <c r="E2130" s="15">
        <v>433.06680297851563</v>
      </c>
      <c r="F2130" s="15">
        <v>247.04307556152341</v>
      </c>
      <c r="H2130" s="16">
        <f t="shared" si="78"/>
        <v>-3.6693291187524795E-3</v>
      </c>
      <c r="I2130" s="16">
        <f t="shared" si="78"/>
        <v>-1.8026124064492858E-3</v>
      </c>
      <c r="J2130" s="16">
        <f t="shared" si="78"/>
        <v>-2.2291722929283068E-3</v>
      </c>
      <c r="K2130" s="16">
        <f t="shared" si="78"/>
        <v>-5.2682048919030101E-4</v>
      </c>
      <c r="L2130" s="16">
        <f t="shared" si="79"/>
        <v>-3.0205146428913853E-3</v>
      </c>
    </row>
    <row r="2131" spans="1:12" x14ac:dyDescent="0.35">
      <c r="A2131" s="18">
        <v>45348</v>
      </c>
      <c r="B2131" s="15">
        <v>496.615234375</v>
      </c>
      <c r="C2131" s="15">
        <v>67.907028198242188</v>
      </c>
      <c r="D2131" s="15">
        <v>188.19999694824219</v>
      </c>
      <c r="E2131" s="15">
        <v>432.83871459960938</v>
      </c>
      <c r="F2131" s="15">
        <v>246.2980041503906</v>
      </c>
      <c r="H2131" s="16">
        <f t="shared" si="78"/>
        <v>1.8560676597045749E-3</v>
      </c>
      <c r="I2131" s="16">
        <f t="shared" si="78"/>
        <v>-1.5278987801939563E-3</v>
      </c>
      <c r="J2131" s="16">
        <f t="shared" si="78"/>
        <v>-1.0632481058260926E-3</v>
      </c>
      <c r="K2131" s="16">
        <f t="shared" ref="K2131:L2194" si="80">LN(E2132/E2131)</f>
        <v>2.4023420610282658E-3</v>
      </c>
      <c r="L2131" s="16">
        <f t="shared" si="79"/>
        <v>2.7823795085718077E-3</v>
      </c>
    </row>
    <row r="2132" spans="1:12" x14ac:dyDescent="0.35">
      <c r="A2132" s="18">
        <v>45349</v>
      </c>
      <c r="B2132" s="15">
        <v>497.537841796875</v>
      </c>
      <c r="C2132" s="15">
        <v>67.803352355957031</v>
      </c>
      <c r="D2132" s="15">
        <v>188</v>
      </c>
      <c r="E2132" s="15">
        <v>433.87979125976563</v>
      </c>
      <c r="F2132" s="15">
        <v>246.9842529296875</v>
      </c>
      <c r="H2132" s="16">
        <f t="shared" ref="H2132:L2195" si="81">LN(B2133/B2132)</f>
        <v>-1.3225681941273337E-3</v>
      </c>
      <c r="I2132" s="16">
        <f t="shared" si="81"/>
        <v>2.2215353887088188E-3</v>
      </c>
      <c r="J2132" s="16">
        <f t="shared" si="81"/>
        <v>1.8068578078274729E-3</v>
      </c>
      <c r="K2132" s="16">
        <f t="shared" si="80"/>
        <v>-5.3387679172693945E-3</v>
      </c>
      <c r="L2132" s="16">
        <f t="shared" si="80"/>
        <v>-1.6685356669463166E-3</v>
      </c>
    </row>
    <row r="2133" spans="1:12" x14ac:dyDescent="0.35">
      <c r="A2133" s="18">
        <v>45350</v>
      </c>
      <c r="B2133" s="15">
        <v>496.8802490234375</v>
      </c>
      <c r="C2133" s="15">
        <v>67.954147338867188</v>
      </c>
      <c r="D2133" s="15">
        <v>188.3399963378906</v>
      </c>
      <c r="E2133" s="15">
        <v>431.569580078125</v>
      </c>
      <c r="F2133" s="15">
        <v>246.57249450683591</v>
      </c>
      <c r="H2133" s="16">
        <f t="shared" si="81"/>
        <v>3.5885552482956989E-3</v>
      </c>
      <c r="I2133" s="16">
        <f t="shared" si="81"/>
        <v>1.6633951537355723E-3</v>
      </c>
      <c r="J2133" s="16">
        <f t="shared" si="81"/>
        <v>5.137049487701475E-3</v>
      </c>
      <c r="K2133" s="16">
        <f t="shared" si="80"/>
        <v>8.532986185897394E-3</v>
      </c>
      <c r="L2133" s="16">
        <f t="shared" si="80"/>
        <v>4.2056015988094532E-3</v>
      </c>
    </row>
    <row r="2134" spans="1:12" x14ac:dyDescent="0.35">
      <c r="A2134" s="18">
        <v>45351</v>
      </c>
      <c r="B2134" s="15">
        <v>498.66653442382813</v>
      </c>
      <c r="C2134" s="15">
        <v>68.067276000976563</v>
      </c>
      <c r="D2134" s="15">
        <v>189.30999755859381</v>
      </c>
      <c r="E2134" s="15">
        <v>435.26791381835938</v>
      </c>
      <c r="F2134" s="15">
        <v>247.6116638183594</v>
      </c>
      <c r="H2134" s="16">
        <f t="shared" si="81"/>
        <v>9.3444016263568314E-3</v>
      </c>
      <c r="I2134" s="16">
        <f t="shared" si="81"/>
        <v>4.18426213268087E-3</v>
      </c>
      <c r="J2134" s="16">
        <f t="shared" si="81"/>
        <v>1.8734204946423694E-2</v>
      </c>
      <c r="K2134" s="16">
        <f t="shared" si="80"/>
        <v>1.4944777672517296E-2</v>
      </c>
      <c r="L2134" s="16">
        <f t="shared" si="80"/>
        <v>9.1432340697724795E-3</v>
      </c>
    </row>
    <row r="2135" spans="1:12" x14ac:dyDescent="0.35">
      <c r="A2135" s="18">
        <v>45352</v>
      </c>
      <c r="B2135" s="15">
        <v>503.34811401367188</v>
      </c>
      <c r="C2135" s="15">
        <v>68.352684020996094</v>
      </c>
      <c r="D2135" s="15">
        <v>192.88999938964841</v>
      </c>
      <c r="E2135" s="15">
        <v>441.82174682617188</v>
      </c>
      <c r="F2135" s="15">
        <v>249.8860168457031</v>
      </c>
      <c r="H2135" s="16">
        <f t="shared" si="81"/>
        <v>-1.0729841919263419E-3</v>
      </c>
      <c r="I2135" s="16">
        <f t="shared" si="81"/>
        <v>-2.3533318078451902E-3</v>
      </c>
      <c r="J2135" s="16">
        <f t="shared" si="81"/>
        <v>1.6045575240363999E-2</v>
      </c>
      <c r="K2135" s="16">
        <f t="shared" si="80"/>
        <v>-3.5746487378387919E-3</v>
      </c>
      <c r="L2135" s="16">
        <f t="shared" si="80"/>
        <v>-9.8133627156347892E-4</v>
      </c>
    </row>
    <row r="2136" spans="1:12" x14ac:dyDescent="0.35">
      <c r="A2136" s="18">
        <v>45355</v>
      </c>
      <c r="B2136" s="15">
        <v>502.80831909179688</v>
      </c>
      <c r="C2136" s="15">
        <v>68.1920166015625</v>
      </c>
      <c r="D2136" s="15">
        <v>196.00999450683591</v>
      </c>
      <c r="E2136" s="15">
        <v>440.24520874023438</v>
      </c>
      <c r="F2136" s="15">
        <v>249.64091491699219</v>
      </c>
      <c r="H2136" s="16">
        <f t="shared" si="81"/>
        <v>-1.0044374959389037E-2</v>
      </c>
      <c r="I2136" s="16">
        <f t="shared" si="81"/>
        <v>5.3908642741631414E-3</v>
      </c>
      <c r="J2136" s="16">
        <f t="shared" si="81"/>
        <v>6.0020930123123881E-3</v>
      </c>
      <c r="K2136" s="16">
        <f t="shared" si="80"/>
        <v>-1.8112639513537605E-2</v>
      </c>
      <c r="L2136" s="16">
        <f t="shared" si="80"/>
        <v>-1.0659363269675783E-2</v>
      </c>
    </row>
    <row r="2137" spans="1:12" x14ac:dyDescent="0.35">
      <c r="A2137" s="18">
        <v>45356</v>
      </c>
      <c r="B2137" s="15">
        <v>497.783203125</v>
      </c>
      <c r="C2137" s="15">
        <v>68.560623168945313</v>
      </c>
      <c r="D2137" s="15">
        <v>197.19000244140619</v>
      </c>
      <c r="E2137" s="15">
        <v>432.34298706054688</v>
      </c>
      <c r="F2137" s="15">
        <v>246.99403381347659</v>
      </c>
      <c r="H2137" s="16">
        <f t="shared" si="81"/>
        <v>5.0543486223173549E-3</v>
      </c>
      <c r="I2137" s="16">
        <f t="shared" si="81"/>
        <v>1.7903308154480161E-3</v>
      </c>
      <c r="J2137" s="16">
        <f t="shared" si="81"/>
        <v>8.1818391635693766E-3</v>
      </c>
      <c r="K2137" s="16">
        <f t="shared" si="80"/>
        <v>6.2640207825204785E-3</v>
      </c>
      <c r="L2137" s="16">
        <f t="shared" si="80"/>
        <v>5.896462789062115E-3</v>
      </c>
    </row>
    <row r="2138" spans="1:12" x14ac:dyDescent="0.35">
      <c r="A2138" s="18">
        <v>45357</v>
      </c>
      <c r="B2138" s="15">
        <v>500.3055419921875</v>
      </c>
      <c r="C2138" s="15">
        <v>68.683479309082031</v>
      </c>
      <c r="D2138" s="15">
        <v>198.80999755859381</v>
      </c>
      <c r="E2138" s="15">
        <v>435.0596923828125</v>
      </c>
      <c r="F2138" s="15">
        <v>248.45472717285159</v>
      </c>
      <c r="H2138" s="16">
        <f t="shared" si="81"/>
        <v>9.8776670537172786E-3</v>
      </c>
      <c r="I2138" s="16">
        <f t="shared" si="81"/>
        <v>1.6500715265657824E-3</v>
      </c>
      <c r="J2138" s="16">
        <f t="shared" si="81"/>
        <v>5.6677512615811556E-3</v>
      </c>
      <c r="K2138" s="16">
        <f t="shared" si="80"/>
        <v>1.5064096865142854E-2</v>
      </c>
      <c r="L2138" s="16">
        <f t="shared" si="80"/>
        <v>9.6987242529656421E-3</v>
      </c>
    </row>
    <row r="2139" spans="1:12" x14ac:dyDescent="0.35">
      <c r="A2139" s="18">
        <v>45358</v>
      </c>
      <c r="B2139" s="15">
        <v>505.27188110351563</v>
      </c>
      <c r="C2139" s="15">
        <v>68.796905517578125</v>
      </c>
      <c r="D2139" s="15">
        <v>199.94000244140619</v>
      </c>
      <c r="E2139" s="15">
        <v>441.6630859375</v>
      </c>
      <c r="F2139" s="15">
        <v>250.87614440917969</v>
      </c>
      <c r="H2139" s="16">
        <f t="shared" si="81"/>
        <v>-6.0204728278901035E-3</v>
      </c>
      <c r="I2139" s="16">
        <f t="shared" si="81"/>
        <v>9.6123968293835465E-4</v>
      </c>
      <c r="J2139" s="16">
        <f t="shared" si="81"/>
        <v>8.4170251169516756E-3</v>
      </c>
      <c r="K2139" s="16">
        <f t="shared" si="80"/>
        <v>-1.4540035196485073E-2</v>
      </c>
      <c r="L2139" s="16">
        <f t="shared" si="80"/>
        <v>-5.800108928944993E-3</v>
      </c>
    </row>
    <row r="2140" spans="1:12" x14ac:dyDescent="0.35">
      <c r="A2140" s="18">
        <v>45359</v>
      </c>
      <c r="B2140" s="15">
        <v>502.23904418945313</v>
      </c>
      <c r="C2140" s="15">
        <v>68.863067626953125</v>
      </c>
      <c r="D2140" s="15">
        <v>201.6300048828125</v>
      </c>
      <c r="E2140" s="15">
        <v>435.28775024414063</v>
      </c>
      <c r="F2140" s="15">
        <v>249.42524719238281</v>
      </c>
      <c r="H2140" s="16">
        <f t="shared" si="81"/>
        <v>-8.6016705065884963E-4</v>
      </c>
      <c r="I2140" s="16">
        <f t="shared" si="81"/>
        <v>-4.1189423001249136E-4</v>
      </c>
      <c r="J2140" s="16">
        <f t="shared" si="81"/>
        <v>1.8333385345244608E-3</v>
      </c>
      <c r="K2140" s="16">
        <f t="shared" si="80"/>
        <v>-3.7197407789855332E-3</v>
      </c>
      <c r="L2140" s="16">
        <f t="shared" si="80"/>
        <v>-1.6127315031120649E-3</v>
      </c>
    </row>
    <row r="2141" spans="1:12" x14ac:dyDescent="0.35">
      <c r="A2141" s="18">
        <v>45362</v>
      </c>
      <c r="B2141" s="15">
        <v>501.80722045898438</v>
      </c>
      <c r="C2141" s="15">
        <v>68.834709167480469</v>
      </c>
      <c r="D2141" s="15">
        <v>202</v>
      </c>
      <c r="E2141" s="15">
        <v>433.67160034179688</v>
      </c>
      <c r="F2141" s="15">
        <v>249.0233154296875</v>
      </c>
      <c r="H2141" s="16">
        <f t="shared" si="81"/>
        <v>1.0699933716024264E-2</v>
      </c>
      <c r="I2141" s="16">
        <f t="shared" si="81"/>
        <v>-3.0251969625655259E-3</v>
      </c>
      <c r="J2141" s="16">
        <f t="shared" si="81"/>
        <v>-1.1000916093968595E-2</v>
      </c>
      <c r="K2141" s="16">
        <f t="shared" si="80"/>
        <v>1.4233277490696652E-2</v>
      </c>
      <c r="L2141" s="16">
        <f t="shared" si="80"/>
        <v>9.8326331297086591E-3</v>
      </c>
    </row>
    <row r="2142" spans="1:12" x14ac:dyDescent="0.35">
      <c r="A2142" s="18">
        <v>45363</v>
      </c>
      <c r="B2142" s="15">
        <v>507.20535278320313</v>
      </c>
      <c r="C2142" s="15">
        <v>68.626785278320313</v>
      </c>
      <c r="D2142" s="15">
        <v>199.78999328613281</v>
      </c>
      <c r="E2142" s="15">
        <v>439.8883056640625</v>
      </c>
      <c r="F2142" s="15">
        <v>251.48394775390619</v>
      </c>
      <c r="H2142" s="16">
        <f t="shared" si="81"/>
        <v>-1.5686686718167277E-3</v>
      </c>
      <c r="I2142" s="16">
        <f t="shared" si="81"/>
        <v>-1.6540539488184192E-3</v>
      </c>
      <c r="J2142" s="16">
        <f t="shared" si="81"/>
        <v>6.9829660287373209E-3</v>
      </c>
      <c r="K2142" s="16">
        <f t="shared" si="80"/>
        <v>-7.7157592730687993E-3</v>
      </c>
      <c r="L2142" s="16">
        <f t="shared" si="80"/>
        <v>-1.2481960412008455E-3</v>
      </c>
    </row>
    <row r="2143" spans="1:12" x14ac:dyDescent="0.35">
      <c r="A2143" s="18">
        <v>45364</v>
      </c>
      <c r="B2143" s="15">
        <v>506.41033935546881</v>
      </c>
      <c r="C2143" s="15">
        <v>68.51336669921875</v>
      </c>
      <c r="D2143" s="15">
        <v>201.19000244140619</v>
      </c>
      <c r="E2143" s="15">
        <v>436.50729370117188</v>
      </c>
      <c r="F2143" s="15">
        <v>251.17024230957031</v>
      </c>
      <c r="H2143" s="16">
        <f t="shared" si="81"/>
        <v>-1.97874884294997E-3</v>
      </c>
      <c r="I2143" s="16">
        <f t="shared" si="81"/>
        <v>-5.9496136266295602E-3</v>
      </c>
      <c r="J2143" s="16">
        <f t="shared" si="81"/>
        <v>-4.1838797895548865E-3</v>
      </c>
      <c r="K2143" s="16">
        <f t="shared" si="80"/>
        <v>-2.524459898636598E-3</v>
      </c>
      <c r="L2143" s="16">
        <f t="shared" si="80"/>
        <v>-3.8714163666740339E-3</v>
      </c>
    </row>
    <row r="2144" spans="1:12" x14ac:dyDescent="0.35">
      <c r="A2144" s="18">
        <v>45365</v>
      </c>
      <c r="B2144" s="15">
        <v>505.40927124023438</v>
      </c>
      <c r="C2144" s="15">
        <v>68.106948852539063</v>
      </c>
      <c r="D2144" s="15">
        <v>200.3500061035156</v>
      </c>
      <c r="E2144" s="15">
        <v>435.40673828125</v>
      </c>
      <c r="F2144" s="15">
        <v>250.1997375488281</v>
      </c>
      <c r="H2144" s="16">
        <f t="shared" si="81"/>
        <v>-6.8903756203492501E-3</v>
      </c>
      <c r="I2144" s="16">
        <f t="shared" si="81"/>
        <v>-5.5521714197734188E-4</v>
      </c>
      <c r="J2144" s="16">
        <f t="shared" si="81"/>
        <v>-3.199519647615038E-3</v>
      </c>
      <c r="K2144" s="16">
        <f t="shared" si="80"/>
        <v>-1.195802528256339E-2</v>
      </c>
      <c r="L2144" s="16">
        <f t="shared" si="80"/>
        <v>-5.9340483336569397E-3</v>
      </c>
    </row>
    <row r="2145" spans="1:12" x14ac:dyDescent="0.35">
      <c r="A2145" s="18">
        <v>45366</v>
      </c>
      <c r="B2145" s="15">
        <v>501.93878173828119</v>
      </c>
      <c r="C2145" s="15">
        <v>68.069145202636719</v>
      </c>
      <c r="D2145" s="15">
        <v>199.71000671386719</v>
      </c>
      <c r="E2145" s="15">
        <v>430.23114013671881</v>
      </c>
      <c r="F2145" s="15">
        <v>248.71943664550781</v>
      </c>
      <c r="H2145" s="16">
        <f t="shared" si="81"/>
        <v>5.9256112506653018E-3</v>
      </c>
      <c r="I2145" s="16">
        <f t="shared" si="81"/>
        <v>-1.2503948716668216E-3</v>
      </c>
      <c r="J2145" s="16">
        <f t="shared" si="81"/>
        <v>1.6010012977579261E-3</v>
      </c>
      <c r="K2145" s="16">
        <f t="shared" si="80"/>
        <v>9.4921013490363096E-3</v>
      </c>
      <c r="L2145" s="16">
        <f t="shared" si="80"/>
        <v>5.0715723176837967E-3</v>
      </c>
    </row>
    <row r="2146" spans="1:12" x14ac:dyDescent="0.35">
      <c r="A2146" s="18">
        <v>45369</v>
      </c>
      <c r="B2146" s="15">
        <v>504.92190551757813</v>
      </c>
      <c r="C2146" s="15">
        <v>67.984085083007813</v>
      </c>
      <c r="D2146" s="15">
        <v>200.0299987792969</v>
      </c>
      <c r="E2146" s="15">
        <v>434.33438110351563</v>
      </c>
      <c r="F2146" s="15">
        <v>249.9840393066406</v>
      </c>
      <c r="H2146" s="16">
        <f t="shared" si="81"/>
        <v>5.5417895527559886E-3</v>
      </c>
      <c r="I2146" s="16">
        <f t="shared" si="81"/>
        <v>2.6381399742296707E-3</v>
      </c>
      <c r="J2146" s="16">
        <f t="shared" si="81"/>
        <v>-1.1504677080452781E-3</v>
      </c>
      <c r="K2146" s="16">
        <f t="shared" si="80"/>
        <v>2.4884925995704121E-3</v>
      </c>
      <c r="L2146" s="16">
        <f t="shared" si="80"/>
        <v>5.7482196205104544E-3</v>
      </c>
    </row>
    <row r="2147" spans="1:12" x14ac:dyDescent="0.35">
      <c r="A2147" s="18">
        <v>45370</v>
      </c>
      <c r="B2147" s="15">
        <v>507.72784423828119</v>
      </c>
      <c r="C2147" s="15">
        <v>68.163673400878906</v>
      </c>
      <c r="D2147" s="15">
        <v>199.80000305175781</v>
      </c>
      <c r="E2147" s="15">
        <v>435.41656494140619</v>
      </c>
      <c r="F2147" s="15">
        <v>251.4251403808594</v>
      </c>
      <c r="H2147" s="16">
        <f t="shared" si="81"/>
        <v>9.2068649192728214E-3</v>
      </c>
      <c r="I2147" s="16">
        <f t="shared" si="81"/>
        <v>1.8007473889613823E-3</v>
      </c>
      <c r="J2147" s="16">
        <f t="shared" si="81"/>
        <v>1.1841472011166533E-2</v>
      </c>
      <c r="K2147" s="16">
        <f t="shared" si="80"/>
        <v>1.1786877323515511E-2</v>
      </c>
      <c r="L2147" s="16">
        <f t="shared" si="80"/>
        <v>1.0086482897780661E-2</v>
      </c>
    </row>
    <row r="2148" spans="1:12" x14ac:dyDescent="0.35">
      <c r="A2148" s="18">
        <v>45371</v>
      </c>
      <c r="B2148" s="15">
        <v>512.42401123046875</v>
      </c>
      <c r="C2148" s="15">
        <v>68.286529541015625</v>
      </c>
      <c r="D2148" s="15">
        <v>202.17999267578119</v>
      </c>
      <c r="E2148" s="15">
        <v>440.57913208007813</v>
      </c>
      <c r="F2148" s="15">
        <v>253.9739685058594</v>
      </c>
      <c r="H2148" s="16">
        <f t="shared" si="81"/>
        <v>3.2990389014167718E-3</v>
      </c>
      <c r="I2148" s="16">
        <f t="shared" si="81"/>
        <v>8.3011621088377625E-4</v>
      </c>
      <c r="J2148" s="16">
        <f t="shared" si="81"/>
        <v>-1.0391759354034229E-3</v>
      </c>
      <c r="K2148" s="16">
        <f t="shared" si="80"/>
        <v>4.7210877032315933E-3</v>
      </c>
      <c r="L2148" s="16">
        <f t="shared" si="80"/>
        <v>4.1217026431502757E-3</v>
      </c>
    </row>
    <row r="2149" spans="1:12" x14ac:dyDescent="0.35">
      <c r="A2149" s="18">
        <v>45372</v>
      </c>
      <c r="B2149" s="15">
        <v>514.1173095703125</v>
      </c>
      <c r="C2149" s="15">
        <v>68.343238830566406</v>
      </c>
      <c r="D2149" s="15">
        <v>201.9700012207031</v>
      </c>
      <c r="E2149" s="15">
        <v>442.6640625</v>
      </c>
      <c r="F2149" s="15">
        <v>255.02293395996091</v>
      </c>
      <c r="H2149" s="16">
        <f t="shared" si="81"/>
        <v>-1.8974936396956136E-3</v>
      </c>
      <c r="I2149" s="16">
        <f t="shared" si="81"/>
        <v>3.3134797631728637E-3</v>
      </c>
      <c r="J2149" s="16">
        <f t="shared" si="81"/>
        <v>-8.0533100178606827E-3</v>
      </c>
      <c r="K2149" s="16">
        <f t="shared" si="80"/>
        <v>1.1432106720308578E-3</v>
      </c>
      <c r="L2149" s="16">
        <f t="shared" si="80"/>
        <v>-2.8161128681167382E-3</v>
      </c>
    </row>
    <row r="2150" spans="1:12" x14ac:dyDescent="0.35">
      <c r="A2150" s="18">
        <v>45373</v>
      </c>
      <c r="B2150" s="15">
        <v>513.1427001953125</v>
      </c>
      <c r="C2150" s="15">
        <v>68.570068359375</v>
      </c>
      <c r="D2150" s="15">
        <v>200.3500061035156</v>
      </c>
      <c r="E2150" s="15">
        <v>443.17041015625</v>
      </c>
      <c r="F2150" s="15">
        <v>254.30577087402341</v>
      </c>
      <c r="H2150" s="16">
        <f t="shared" si="81"/>
        <v>-2.7666508510151406E-3</v>
      </c>
      <c r="I2150" s="16">
        <f t="shared" si="81"/>
        <v>-1.9315193887088919E-3</v>
      </c>
      <c r="J2150" s="16">
        <f t="shared" si="81"/>
        <v>3.1893153617758752E-3</v>
      </c>
      <c r="K2150" s="16">
        <f t="shared" si="80"/>
        <v>-3.6357638158397332E-3</v>
      </c>
      <c r="L2150" s="16">
        <f t="shared" si="80"/>
        <v>-2.2462259900812571E-3</v>
      </c>
    </row>
    <row r="2151" spans="1:12" x14ac:dyDescent="0.35">
      <c r="A2151" s="18">
        <v>45376</v>
      </c>
      <c r="B2151" s="15">
        <v>511.7249755859375</v>
      </c>
      <c r="C2151" s="15">
        <v>68.437751770019531</v>
      </c>
      <c r="D2151" s="15">
        <v>200.99000549316409</v>
      </c>
      <c r="E2151" s="15">
        <v>441.56207275390619</v>
      </c>
      <c r="F2151" s="15">
        <v>253.73518371582031</v>
      </c>
      <c r="H2151" s="16">
        <f t="shared" si="81"/>
        <v>-1.8487154082440145E-3</v>
      </c>
      <c r="I2151" s="16">
        <f t="shared" si="81"/>
        <v>8.2850549321340555E-4</v>
      </c>
      <c r="J2151" s="16">
        <f t="shared" si="81"/>
        <v>3.2287432792986741E-3</v>
      </c>
      <c r="K2151" s="16">
        <f t="shared" si="80"/>
        <v>-3.2429093906119217E-3</v>
      </c>
      <c r="L2151" s="16">
        <f t="shared" si="80"/>
        <v>-1.7851859983566117E-3</v>
      </c>
    </row>
    <row r="2152" spans="1:12" x14ac:dyDescent="0.35">
      <c r="A2152" s="18">
        <v>45377</v>
      </c>
      <c r="B2152" s="15">
        <v>510.77981567382813</v>
      </c>
      <c r="C2152" s="15">
        <v>68.494476318359375</v>
      </c>
      <c r="D2152" s="15">
        <v>201.63999938964841</v>
      </c>
      <c r="E2152" s="15">
        <v>440.1324462890625</v>
      </c>
      <c r="F2152" s="15">
        <v>253.2826232910156</v>
      </c>
      <c r="H2152" s="16">
        <f t="shared" si="81"/>
        <v>8.3687226677434199E-3</v>
      </c>
      <c r="I2152" s="16">
        <f t="shared" si="81"/>
        <v>3.443386099109871E-3</v>
      </c>
      <c r="J2152" s="16">
        <f t="shared" si="81"/>
        <v>7.2145724506210082E-3</v>
      </c>
      <c r="K2152" s="16">
        <f t="shared" si="80"/>
        <v>3.4001976854530847E-3</v>
      </c>
      <c r="L2152" s="16">
        <f t="shared" si="80"/>
        <v>8.77844506361284E-3</v>
      </c>
    </row>
    <row r="2153" spans="1:12" x14ac:dyDescent="0.35">
      <c r="A2153" s="18">
        <v>45378</v>
      </c>
      <c r="B2153" s="15">
        <v>515.07232666015625</v>
      </c>
      <c r="C2153" s="15">
        <v>68.730735778808594</v>
      </c>
      <c r="D2153" s="15">
        <v>203.1000061035156</v>
      </c>
      <c r="E2153" s="15">
        <v>441.63153076171881</v>
      </c>
      <c r="F2153" s="15">
        <v>255.5158386230469</v>
      </c>
      <c r="H2153" s="16">
        <f t="shared" si="81"/>
        <v>-1.910373845349546E-4</v>
      </c>
      <c r="I2153" s="16">
        <f t="shared" si="81"/>
        <v>-1.2384624657224754E-3</v>
      </c>
      <c r="J2153" s="16">
        <f t="shared" si="81"/>
        <v>1.281752820240996E-2</v>
      </c>
      <c r="K2153" s="16">
        <f t="shared" si="80"/>
        <v>-1.844994153034851E-3</v>
      </c>
      <c r="L2153" s="16">
        <f t="shared" si="80"/>
        <v>6.5429064753614241E-4</v>
      </c>
    </row>
    <row r="2154" spans="1:12" x14ac:dyDescent="0.35">
      <c r="A2154" s="18">
        <v>45379</v>
      </c>
      <c r="B2154" s="15">
        <v>514.97393798828125</v>
      </c>
      <c r="C2154" s="15">
        <v>68.645668029785156</v>
      </c>
      <c r="D2154" s="15">
        <v>205.7200012207031</v>
      </c>
      <c r="E2154" s="15">
        <v>440.81747436523438</v>
      </c>
      <c r="F2154" s="15">
        <v>255.6830749511719</v>
      </c>
      <c r="H2154" s="16">
        <f t="shared" si="81"/>
        <v>-1.7415203762627476E-3</v>
      </c>
      <c r="I2154" s="16">
        <f t="shared" si="81"/>
        <v>-6.8449156668053991E-3</v>
      </c>
      <c r="J2154" s="16">
        <f t="shared" si="81"/>
        <v>1.0156328827065318E-2</v>
      </c>
      <c r="K2154" s="16">
        <f t="shared" si="80"/>
        <v>2.1148006736875554E-3</v>
      </c>
      <c r="L2154" s="16">
        <f t="shared" si="80"/>
        <v>-7.6979112874741695E-4</v>
      </c>
    </row>
    <row r="2155" spans="1:12" x14ac:dyDescent="0.35">
      <c r="A2155" s="18">
        <v>45383</v>
      </c>
      <c r="B2155" s="15">
        <v>514.077880859375</v>
      </c>
      <c r="C2155" s="15">
        <v>68.177398681640625</v>
      </c>
      <c r="D2155" s="15">
        <v>207.82000732421881</v>
      </c>
      <c r="E2155" s="15">
        <v>441.75070190429688</v>
      </c>
      <c r="F2155" s="15">
        <v>255.486328125</v>
      </c>
      <c r="H2155" s="16">
        <f t="shared" si="81"/>
        <v>-6.3782717085291542E-3</v>
      </c>
      <c r="I2155" s="16">
        <f t="shared" si="81"/>
        <v>-1.1131792625597942E-3</v>
      </c>
      <c r="J2155" s="16">
        <f t="shared" si="81"/>
        <v>1.4664311961913432E-2</v>
      </c>
      <c r="K2155" s="16">
        <f t="shared" si="80"/>
        <v>-8.6676821826452491E-3</v>
      </c>
      <c r="L2155" s="16">
        <f t="shared" si="80"/>
        <v>-9.2845558531289892E-3</v>
      </c>
    </row>
    <row r="2156" spans="1:12" x14ac:dyDescent="0.35">
      <c r="A2156" s="18">
        <v>45384</v>
      </c>
      <c r="B2156" s="15">
        <v>510.80938720703119</v>
      </c>
      <c r="C2156" s="15">
        <v>68.101547241210938</v>
      </c>
      <c r="D2156" s="15">
        <v>210.88999938964841</v>
      </c>
      <c r="E2156" s="15">
        <v>437.93829345703119</v>
      </c>
      <c r="F2156" s="15">
        <v>253.12522888183591</v>
      </c>
      <c r="H2156" s="16">
        <f t="shared" si="81"/>
        <v>1.0979021691438695E-3</v>
      </c>
      <c r="I2156" s="16">
        <f t="shared" si="81"/>
        <v>6.9591022856770014E-4</v>
      </c>
      <c r="J2156" s="16">
        <f t="shared" si="81"/>
        <v>8.734121015037264E-3</v>
      </c>
      <c r="K2156" s="16">
        <f t="shared" si="80"/>
        <v>2.2418884010830119E-3</v>
      </c>
      <c r="L2156" s="16">
        <f t="shared" si="80"/>
        <v>1.5535149337186393E-3</v>
      </c>
    </row>
    <row r="2157" spans="1:12" x14ac:dyDescent="0.35">
      <c r="A2157" s="18">
        <v>45385</v>
      </c>
      <c r="B2157" s="15">
        <v>511.37051391601563</v>
      </c>
      <c r="C2157" s="15">
        <v>68.148956298828125</v>
      </c>
      <c r="D2157" s="15">
        <v>212.74000549316409</v>
      </c>
      <c r="E2157" s="15">
        <v>438.92120361328119</v>
      </c>
      <c r="F2157" s="15">
        <v>253.5187683105469</v>
      </c>
      <c r="H2157" s="16">
        <f t="shared" si="81"/>
        <v>-1.2281169924559424E-2</v>
      </c>
      <c r="I2157" s="16">
        <f t="shared" si="81"/>
        <v>2.0842710561130478E-3</v>
      </c>
      <c r="J2157" s="16">
        <f t="shared" si="81"/>
        <v>-5.7512117823678944E-3</v>
      </c>
      <c r="K2157" s="16">
        <f t="shared" si="80"/>
        <v>-1.5408909729190354E-2</v>
      </c>
      <c r="L2157" s="16">
        <f t="shared" si="80"/>
        <v>-1.2063244095670417E-2</v>
      </c>
    </row>
    <row r="2158" spans="1:12" x14ac:dyDescent="0.35">
      <c r="A2158" s="18">
        <v>45386</v>
      </c>
      <c r="B2158" s="15">
        <v>505.12869262695313</v>
      </c>
      <c r="C2158" s="15">
        <v>68.291145324707031</v>
      </c>
      <c r="D2158" s="15">
        <v>211.52000427246091</v>
      </c>
      <c r="E2158" s="15">
        <v>432.20974731445313</v>
      </c>
      <c r="F2158" s="15">
        <v>250.4788818359375</v>
      </c>
      <c r="H2158" s="16">
        <f t="shared" si="81"/>
        <v>1.0392667324123033E-2</v>
      </c>
      <c r="I2158" s="16">
        <f t="shared" si="81"/>
        <v>-5.009927386002617E-3</v>
      </c>
      <c r="J2158" s="16">
        <f t="shared" si="81"/>
        <v>1.6969399304690141E-2</v>
      </c>
      <c r="K2158" s="16">
        <f t="shared" si="80"/>
        <v>1.1715063582094766E-2</v>
      </c>
      <c r="L2158" s="16">
        <f t="shared" si="80"/>
        <v>1.0043282079530699E-2</v>
      </c>
    </row>
    <row r="2159" spans="1:12" x14ac:dyDescent="0.35">
      <c r="A2159" s="18">
        <v>45387</v>
      </c>
      <c r="B2159" s="15">
        <v>510.40570068359381</v>
      </c>
      <c r="C2159" s="15">
        <v>67.949867248535156</v>
      </c>
      <c r="D2159" s="15">
        <v>215.13999938964841</v>
      </c>
      <c r="E2159" s="15">
        <v>437.30288696289063</v>
      </c>
      <c r="F2159" s="15">
        <v>253.00718688964841</v>
      </c>
      <c r="H2159" s="16">
        <f t="shared" si="81"/>
        <v>5.59246554790442E-4</v>
      </c>
      <c r="I2159" s="16">
        <f t="shared" si="81"/>
        <v>-8.3717135343010186E-4</v>
      </c>
      <c r="J2159" s="16">
        <f t="shared" si="81"/>
        <v>6.2091685195618919E-3</v>
      </c>
      <c r="K2159" s="16">
        <f t="shared" si="80"/>
        <v>2.9522058603139351E-4</v>
      </c>
      <c r="L2159" s="16">
        <f t="shared" si="80"/>
        <v>1.1658304893234295E-3</v>
      </c>
    </row>
    <row r="2160" spans="1:12" x14ac:dyDescent="0.35">
      <c r="A2160" s="18">
        <v>45390</v>
      </c>
      <c r="B2160" s="15">
        <v>510.69122314453119</v>
      </c>
      <c r="C2160" s="15">
        <v>67.89300537109375</v>
      </c>
      <c r="D2160" s="15">
        <v>216.47999572753909</v>
      </c>
      <c r="E2160" s="15">
        <v>437.4320068359375</v>
      </c>
      <c r="F2160" s="15">
        <v>253.30232238769531</v>
      </c>
      <c r="H2160" s="16">
        <f t="shared" si="81"/>
        <v>1.1560554425081718E-3</v>
      </c>
      <c r="I2160" s="16">
        <f t="shared" si="81"/>
        <v>3.6236619820327496E-3</v>
      </c>
      <c r="J2160" s="16">
        <f t="shared" si="81"/>
        <v>5.4820013282544759E-3</v>
      </c>
      <c r="K2160" s="16">
        <f t="shared" si="80"/>
        <v>3.6925492948384456E-3</v>
      </c>
      <c r="L2160" s="16">
        <f t="shared" si="80"/>
        <v>1.4359200817757021E-3</v>
      </c>
    </row>
    <row r="2161" spans="1:12" x14ac:dyDescent="0.35">
      <c r="A2161" s="18">
        <v>45391</v>
      </c>
      <c r="B2161" s="15">
        <v>511.28195190429688</v>
      </c>
      <c r="C2161" s="15">
        <v>68.139472961425781</v>
      </c>
      <c r="D2161" s="15">
        <v>217.66999816894531</v>
      </c>
      <c r="E2161" s="15">
        <v>439.05023193359381</v>
      </c>
      <c r="F2161" s="15">
        <v>253.66630554199219</v>
      </c>
      <c r="H2161" s="16">
        <f t="shared" si="81"/>
        <v>-1.006366815016798E-2</v>
      </c>
      <c r="I2161" s="16">
        <f t="shared" si="81"/>
        <v>-1.175507463137308E-2</v>
      </c>
      <c r="J2161" s="16">
        <f t="shared" si="81"/>
        <v>-9.5089230354044908E-3</v>
      </c>
      <c r="K2161" s="16">
        <f t="shared" si="80"/>
        <v>-8.7667346984575904E-3</v>
      </c>
      <c r="L2161" s="16">
        <f t="shared" si="80"/>
        <v>-1.123211371209191E-2</v>
      </c>
    </row>
    <row r="2162" spans="1:12" x14ac:dyDescent="0.35">
      <c r="A2162" s="18">
        <v>45392</v>
      </c>
      <c r="B2162" s="15">
        <v>506.16238403320313</v>
      </c>
      <c r="C2162" s="15">
        <v>67.343177795410156</v>
      </c>
      <c r="D2162" s="15">
        <v>215.61000061035159</v>
      </c>
      <c r="E2162" s="15">
        <v>435.218017578125</v>
      </c>
      <c r="F2162" s="15">
        <v>250.8330383300781</v>
      </c>
      <c r="H2162" s="16">
        <f t="shared" si="81"/>
        <v>7.5186635058904555E-3</v>
      </c>
      <c r="I2162" s="16">
        <f t="shared" si="81"/>
        <v>0</v>
      </c>
      <c r="J2162" s="16">
        <f t="shared" si="81"/>
        <v>1.9246832874495322E-2</v>
      </c>
      <c r="K2162" s="16">
        <f t="shared" si="80"/>
        <v>1.5842044134166011E-2</v>
      </c>
      <c r="L2162" s="16">
        <f t="shared" si="80"/>
        <v>6.762275188189404E-3</v>
      </c>
    </row>
    <row r="2163" spans="1:12" x14ac:dyDescent="0.35">
      <c r="A2163" s="18">
        <v>45393</v>
      </c>
      <c r="B2163" s="15">
        <v>509.98239135742188</v>
      </c>
      <c r="C2163" s="15">
        <v>67.343177795410156</v>
      </c>
      <c r="D2163" s="15">
        <v>219.80000305175781</v>
      </c>
      <c r="E2163" s="15">
        <v>442.16766357421881</v>
      </c>
      <c r="F2163" s="15">
        <v>252.53498840332031</v>
      </c>
      <c r="H2163" s="16">
        <f t="shared" si="81"/>
        <v>-1.3899307687014086E-2</v>
      </c>
      <c r="I2163" s="16">
        <f t="shared" si="81"/>
        <v>2.2498111307933531E-3</v>
      </c>
      <c r="J2163" s="16">
        <f t="shared" si="81"/>
        <v>-1.3327746093360208E-2</v>
      </c>
      <c r="K2163" s="16">
        <f t="shared" si="80"/>
        <v>-1.607024132754541E-2</v>
      </c>
      <c r="L2163" s="16">
        <f t="shared" si="80"/>
        <v>-1.4518669101130319E-2</v>
      </c>
    </row>
    <row r="2164" spans="1:12" x14ac:dyDescent="0.35">
      <c r="A2164" s="18">
        <v>45394</v>
      </c>
      <c r="B2164" s="15">
        <v>502.94302368164063</v>
      </c>
      <c r="C2164" s="15">
        <v>67.494857788085938</v>
      </c>
      <c r="D2164" s="15">
        <v>216.88999938964841</v>
      </c>
      <c r="E2164" s="15">
        <v>435.11871337890619</v>
      </c>
      <c r="F2164" s="15">
        <v>248.89500427246091</v>
      </c>
      <c r="H2164" s="16">
        <f t="shared" si="81"/>
        <v>-1.2607203726344531E-2</v>
      </c>
      <c r="I2164" s="16">
        <f t="shared" si="81"/>
        <v>-6.622999666980621E-3</v>
      </c>
      <c r="J2164" s="16">
        <f t="shared" si="81"/>
        <v>1.8546108004355997E-2</v>
      </c>
      <c r="K2164" s="16">
        <f t="shared" si="80"/>
        <v>-1.6587901303920804E-2</v>
      </c>
      <c r="L2164" s="16">
        <f t="shared" si="80"/>
        <v>-1.2368607310001372E-2</v>
      </c>
    </row>
    <row r="2165" spans="1:12" x14ac:dyDescent="0.35">
      <c r="A2165" s="18">
        <v>45397</v>
      </c>
      <c r="B2165" s="15">
        <v>496.64212036132813</v>
      </c>
      <c r="C2165" s="15">
        <v>67.04931640625</v>
      </c>
      <c r="D2165" s="15">
        <v>220.94999694824219</v>
      </c>
      <c r="E2165" s="15">
        <v>427.96054077148438</v>
      </c>
      <c r="F2165" s="15">
        <v>245.8354797363281</v>
      </c>
      <c r="H2165" s="16">
        <f t="shared" si="81"/>
        <v>-1.8254365434757943E-3</v>
      </c>
      <c r="I2165" s="16">
        <f t="shared" si="81"/>
        <v>-2.5481079270444555E-3</v>
      </c>
      <c r="J2165" s="16">
        <f t="shared" si="81"/>
        <v>1.2212692273934644E-3</v>
      </c>
      <c r="K2165" s="16">
        <f t="shared" si="80"/>
        <v>9.2769131177394758E-5</v>
      </c>
      <c r="L2165" s="16">
        <f t="shared" si="80"/>
        <v>-3.0059270856501669E-3</v>
      </c>
    </row>
    <row r="2166" spans="1:12" x14ac:dyDescent="0.35">
      <c r="A2166" s="18">
        <v>45398</v>
      </c>
      <c r="B2166" s="15">
        <v>495.73635864257813</v>
      </c>
      <c r="C2166" s="15">
        <v>66.878684997558594</v>
      </c>
      <c r="D2166" s="15">
        <v>221.2200012207031</v>
      </c>
      <c r="E2166" s="15">
        <v>428.000244140625</v>
      </c>
      <c r="F2166" s="15">
        <v>245.0976257324219</v>
      </c>
      <c r="H2166" s="16">
        <f t="shared" si="81"/>
        <v>-5.9359088266296087E-3</v>
      </c>
      <c r="I2166" s="16">
        <f t="shared" si="81"/>
        <v>4.8074277258682106E-3</v>
      </c>
      <c r="J2166" s="16">
        <f t="shared" si="81"/>
        <v>-7.3955324112902968E-3</v>
      </c>
      <c r="K2166" s="16">
        <f t="shared" si="80"/>
        <v>-1.2276295066709408E-2</v>
      </c>
      <c r="L2166" s="16">
        <f t="shared" si="80"/>
        <v>-5.8774546322934614E-3</v>
      </c>
    </row>
    <row r="2167" spans="1:12" x14ac:dyDescent="0.35">
      <c r="A2167" s="18">
        <v>45399</v>
      </c>
      <c r="B2167" s="15">
        <v>492.80242919921881</v>
      </c>
      <c r="C2167" s="15">
        <v>67.200973510742188</v>
      </c>
      <c r="D2167" s="15">
        <v>219.5899963378906</v>
      </c>
      <c r="E2167" s="15">
        <v>422.77810668945313</v>
      </c>
      <c r="F2167" s="15">
        <v>243.66130065917969</v>
      </c>
      <c r="H2167" s="16">
        <f t="shared" si="81"/>
        <v>-2.0598169788941961E-3</v>
      </c>
      <c r="I2167" s="16">
        <f t="shared" si="81"/>
        <v>-2.6836107340128664E-3</v>
      </c>
      <c r="J2167" s="16">
        <f t="shared" si="81"/>
        <v>3.4096367107846366E-3</v>
      </c>
      <c r="K2167" s="16">
        <f t="shared" si="80"/>
        <v>-5.7227333175687402E-3</v>
      </c>
      <c r="L2167" s="16">
        <f t="shared" si="80"/>
        <v>-2.0611025342861166E-3</v>
      </c>
    </row>
    <row r="2168" spans="1:12" x14ac:dyDescent="0.35">
      <c r="A2168" s="18">
        <v>45400</v>
      </c>
      <c r="B2168" s="15">
        <v>491.78839111328119</v>
      </c>
      <c r="C2168" s="15">
        <v>67.0208740234375</v>
      </c>
      <c r="D2168" s="15">
        <v>220.3399963378906</v>
      </c>
      <c r="E2168" s="15">
        <v>420.36557006835938</v>
      </c>
      <c r="F2168" s="15">
        <v>243.15960693359381</v>
      </c>
      <c r="H2168" s="16">
        <f t="shared" si="81"/>
        <v>-8.7667478299321682E-3</v>
      </c>
      <c r="I2168" s="16">
        <f t="shared" si="81"/>
        <v>1.2724468101270006E-3</v>
      </c>
      <c r="J2168" s="16">
        <f t="shared" si="81"/>
        <v>3.126642096904335E-3</v>
      </c>
      <c r="K2168" s="16">
        <f t="shared" si="80"/>
        <v>-2.0906279908219541E-2</v>
      </c>
      <c r="L2168" s="16">
        <f t="shared" si="80"/>
        <v>-7.8798155078061444E-3</v>
      </c>
    </row>
    <row r="2169" spans="1:12" x14ac:dyDescent="0.35">
      <c r="A2169" s="18">
        <v>45401</v>
      </c>
      <c r="B2169" s="15">
        <v>487.495849609375</v>
      </c>
      <c r="C2169" s="15">
        <v>67.106208801269531</v>
      </c>
      <c r="D2169" s="15">
        <v>221.0299987792969</v>
      </c>
      <c r="E2169" s="15">
        <v>411.66851806640619</v>
      </c>
      <c r="F2169" s="15">
        <v>241.25108337402341</v>
      </c>
      <c r="H2169" s="16">
        <f t="shared" si="81"/>
        <v>9.1670419633621564E-3</v>
      </c>
      <c r="I2169" s="16">
        <f t="shared" si="81"/>
        <v>4.235242188211829E-4</v>
      </c>
      <c r="J2169" s="16">
        <f t="shared" si="81"/>
        <v>-2.5012716627157427E-2</v>
      </c>
      <c r="K2169" s="16">
        <f t="shared" si="80"/>
        <v>1.0006512095258621E-2</v>
      </c>
      <c r="L2169" s="16">
        <f t="shared" si="80"/>
        <v>9.7794630479161558E-3</v>
      </c>
    </row>
    <row r="2170" spans="1:12" x14ac:dyDescent="0.35">
      <c r="A2170" s="18">
        <v>45404</v>
      </c>
      <c r="B2170" s="15">
        <v>491.98529052734381</v>
      </c>
      <c r="C2170" s="15">
        <v>67.134635925292969</v>
      </c>
      <c r="D2170" s="15">
        <v>215.57000732421881</v>
      </c>
      <c r="E2170" s="15">
        <v>415.80856323242188</v>
      </c>
      <c r="F2170" s="15">
        <v>243.62196350097659</v>
      </c>
      <c r="H2170" s="16">
        <f t="shared" si="81"/>
        <v>1.1796750326657741E-2</v>
      </c>
      <c r="I2170" s="16">
        <f t="shared" si="81"/>
        <v>1.8339957323654748E-3</v>
      </c>
      <c r="J2170" s="16">
        <f t="shared" si="81"/>
        <v>-2.4616906480960129E-3</v>
      </c>
      <c r="K2170" s="16">
        <f t="shared" si="80"/>
        <v>1.4812669198659473E-2</v>
      </c>
      <c r="L2170" s="16">
        <f t="shared" si="80"/>
        <v>1.1842099587985336E-2</v>
      </c>
    </row>
    <row r="2171" spans="1:12" x14ac:dyDescent="0.35">
      <c r="A2171" s="18">
        <v>45405</v>
      </c>
      <c r="B2171" s="15">
        <v>497.823486328125</v>
      </c>
      <c r="C2171" s="15">
        <v>67.25787353515625</v>
      </c>
      <c r="D2171" s="15">
        <v>215.03999328613281</v>
      </c>
      <c r="E2171" s="15">
        <v>422.01364135742188</v>
      </c>
      <c r="F2171" s="15">
        <v>246.52410888671881</v>
      </c>
      <c r="H2171" s="16">
        <f t="shared" si="81"/>
        <v>-4.7477411641972338E-4</v>
      </c>
      <c r="I2171" s="16">
        <f t="shared" si="81"/>
        <v>-2.5403102851894984E-3</v>
      </c>
      <c r="J2171" s="16">
        <f t="shared" si="81"/>
        <v>-1.8618228395409467E-3</v>
      </c>
      <c r="K2171" s="16">
        <f t="shared" si="80"/>
        <v>3.3819058355509047E-3</v>
      </c>
      <c r="L2171" s="16">
        <f t="shared" si="80"/>
        <v>2.3938401927679816E-4</v>
      </c>
    </row>
    <row r="2172" spans="1:12" x14ac:dyDescent="0.35">
      <c r="A2172" s="18">
        <v>45406</v>
      </c>
      <c r="B2172" s="15">
        <v>497.58718872070313</v>
      </c>
      <c r="C2172" s="15">
        <v>67.087234497070313</v>
      </c>
      <c r="D2172" s="15">
        <v>214.63999938964841</v>
      </c>
      <c r="E2172" s="15">
        <v>423.44326782226563</v>
      </c>
      <c r="F2172" s="15">
        <v>246.5831298828125</v>
      </c>
      <c r="H2172" s="16">
        <f t="shared" si="81"/>
        <v>-3.806021781083985E-3</v>
      </c>
      <c r="I2172" s="16">
        <f t="shared" si="81"/>
        <v>-2.8302576099222946E-3</v>
      </c>
      <c r="J2172" s="16">
        <f t="shared" si="81"/>
        <v>5.9457569557406931E-3</v>
      </c>
      <c r="K2172" s="16">
        <f t="shared" si="80"/>
        <v>-4.8414755538791028E-3</v>
      </c>
      <c r="L2172" s="16">
        <f t="shared" si="80"/>
        <v>-4.7588709666906729E-3</v>
      </c>
    </row>
    <row r="2173" spans="1:12" x14ac:dyDescent="0.35">
      <c r="A2173" s="18">
        <v>45407</v>
      </c>
      <c r="B2173" s="15">
        <v>495.69696044921881</v>
      </c>
      <c r="C2173" s="15">
        <v>66.897628784179688</v>
      </c>
      <c r="D2173" s="15">
        <v>215.91999816894531</v>
      </c>
      <c r="E2173" s="15">
        <v>421.39813232421881</v>
      </c>
      <c r="F2173" s="15">
        <v>245.41246032714841</v>
      </c>
      <c r="H2173" s="16">
        <f t="shared" si="81"/>
        <v>9.4292711961762449E-3</v>
      </c>
      <c r="I2173" s="16">
        <f t="shared" si="81"/>
        <v>2.2648920689872006E-3</v>
      </c>
      <c r="J2173" s="16">
        <f t="shared" si="81"/>
        <v>3.2366836371748075E-3</v>
      </c>
      <c r="K2173" s="16">
        <f t="shared" si="80"/>
        <v>1.5313722090882217E-2</v>
      </c>
      <c r="L2173" s="16">
        <f t="shared" si="80"/>
        <v>9.2570111412732092E-3</v>
      </c>
    </row>
    <row r="2174" spans="1:12" x14ac:dyDescent="0.35">
      <c r="A2174" s="18">
        <v>45408</v>
      </c>
      <c r="B2174" s="15">
        <v>500.39312744140619</v>
      </c>
      <c r="C2174" s="15">
        <v>67.04931640625</v>
      </c>
      <c r="D2174" s="15">
        <v>216.6199951171875</v>
      </c>
      <c r="E2174" s="15">
        <v>427.90097045898438</v>
      </c>
      <c r="F2174" s="15">
        <v>247.6947937011719</v>
      </c>
      <c r="H2174" s="16">
        <f t="shared" si="81"/>
        <v>3.5351489971287252E-3</v>
      </c>
      <c r="I2174" s="16">
        <f t="shared" si="81"/>
        <v>2.964439321278935E-3</v>
      </c>
      <c r="J2174" s="16">
        <f t="shared" si="81"/>
        <v>-2.0332837588087856E-3</v>
      </c>
      <c r="K2174" s="16">
        <f t="shared" si="80"/>
        <v>4.052197850071073E-3</v>
      </c>
      <c r="L2174" s="16">
        <f t="shared" si="80"/>
        <v>3.9243595359597771E-3</v>
      </c>
    </row>
    <row r="2175" spans="1:12" x14ac:dyDescent="0.35">
      <c r="A2175" s="18">
        <v>45411</v>
      </c>
      <c r="B2175" s="15">
        <v>502.16522216796881</v>
      </c>
      <c r="C2175" s="15">
        <v>67.248374938964844</v>
      </c>
      <c r="D2175" s="15">
        <v>216.17999267578119</v>
      </c>
      <c r="E2175" s="15">
        <v>429.638427734375</v>
      </c>
      <c r="F2175" s="15">
        <v>248.66874694824219</v>
      </c>
      <c r="H2175" s="16">
        <f t="shared" si="81"/>
        <v>-1.5968003330931898E-2</v>
      </c>
      <c r="I2175" s="16">
        <f t="shared" si="81"/>
        <v>-3.8132012908718019E-3</v>
      </c>
      <c r="J2175" s="16">
        <f t="shared" si="81"/>
        <v>-2.0138504117937023E-2</v>
      </c>
      <c r="K2175" s="16">
        <f t="shared" si="80"/>
        <v>-1.9036319231268459E-2</v>
      </c>
      <c r="L2175" s="16">
        <f t="shared" si="80"/>
        <v>-1.6594625882475803E-2</v>
      </c>
    </row>
    <row r="2176" spans="1:12" x14ac:dyDescent="0.35">
      <c r="A2176" s="18">
        <v>45412</v>
      </c>
      <c r="B2176" s="15">
        <v>494.2103271484375</v>
      </c>
      <c r="C2176" s="15">
        <v>66.992431640625</v>
      </c>
      <c r="D2176" s="15">
        <v>211.8699951171875</v>
      </c>
      <c r="E2176" s="15">
        <v>421.53704833984381</v>
      </c>
      <c r="F2176" s="15">
        <v>244.57623291015619</v>
      </c>
      <c r="H2176" s="16">
        <f t="shared" si="81"/>
        <v>-3.2524787004927841E-3</v>
      </c>
      <c r="I2176" s="16">
        <f t="shared" si="81"/>
        <v>3.5985289824459589E-3</v>
      </c>
      <c r="J2176" s="16">
        <f t="shared" si="81"/>
        <v>9.0213374183556443E-3</v>
      </c>
      <c r="K2176" s="16">
        <f t="shared" si="80"/>
        <v>-7.256740398641652E-3</v>
      </c>
      <c r="L2176" s="16">
        <f t="shared" si="80"/>
        <v>-2.4969151362500062E-3</v>
      </c>
    </row>
    <row r="2177" spans="1:12" x14ac:dyDescent="0.35">
      <c r="A2177" s="18">
        <v>45413</v>
      </c>
      <c r="B2177" s="15">
        <v>492.60552978515619</v>
      </c>
      <c r="C2177" s="15">
        <v>67.233940124511719</v>
      </c>
      <c r="D2177" s="15">
        <v>213.78999328613281</v>
      </c>
      <c r="E2177" s="15">
        <v>418.4891357421875</v>
      </c>
      <c r="F2177" s="15">
        <v>243.96630859375</v>
      </c>
      <c r="H2177" s="16">
        <f t="shared" si="81"/>
        <v>9.3099426679147876E-3</v>
      </c>
      <c r="I2177" s="16">
        <f t="shared" si="81"/>
        <v>3.9521291432180151E-3</v>
      </c>
      <c r="J2177" s="16">
        <f t="shared" si="81"/>
        <v>-3.0918623251211682E-3</v>
      </c>
      <c r="K2177" s="16">
        <f t="shared" si="80"/>
        <v>1.2682550220555519E-2</v>
      </c>
      <c r="L2177" s="16">
        <f t="shared" si="80"/>
        <v>1.0309943786572486E-2</v>
      </c>
    </row>
    <row r="2178" spans="1:12" x14ac:dyDescent="0.35">
      <c r="A2178" s="18">
        <v>45414</v>
      </c>
      <c r="B2178" s="15">
        <v>497.21307373046881</v>
      </c>
      <c r="C2178" s="15">
        <v>67.50018310546875</v>
      </c>
      <c r="D2178" s="15">
        <v>213.1300048828125</v>
      </c>
      <c r="E2178" s="15">
        <v>423.8304443359375</v>
      </c>
      <c r="F2178" s="15">
        <v>246.4945983886719</v>
      </c>
      <c r="H2178" s="16">
        <f t="shared" si="81"/>
        <v>1.2319250829531551E-2</v>
      </c>
      <c r="I2178" s="16">
        <f t="shared" si="81"/>
        <v>5.0584012206790928E-3</v>
      </c>
      <c r="J2178" s="16">
        <f t="shared" si="81"/>
        <v>-7.9794490994205733E-4</v>
      </c>
      <c r="K2178" s="16">
        <f t="shared" si="80"/>
        <v>1.9899226872578835E-2</v>
      </c>
      <c r="L2178" s="16">
        <f t="shared" si="80"/>
        <v>1.1783758420327207E-2</v>
      </c>
    </row>
    <row r="2179" spans="1:12" x14ac:dyDescent="0.35">
      <c r="A2179" s="18">
        <v>45415</v>
      </c>
      <c r="B2179" s="15">
        <v>503.37625122070313</v>
      </c>
      <c r="C2179" s="15">
        <v>67.842491149902344</v>
      </c>
      <c r="D2179" s="15">
        <v>212.96000671386719</v>
      </c>
      <c r="E2179" s="15">
        <v>432.34881591796881</v>
      </c>
      <c r="F2179" s="15">
        <v>249.4164123535156</v>
      </c>
      <c r="H2179" s="16">
        <f t="shared" si="81"/>
        <v>1.0273796305339949E-2</v>
      </c>
      <c r="I2179" s="16">
        <f t="shared" si="81"/>
        <v>9.8048562852694763E-4</v>
      </c>
      <c r="J2179" s="16">
        <f t="shared" si="81"/>
        <v>1.0463427933373832E-2</v>
      </c>
      <c r="K2179" s="16">
        <f t="shared" si="80"/>
        <v>1.0893840818040779E-2</v>
      </c>
      <c r="L2179" s="16">
        <f t="shared" si="80"/>
        <v>1.0671392977630537E-2</v>
      </c>
    </row>
    <row r="2180" spans="1:12" x14ac:dyDescent="0.35">
      <c r="A2180" s="18">
        <v>45418</v>
      </c>
      <c r="B2180" s="15">
        <v>508.57449340820313</v>
      </c>
      <c r="C2180" s="15">
        <v>67.909042358398438</v>
      </c>
      <c r="D2180" s="15">
        <v>215.19999694824219</v>
      </c>
      <c r="E2180" s="15">
        <v>437.08450317382813</v>
      </c>
      <c r="F2180" s="15">
        <v>252.09228515625</v>
      </c>
      <c r="H2180" s="16">
        <f t="shared" si="81"/>
        <v>1.1028440415513337E-3</v>
      </c>
      <c r="I2180" s="16">
        <f t="shared" si="81"/>
        <v>1.9583161602215499E-3</v>
      </c>
      <c r="J2180" s="16">
        <f t="shared" si="81"/>
        <v>-4.6109404994196497E-3</v>
      </c>
      <c r="K2180" s="16">
        <f t="shared" si="80"/>
        <v>1.5889945544750298E-4</v>
      </c>
      <c r="L2180" s="16">
        <f t="shared" si="80"/>
        <v>8.9717578982485174E-4</v>
      </c>
    </row>
    <row r="2181" spans="1:12" x14ac:dyDescent="0.35">
      <c r="A2181" s="18">
        <v>45419</v>
      </c>
      <c r="B2181" s="15">
        <v>509.13568115234381</v>
      </c>
      <c r="C2181" s="15">
        <v>68.042160034179688</v>
      </c>
      <c r="D2181" s="15">
        <v>214.21000671386719</v>
      </c>
      <c r="E2181" s="15">
        <v>437.15396118164063</v>
      </c>
      <c r="F2181" s="15">
        <v>252.31855773925781</v>
      </c>
      <c r="H2181" s="16">
        <f t="shared" si="81"/>
        <v>9.6498697672068822E-5</v>
      </c>
      <c r="I2181" s="16">
        <f t="shared" si="81"/>
        <v>-2.3781336177134691E-3</v>
      </c>
      <c r="J2181" s="16">
        <f t="shared" si="81"/>
        <v>-2.9453952906236033E-3</v>
      </c>
      <c r="K2181" s="16">
        <f t="shared" si="80"/>
        <v>-5.9055480662233476E-4</v>
      </c>
      <c r="L2181" s="16">
        <f t="shared" si="80"/>
        <v>-7.0211118986947534E-4</v>
      </c>
    </row>
    <row r="2182" spans="1:12" x14ac:dyDescent="0.35">
      <c r="A2182" s="18">
        <v>45420</v>
      </c>
      <c r="B2182" s="15">
        <v>509.184814453125</v>
      </c>
      <c r="C2182" s="15">
        <v>67.880538940429688</v>
      </c>
      <c r="D2182" s="15">
        <v>213.58000183105469</v>
      </c>
      <c r="E2182" s="15">
        <v>436.8958740234375</v>
      </c>
      <c r="F2182" s="15">
        <v>252.14146423339841</v>
      </c>
      <c r="H2182" s="16">
        <f t="shared" si="81"/>
        <v>5.7455355372056545E-3</v>
      </c>
      <c r="I2182" s="16">
        <f t="shared" si="81"/>
        <v>2.6577404076345338E-3</v>
      </c>
      <c r="J2182" s="16">
        <f t="shared" si="81"/>
        <v>1.5655419861163231E-2</v>
      </c>
      <c r="K2182" s="16">
        <f t="shared" si="80"/>
        <v>2.1790682925557957E-3</v>
      </c>
      <c r="L2182" s="16">
        <f t="shared" si="80"/>
        <v>5.8742631064895795E-3</v>
      </c>
    </row>
    <row r="2183" spans="1:12" x14ac:dyDescent="0.35">
      <c r="A2183" s="18">
        <v>45421</v>
      </c>
      <c r="B2183" s="15">
        <v>512.1187744140625</v>
      </c>
      <c r="C2183" s="15">
        <v>68.061187744140625</v>
      </c>
      <c r="D2183" s="15">
        <v>216.94999694824219</v>
      </c>
      <c r="E2183" s="15">
        <v>437.84893798828119</v>
      </c>
      <c r="F2183" s="15">
        <v>253.62696838378909</v>
      </c>
      <c r="H2183" s="16">
        <f t="shared" si="81"/>
        <v>1.2872862742405451E-3</v>
      </c>
      <c r="I2183" s="16">
        <f t="shared" si="81"/>
        <v>-2.7979060854933179E-3</v>
      </c>
      <c r="J2183" s="16">
        <f t="shared" si="81"/>
        <v>8.0797838943197347E-3</v>
      </c>
      <c r="K2183" s="16">
        <f t="shared" si="80"/>
        <v>2.3554155452298474E-3</v>
      </c>
      <c r="L2183" s="16">
        <f t="shared" si="80"/>
        <v>9.30338489655823E-4</v>
      </c>
    </row>
    <row r="2184" spans="1:12" x14ac:dyDescent="0.35">
      <c r="A2184" s="18">
        <v>45422</v>
      </c>
      <c r="B2184" s="15">
        <v>512.7784423828125</v>
      </c>
      <c r="C2184" s="15">
        <v>67.871025085449219</v>
      </c>
      <c r="D2184" s="15">
        <v>218.71000671386719</v>
      </c>
      <c r="E2184" s="15">
        <v>438.8814697265625</v>
      </c>
      <c r="F2184" s="15">
        <v>253.863037109375</v>
      </c>
      <c r="H2184" s="16">
        <f t="shared" si="81"/>
        <v>1.3425493174956213E-4</v>
      </c>
      <c r="I2184" s="16">
        <f t="shared" si="81"/>
        <v>8.4025025927387522E-4</v>
      </c>
      <c r="J2184" s="16">
        <f t="shared" si="81"/>
        <v>-1.1265319955387624E-2</v>
      </c>
      <c r="K2184" s="16">
        <f t="shared" si="80"/>
        <v>2.3047186068354732E-3</v>
      </c>
      <c r="L2184" s="16">
        <f t="shared" si="80"/>
        <v>5.4249325407168005E-4</v>
      </c>
    </row>
    <row r="2185" spans="1:12" x14ac:dyDescent="0.35">
      <c r="A2185" s="18">
        <v>45425</v>
      </c>
      <c r="B2185" s="15">
        <v>512.8472900390625</v>
      </c>
      <c r="C2185" s="15">
        <v>67.928077697753906</v>
      </c>
      <c r="D2185" s="15">
        <v>216.25999450683591</v>
      </c>
      <c r="E2185" s="15">
        <v>439.89413452148438</v>
      </c>
      <c r="F2185" s="15">
        <v>254.00079345703119</v>
      </c>
      <c r="H2185" s="16">
        <f t="shared" si="81"/>
        <v>4.5776702085541078E-3</v>
      </c>
      <c r="I2185" s="16">
        <f t="shared" si="81"/>
        <v>2.9349924630177405E-3</v>
      </c>
      <c r="J2185" s="16">
        <f t="shared" si="81"/>
        <v>8.4264427207495878E-3</v>
      </c>
      <c r="K2185" s="16">
        <f t="shared" si="80"/>
        <v>6.4116270686470859E-3</v>
      </c>
      <c r="L2185" s="16">
        <f t="shared" si="80"/>
        <v>4.8683444313642058E-3</v>
      </c>
    </row>
    <row r="2186" spans="1:12" x14ac:dyDescent="0.35">
      <c r="A2186" s="18">
        <v>45426</v>
      </c>
      <c r="B2186" s="15">
        <v>515.2003173828125</v>
      </c>
      <c r="C2186" s="15">
        <v>68.127738952636719</v>
      </c>
      <c r="D2186" s="15">
        <v>218.0899963378906</v>
      </c>
      <c r="E2186" s="15">
        <v>442.7236328125</v>
      </c>
      <c r="F2186" s="15">
        <v>255.24037170410159</v>
      </c>
      <c r="H2186" s="16">
        <f t="shared" si="81"/>
        <v>1.2307025276262736E-2</v>
      </c>
      <c r="I2186" s="16">
        <f t="shared" si="81"/>
        <v>6.3995594317509457E-3</v>
      </c>
      <c r="J2186" s="16">
        <f t="shared" si="81"/>
        <v>1.2757032448187955E-2</v>
      </c>
      <c r="K2186" s="16">
        <f t="shared" si="80"/>
        <v>1.5509378650744615E-2</v>
      </c>
      <c r="L2186" s="16">
        <f t="shared" si="80"/>
        <v>1.2220220007377207E-2</v>
      </c>
    </row>
    <row r="2187" spans="1:12" x14ac:dyDescent="0.35">
      <c r="A2187" s="18">
        <v>45427</v>
      </c>
      <c r="B2187" s="15">
        <v>521.580078125</v>
      </c>
      <c r="C2187" s="15">
        <v>68.56512451171875</v>
      </c>
      <c r="D2187" s="15">
        <v>220.88999938964841</v>
      </c>
      <c r="E2187" s="15">
        <v>449.64352416992188</v>
      </c>
      <c r="F2187" s="15">
        <v>258.37860107421881</v>
      </c>
      <c r="H2187" s="16">
        <f t="shared" si="81"/>
        <v>-2.0597947301239901E-3</v>
      </c>
      <c r="I2187" s="16">
        <f t="shared" si="81"/>
        <v>-1.6654623619016963E-3</v>
      </c>
      <c r="J2187" s="16">
        <f t="shared" si="81"/>
        <v>-3.9009421414321981E-3</v>
      </c>
      <c r="K2187" s="16">
        <f t="shared" si="80"/>
        <v>-2.0333652306602805E-3</v>
      </c>
      <c r="L2187" s="16">
        <f t="shared" si="80"/>
        <v>-2.7070049715166018E-3</v>
      </c>
    </row>
    <row r="2188" spans="1:12" x14ac:dyDescent="0.35">
      <c r="A2188" s="18">
        <v>45428</v>
      </c>
      <c r="B2188" s="15">
        <v>520.5068359375</v>
      </c>
      <c r="C2188" s="15">
        <v>68.451026916503906</v>
      </c>
      <c r="D2188" s="15">
        <v>220.0299987792969</v>
      </c>
      <c r="E2188" s="15">
        <v>448.73016357421881</v>
      </c>
      <c r="F2188" s="15">
        <v>257.68011474609381</v>
      </c>
      <c r="H2188" s="16">
        <f t="shared" si="81"/>
        <v>1.4365875717737054E-3</v>
      </c>
      <c r="I2188" s="16">
        <f t="shared" si="81"/>
        <v>-2.5036852720687055E-3</v>
      </c>
      <c r="J2188" s="16">
        <f t="shared" si="81"/>
        <v>1.6363162829441925E-2</v>
      </c>
      <c r="K2188" s="16">
        <f t="shared" si="80"/>
        <v>-4.8692517110097045E-4</v>
      </c>
      <c r="L2188" s="16">
        <f t="shared" si="80"/>
        <v>1.411423818196681E-3</v>
      </c>
    </row>
    <row r="2189" spans="1:12" x14ac:dyDescent="0.35">
      <c r="A2189" s="18">
        <v>45429</v>
      </c>
      <c r="B2189" s="15">
        <v>521.255126953125</v>
      </c>
      <c r="C2189" s="15">
        <v>68.279861450195313</v>
      </c>
      <c r="D2189" s="15">
        <v>223.6600036621094</v>
      </c>
      <c r="E2189" s="15">
        <v>448.51171875</v>
      </c>
      <c r="F2189" s="15">
        <v>258.0440673828125</v>
      </c>
      <c r="H2189" s="16">
        <f t="shared" si="81"/>
        <v>1.1515286409173426E-3</v>
      </c>
      <c r="I2189" s="16">
        <f t="shared" si="81"/>
        <v>-9.7515814080628563E-4</v>
      </c>
      <c r="J2189" s="16">
        <f t="shared" si="81"/>
        <v>4.0158632080744628E-3</v>
      </c>
      <c r="K2189" s="16">
        <f t="shared" si="80"/>
        <v>6.9485977066782783E-3</v>
      </c>
      <c r="L2189" s="16">
        <f t="shared" si="80"/>
        <v>1.028967138486603E-3</v>
      </c>
    </row>
    <row r="2190" spans="1:12" x14ac:dyDescent="0.35">
      <c r="A2190" s="18">
        <v>45432</v>
      </c>
      <c r="B2190" s="15">
        <v>521.855712890625</v>
      </c>
      <c r="C2190" s="15">
        <v>68.213310241699219</v>
      </c>
      <c r="D2190" s="15">
        <v>224.55999755859381</v>
      </c>
      <c r="E2190" s="15">
        <v>451.63909912109381</v>
      </c>
      <c r="F2190" s="15">
        <v>258.30972290039063</v>
      </c>
      <c r="H2190" s="16">
        <f t="shared" si="81"/>
        <v>2.4493714065452871E-3</v>
      </c>
      <c r="I2190" s="16">
        <f t="shared" si="81"/>
        <v>2.0888919277344642E-3</v>
      </c>
      <c r="J2190" s="16">
        <f t="shared" si="81"/>
        <v>-1.4706294501548359E-3</v>
      </c>
      <c r="K2190" s="16">
        <f t="shared" si="80"/>
        <v>1.9543963451057449E-3</v>
      </c>
      <c r="L2190" s="16">
        <f t="shared" si="80"/>
        <v>2.0545275919942136E-3</v>
      </c>
    </row>
    <row r="2191" spans="1:12" x14ac:dyDescent="0.35">
      <c r="A2191" s="18">
        <v>45433</v>
      </c>
      <c r="B2191" s="15">
        <v>523.135498046875</v>
      </c>
      <c r="C2191" s="15">
        <v>68.355949401855469</v>
      </c>
      <c r="D2191" s="15">
        <v>224.22999572753909</v>
      </c>
      <c r="E2191" s="15">
        <v>452.52264404296881</v>
      </c>
      <c r="F2191" s="15">
        <v>258.84097290039063</v>
      </c>
      <c r="H2191" s="16">
        <f t="shared" si="81"/>
        <v>-2.8833794400496314E-3</v>
      </c>
      <c r="I2191" s="16">
        <f t="shared" si="81"/>
        <v>-1.2527444158779075E-3</v>
      </c>
      <c r="J2191" s="16">
        <f t="shared" si="81"/>
        <v>-1.8544867564565665E-2</v>
      </c>
      <c r="K2191" s="16">
        <f t="shared" si="80"/>
        <v>-1.9741281366353935E-4</v>
      </c>
      <c r="L2191" s="16">
        <f t="shared" si="80"/>
        <v>-3.3884283530056657E-3</v>
      </c>
    </row>
    <row r="2192" spans="1:12" x14ac:dyDescent="0.35">
      <c r="A2192" s="18">
        <v>45434</v>
      </c>
      <c r="B2192" s="15">
        <v>521.6292724609375</v>
      </c>
      <c r="C2192" s="15">
        <v>68.270370483398438</v>
      </c>
      <c r="D2192" s="15">
        <v>220.11000061035159</v>
      </c>
      <c r="E2192" s="15">
        <v>452.43331909179688</v>
      </c>
      <c r="F2192" s="15">
        <v>257.96539306640619</v>
      </c>
      <c r="H2192" s="16">
        <f t="shared" si="81"/>
        <v>-7.3309561897250998E-3</v>
      </c>
      <c r="I2192" s="16">
        <f t="shared" si="81"/>
        <v>-2.9290758031398851E-3</v>
      </c>
      <c r="J2192" s="16">
        <f t="shared" si="81"/>
        <v>-2.0146148039186667E-2</v>
      </c>
      <c r="K2192" s="16">
        <f t="shared" si="80"/>
        <v>-4.5086643166453227E-3</v>
      </c>
      <c r="L2192" s="16">
        <f t="shared" si="80"/>
        <v>-8.540675895984999E-3</v>
      </c>
    </row>
    <row r="2193" spans="1:12" x14ac:dyDescent="0.35">
      <c r="A2193" s="18">
        <v>45435</v>
      </c>
      <c r="B2193" s="15">
        <v>517.8192138671875</v>
      </c>
      <c r="C2193" s="15">
        <v>68.070693969726563</v>
      </c>
      <c r="D2193" s="15">
        <v>215.7200012207031</v>
      </c>
      <c r="E2193" s="15">
        <v>450.39804077148438</v>
      </c>
      <c r="F2193" s="15">
        <v>255.7715759277344</v>
      </c>
      <c r="H2193" s="16">
        <f t="shared" si="81"/>
        <v>6.5945834842225824E-3</v>
      </c>
      <c r="I2193" s="16">
        <f t="shared" si="81"/>
        <v>1.1167063334261477E-3</v>
      </c>
      <c r="J2193" s="16">
        <f t="shared" si="81"/>
        <v>9.2668410173838713E-4</v>
      </c>
      <c r="K2193" s="16">
        <f t="shared" si="80"/>
        <v>9.4120599857836738E-3</v>
      </c>
      <c r="L2193" s="16">
        <f t="shared" si="80"/>
        <v>7.2049934669009552E-3</v>
      </c>
    </row>
    <row r="2194" spans="1:12" x14ac:dyDescent="0.35">
      <c r="A2194" s="18">
        <v>45436</v>
      </c>
      <c r="B2194" s="15">
        <v>521.24530029296875</v>
      </c>
      <c r="C2194" s="15">
        <v>68.146751403808594</v>
      </c>
      <c r="D2194" s="15">
        <v>215.91999816894531</v>
      </c>
      <c r="E2194" s="15">
        <v>454.6572265625</v>
      </c>
      <c r="F2194" s="15">
        <v>257.62106323242188</v>
      </c>
      <c r="H2194" s="16">
        <f t="shared" si="81"/>
        <v>6.9857818541093763E-4</v>
      </c>
      <c r="I2194" s="16">
        <f t="shared" si="81"/>
        <v>-4.7549477024999998E-3</v>
      </c>
      <c r="J2194" s="16">
        <f t="shared" si="81"/>
        <v>1.045829379441441E-2</v>
      </c>
      <c r="K2194" s="16">
        <f t="shared" si="80"/>
        <v>3.7705181921801269E-3</v>
      </c>
      <c r="L2194" s="16">
        <f t="shared" si="80"/>
        <v>0</v>
      </c>
    </row>
    <row r="2195" spans="1:12" x14ac:dyDescent="0.35">
      <c r="A2195" s="18">
        <v>45440</v>
      </c>
      <c r="B2195" s="15">
        <v>521.60955810546875</v>
      </c>
      <c r="C2195" s="15">
        <v>67.823486328125</v>
      </c>
      <c r="D2195" s="15">
        <v>218.19000244140619</v>
      </c>
      <c r="E2195" s="15">
        <v>456.374755859375</v>
      </c>
      <c r="F2195" s="15">
        <v>257.62106323242188</v>
      </c>
      <c r="H2195" s="16">
        <f t="shared" si="81"/>
        <v>-7.0271653075129944E-3</v>
      </c>
      <c r="I2195" s="16">
        <f t="shared" si="81"/>
        <v>-3.6517523196145287E-3</v>
      </c>
      <c r="J2195" s="16">
        <f t="shared" si="81"/>
        <v>-9.3473628703683136E-3</v>
      </c>
      <c r="K2195" s="16">
        <f t="shared" si="81"/>
        <v>-7.0732756098672561E-3</v>
      </c>
      <c r="L2195" s="16">
        <f t="shared" si="81"/>
        <v>-8.2439379794544704E-3</v>
      </c>
    </row>
    <row r="2196" spans="1:12" x14ac:dyDescent="0.35">
      <c r="A2196" s="18">
        <v>45441</v>
      </c>
      <c r="B2196" s="15">
        <v>517.95697021484375</v>
      </c>
      <c r="C2196" s="15">
        <v>67.576263427734375</v>
      </c>
      <c r="D2196" s="15">
        <v>216.1600036621094</v>
      </c>
      <c r="E2196" s="15">
        <v>453.1580810546875</v>
      </c>
      <c r="F2196" s="15">
        <v>255.5059814453125</v>
      </c>
      <c r="H2196" s="16">
        <f t="shared" ref="H2196:K2259" si="82">LN(B2197/B2196)</f>
        <v>-6.6558065500838832E-3</v>
      </c>
      <c r="I2196" s="16">
        <f t="shared" si="82"/>
        <v>4.3524256007058835E-3</v>
      </c>
      <c r="J2196" s="16">
        <f t="shared" si="82"/>
        <v>1.8949634848047382E-3</v>
      </c>
      <c r="K2196" s="16">
        <f t="shared" si="82"/>
        <v>-1.0771121585216644E-2</v>
      </c>
      <c r="L2196" s="16">
        <f t="shared" ref="L2196:L2259" si="83">LN(F2197/F2196)</f>
        <v>-4.9017990706115367E-3</v>
      </c>
    </row>
    <row r="2197" spans="1:12" x14ac:dyDescent="0.35">
      <c r="A2197" s="18">
        <v>45442</v>
      </c>
      <c r="B2197" s="15">
        <v>514.52099609375</v>
      </c>
      <c r="C2197" s="15">
        <v>67.871025085449219</v>
      </c>
      <c r="D2197" s="15">
        <v>216.57000732421881</v>
      </c>
      <c r="E2197" s="15">
        <v>448.30325317382813</v>
      </c>
      <c r="F2197" s="15">
        <v>254.25660705566409</v>
      </c>
      <c r="H2197" s="16">
        <f t="shared" si="82"/>
        <v>9.0668148098526236E-3</v>
      </c>
      <c r="I2197" s="16">
        <f t="shared" si="82"/>
        <v>3.6358096725243186E-3</v>
      </c>
      <c r="J2197" s="16">
        <f t="shared" si="82"/>
        <v>-5.8814360935927684E-3</v>
      </c>
      <c r="K2197" s="16">
        <f t="shared" si="82"/>
        <v>-1.8620455428354429E-3</v>
      </c>
      <c r="L2197" s="16">
        <f t="shared" si="83"/>
        <v>7.6701609043510859E-3</v>
      </c>
    </row>
    <row r="2198" spans="1:12" x14ac:dyDescent="0.35">
      <c r="A2198" s="18">
        <v>45443</v>
      </c>
      <c r="B2198" s="15">
        <v>519.207275390625</v>
      </c>
      <c r="C2198" s="15">
        <v>68.118240356445313</v>
      </c>
      <c r="D2198" s="15">
        <v>215.30000305175781</v>
      </c>
      <c r="E2198" s="15">
        <v>447.46926879882813</v>
      </c>
      <c r="F2198" s="15">
        <v>256.21429443359381</v>
      </c>
      <c r="H2198" s="16">
        <f t="shared" si="82"/>
        <v>8.1514330829754011E-4</v>
      </c>
      <c r="I2198" s="16">
        <f t="shared" si="82"/>
        <v>5.570900691020772E-3</v>
      </c>
      <c r="J2198" s="16">
        <f t="shared" si="82"/>
        <v>8.8782519267911336E-3</v>
      </c>
      <c r="K2198" s="16">
        <f t="shared" si="82"/>
        <v>5.3549170178200153E-3</v>
      </c>
      <c r="L2198" s="16">
        <f t="shared" si="83"/>
        <v>3.0701737390212734E-4</v>
      </c>
    </row>
    <row r="2199" spans="1:12" x14ac:dyDescent="0.35">
      <c r="A2199" s="18">
        <v>45446</v>
      </c>
      <c r="B2199" s="15">
        <v>519.63067626953125</v>
      </c>
      <c r="C2199" s="15">
        <v>68.498779296875</v>
      </c>
      <c r="D2199" s="15">
        <v>217.2200012207031</v>
      </c>
      <c r="E2199" s="15">
        <v>449.87185668945313</v>
      </c>
      <c r="F2199" s="15">
        <v>256.29296875</v>
      </c>
      <c r="H2199" s="16">
        <f t="shared" si="82"/>
        <v>1.1172303431757592E-3</v>
      </c>
      <c r="I2199" s="16">
        <f t="shared" si="82"/>
        <v>3.7523604645436121E-3</v>
      </c>
      <c r="J2199" s="16">
        <f t="shared" si="82"/>
        <v>-9.0175964182102105E-3</v>
      </c>
      <c r="K2199" s="16">
        <f t="shared" si="82"/>
        <v>2.7327731652063568E-3</v>
      </c>
      <c r="L2199" s="16">
        <f t="shared" si="83"/>
        <v>-1.1515024112403435E-4</v>
      </c>
    </row>
    <row r="2200" spans="1:12" x14ac:dyDescent="0.35">
      <c r="A2200" s="18">
        <v>45447</v>
      </c>
      <c r="B2200" s="15">
        <v>520.2115478515625</v>
      </c>
      <c r="C2200" s="15">
        <v>68.756294250488281</v>
      </c>
      <c r="D2200" s="15">
        <v>215.27000427246091</v>
      </c>
      <c r="E2200" s="15">
        <v>451.10293579101563</v>
      </c>
      <c r="F2200" s="15">
        <v>256.26345825195313</v>
      </c>
      <c r="H2200" s="16">
        <f t="shared" si="82"/>
        <v>1.1815091508981631E-2</v>
      </c>
      <c r="I2200" s="16">
        <f t="shared" si="82"/>
        <v>2.7705626432166707E-3</v>
      </c>
      <c r="J2200" s="16">
        <f t="shared" si="82"/>
        <v>1.1775993219295412E-2</v>
      </c>
      <c r="K2200" s="16">
        <f t="shared" si="82"/>
        <v>1.9959285524080942E-2</v>
      </c>
      <c r="L2200" s="16">
        <f t="shared" si="83"/>
        <v>1.2171787470737425E-2</v>
      </c>
    </row>
    <row r="2201" spans="1:12" x14ac:dyDescent="0.35">
      <c r="A2201" s="18">
        <v>45448</v>
      </c>
      <c r="B2201" s="15">
        <v>526.39434814453125</v>
      </c>
      <c r="C2201" s="15">
        <v>68.947052001953125</v>
      </c>
      <c r="D2201" s="15">
        <v>217.82000732421881</v>
      </c>
      <c r="E2201" s="15">
        <v>460.19708251953119</v>
      </c>
      <c r="F2201" s="15">
        <v>259.40170288085938</v>
      </c>
      <c r="H2201" s="16">
        <f t="shared" si="82"/>
        <v>-1.8899945486362295E-5</v>
      </c>
      <c r="I2201" s="16">
        <f t="shared" si="82"/>
        <v>1.3853152621274293E-4</v>
      </c>
      <c r="J2201" s="16">
        <f t="shared" si="82"/>
        <v>7.3641743967559729E-3</v>
      </c>
      <c r="K2201" s="16">
        <f t="shared" si="82"/>
        <v>-3.4522473129539299E-4</v>
      </c>
      <c r="L2201" s="16">
        <f t="shared" si="83"/>
        <v>-8.7249046110162733E-4</v>
      </c>
    </row>
    <row r="2202" spans="1:12" x14ac:dyDescent="0.35">
      <c r="A2202" s="18">
        <v>45449</v>
      </c>
      <c r="B2202" s="15">
        <v>526.3843994140625</v>
      </c>
      <c r="C2202" s="15">
        <v>68.95660400390625</v>
      </c>
      <c r="D2202" s="15">
        <v>219.42999267578119</v>
      </c>
      <c r="E2202" s="15">
        <v>460.03823852539063</v>
      </c>
      <c r="F2202" s="15">
        <v>259.17547607421881</v>
      </c>
      <c r="H2202" s="16">
        <f t="shared" si="82"/>
        <v>-1.2161447302447416E-3</v>
      </c>
      <c r="I2202" s="16">
        <f t="shared" si="82"/>
        <v>-8.0550094105584034E-3</v>
      </c>
      <c r="J2202" s="16">
        <f t="shared" si="82"/>
        <v>-3.6335512840657967E-2</v>
      </c>
      <c r="K2202" s="16">
        <f t="shared" si="82"/>
        <v>-8.8519519893056893E-4</v>
      </c>
      <c r="L2202" s="16">
        <f t="shared" si="83"/>
        <v>-1.8995589889712742E-3</v>
      </c>
    </row>
    <row r="2203" spans="1:12" x14ac:dyDescent="0.35">
      <c r="A2203" s="18">
        <v>45450</v>
      </c>
      <c r="B2203" s="15">
        <v>525.74462890625</v>
      </c>
      <c r="C2203" s="15">
        <v>68.403388977050781</v>
      </c>
      <c r="D2203" s="15">
        <v>211.6000061035156</v>
      </c>
      <c r="E2203" s="15">
        <v>459.63119506835938</v>
      </c>
      <c r="F2203" s="15">
        <v>258.68362426757813</v>
      </c>
      <c r="H2203" s="16">
        <f t="shared" si="82"/>
        <v>3.0849299894689514E-3</v>
      </c>
      <c r="I2203" s="16">
        <f t="shared" si="82"/>
        <v>-1.5346762592757645E-3</v>
      </c>
      <c r="J2203" s="16">
        <f t="shared" si="82"/>
        <v>9.1264084806261664E-3</v>
      </c>
      <c r="K2203" s="16">
        <f t="shared" si="82"/>
        <v>4.0310525053296265E-3</v>
      </c>
      <c r="L2203" s="16">
        <f t="shared" si="83"/>
        <v>3.340823823703344E-3</v>
      </c>
    </row>
    <row r="2204" spans="1:12" x14ac:dyDescent="0.35">
      <c r="A2204" s="18">
        <v>45453</v>
      </c>
      <c r="B2204" s="15">
        <v>527.3690185546875</v>
      </c>
      <c r="C2204" s="15">
        <v>68.298492431640625</v>
      </c>
      <c r="D2204" s="15">
        <v>213.53999328613281</v>
      </c>
      <c r="E2204" s="15">
        <v>461.48773193359381</v>
      </c>
      <c r="F2204" s="15">
        <v>259.54928588867188</v>
      </c>
      <c r="H2204" s="16">
        <f t="shared" si="82"/>
        <v>2.4052073726843377E-3</v>
      </c>
      <c r="I2204" s="16">
        <f t="shared" si="82"/>
        <v>4.0416338049032198E-3</v>
      </c>
      <c r="J2204" s="16">
        <f t="shared" si="82"/>
        <v>2.8525382508944458E-3</v>
      </c>
      <c r="K2204" s="16">
        <f t="shared" si="82"/>
        <v>6.8392617966405505E-3</v>
      </c>
      <c r="L2204" s="16">
        <f t="shared" si="83"/>
        <v>1.7042672884585871E-3</v>
      </c>
    </row>
    <row r="2205" spans="1:12" x14ac:dyDescent="0.35">
      <c r="A2205" s="18">
        <v>45454</v>
      </c>
      <c r="B2205" s="15">
        <v>528.63897705078125</v>
      </c>
      <c r="C2205" s="15">
        <v>68.575088500976563</v>
      </c>
      <c r="D2205" s="15">
        <v>214.1499938964844</v>
      </c>
      <c r="E2205" s="15">
        <v>464.65478515625</v>
      </c>
      <c r="F2205" s="15">
        <v>259.99200439453119</v>
      </c>
      <c r="H2205" s="16">
        <f t="shared" si="82"/>
        <v>8.1796162490601881E-3</v>
      </c>
      <c r="I2205" s="16">
        <f t="shared" si="82"/>
        <v>4.5790354071501794E-3</v>
      </c>
      <c r="J2205" s="16">
        <f t="shared" si="82"/>
        <v>2.658183908153487E-3</v>
      </c>
      <c r="K2205" s="16">
        <f t="shared" si="82"/>
        <v>1.3012792230507985E-2</v>
      </c>
      <c r="L2205" s="16">
        <f t="shared" si="83"/>
        <v>9.3776623161449836E-3</v>
      </c>
    </row>
    <row r="2206" spans="1:12" x14ac:dyDescent="0.35">
      <c r="A2206" s="18">
        <v>45455</v>
      </c>
      <c r="B2206" s="15">
        <v>532.98077392578125</v>
      </c>
      <c r="C2206" s="15">
        <v>68.889816284179688</v>
      </c>
      <c r="D2206" s="15">
        <v>214.7200012207031</v>
      </c>
      <c r="E2206" s="15">
        <v>470.74075317382813</v>
      </c>
      <c r="F2206" s="15">
        <v>262.44158935546881</v>
      </c>
      <c r="H2206" s="16">
        <f t="shared" si="82"/>
        <v>2.0115212467468986E-3</v>
      </c>
      <c r="I2206" s="16">
        <f t="shared" si="82"/>
        <v>4.4204589841539974E-3</v>
      </c>
      <c r="J2206" s="16">
        <f t="shared" si="82"/>
        <v>-8.1835430171976944E-3</v>
      </c>
      <c r="K2206" s="16">
        <f t="shared" si="82"/>
        <v>5.4055089079053298E-3</v>
      </c>
      <c r="L2206" s="16">
        <f t="shared" si="83"/>
        <v>4.4968274175980296E-4</v>
      </c>
    </row>
    <row r="2207" spans="1:12" x14ac:dyDescent="0.35">
      <c r="A2207" s="18">
        <v>45456</v>
      </c>
      <c r="B2207" s="15">
        <v>534.053955078125</v>
      </c>
      <c r="C2207" s="15">
        <v>69.195014953613281</v>
      </c>
      <c r="D2207" s="15">
        <v>212.9700012207031</v>
      </c>
      <c r="E2207" s="15">
        <v>473.292236328125</v>
      </c>
      <c r="F2207" s="15">
        <v>262.55963134765619</v>
      </c>
      <c r="H2207" s="16">
        <f t="shared" si="82"/>
        <v>6.0804784360359964E-4</v>
      </c>
      <c r="I2207" s="16">
        <f t="shared" si="82"/>
        <v>1.5152477080689537E-3</v>
      </c>
      <c r="J2207" s="16">
        <f t="shared" si="82"/>
        <v>1.2876289526632674E-2</v>
      </c>
      <c r="K2207" s="16">
        <f t="shared" si="82"/>
        <v>5.1678621388987671E-3</v>
      </c>
      <c r="L2207" s="16">
        <f t="shared" si="83"/>
        <v>-7.4950607154036558E-4</v>
      </c>
    </row>
    <row r="2208" spans="1:12" x14ac:dyDescent="0.35">
      <c r="A2208" s="18">
        <v>45457</v>
      </c>
      <c r="B2208" s="15">
        <v>534.3787841796875</v>
      </c>
      <c r="C2208" s="15">
        <v>69.299942016601563</v>
      </c>
      <c r="D2208" s="15">
        <v>215.72999572753909</v>
      </c>
      <c r="E2208" s="15">
        <v>475.74447631835938</v>
      </c>
      <c r="F2208" s="15">
        <v>262.3629150390625</v>
      </c>
      <c r="H2208" s="16">
        <f t="shared" si="82"/>
        <v>7.9274794585630481E-3</v>
      </c>
      <c r="I2208" s="16">
        <f t="shared" si="82"/>
        <v>-3.7230898964357106E-3</v>
      </c>
      <c r="J2208" s="16">
        <f t="shared" si="82"/>
        <v>-5.2051757004508746E-3</v>
      </c>
      <c r="K2208" s="16">
        <f t="shared" si="82"/>
        <v>1.2175408710676914E-2</v>
      </c>
      <c r="L2208" s="16">
        <f t="shared" si="83"/>
        <v>7.5829225515192909E-3</v>
      </c>
    </row>
    <row r="2209" spans="1:12" x14ac:dyDescent="0.35">
      <c r="A2209" s="18">
        <v>45460</v>
      </c>
      <c r="B2209" s="15">
        <v>538.63189697265625</v>
      </c>
      <c r="C2209" s="15">
        <v>69.042411804199219</v>
      </c>
      <c r="D2209" s="15">
        <v>214.61000061035159</v>
      </c>
      <c r="E2209" s="15">
        <v>481.572265625</v>
      </c>
      <c r="F2209" s="15">
        <v>264.35995483398438</v>
      </c>
      <c r="H2209" s="16">
        <f t="shared" si="82"/>
        <v>2.537417096131144E-3</v>
      </c>
      <c r="I2209" s="16">
        <f t="shared" si="82"/>
        <v>3.4478211002251986E-3</v>
      </c>
      <c r="J2209" s="16">
        <f t="shared" si="82"/>
        <v>3.9992641040521634E-3</v>
      </c>
      <c r="K2209" s="16">
        <f t="shared" si="82"/>
        <v>3.0913792362622099E-4</v>
      </c>
      <c r="L2209" s="16">
        <f t="shared" si="83"/>
        <v>2.5272374446449484E-3</v>
      </c>
    </row>
    <row r="2210" spans="1:12" x14ac:dyDescent="0.35">
      <c r="A2210" s="18">
        <v>45461</v>
      </c>
      <c r="B2210" s="15">
        <v>540.0003662109375</v>
      </c>
      <c r="C2210" s="15">
        <v>69.280868530273438</v>
      </c>
      <c r="D2210" s="15">
        <v>215.4700012207031</v>
      </c>
      <c r="E2210" s="15">
        <v>481.72116088867188</v>
      </c>
      <c r="F2210" s="15">
        <v>265.02890014648438</v>
      </c>
      <c r="H2210" s="16">
        <f t="shared" si="82"/>
        <v>-2.7200978091709745E-3</v>
      </c>
      <c r="I2210" s="16">
        <f t="shared" si="82"/>
        <v>-1.9293371455646059E-3</v>
      </c>
      <c r="J2210" s="16">
        <f t="shared" si="82"/>
        <v>1.2407060942233657E-2</v>
      </c>
      <c r="K2210" s="16">
        <f t="shared" si="82"/>
        <v>-7.7376634962395613E-3</v>
      </c>
      <c r="L2210" s="16">
        <f t="shared" si="83"/>
        <v>-2.5272374446448686E-3</v>
      </c>
    </row>
    <row r="2211" spans="1:12" x14ac:dyDescent="0.35">
      <c r="A2211" s="18">
        <v>45463</v>
      </c>
      <c r="B2211" s="15">
        <v>538.53350830078125</v>
      </c>
      <c r="C2211" s="15">
        <v>69.147331237792969</v>
      </c>
      <c r="D2211" s="15">
        <v>218.1600036621094</v>
      </c>
      <c r="E2211" s="15">
        <v>478.00814819335938</v>
      </c>
      <c r="F2211" s="15">
        <v>264.35995483398438</v>
      </c>
      <c r="H2211" s="16">
        <f t="shared" si="82"/>
        <v>-1.3416628058869403E-3</v>
      </c>
      <c r="I2211" s="16">
        <f t="shared" si="82"/>
        <v>2.7580032187508966E-4</v>
      </c>
      <c r="J2211" s="16">
        <f t="shared" si="82"/>
        <v>-1.5614512577113812E-2</v>
      </c>
      <c r="K2211" s="16">
        <f t="shared" si="82"/>
        <v>-2.6829680901587763E-3</v>
      </c>
      <c r="L2211" s="16">
        <f t="shared" si="83"/>
        <v>-1.5268132743752655E-3</v>
      </c>
    </row>
    <row r="2212" spans="1:12" x14ac:dyDescent="0.35">
      <c r="A2212" s="18">
        <v>45464</v>
      </c>
      <c r="B2212" s="15">
        <v>537.81146240234375</v>
      </c>
      <c r="C2212" s="15">
        <v>69.166404724121094</v>
      </c>
      <c r="D2212" s="15">
        <v>214.7799987792969</v>
      </c>
      <c r="E2212" s="15">
        <v>476.72738647460938</v>
      </c>
      <c r="F2212" s="15">
        <v>263.95663452148438</v>
      </c>
      <c r="H2212" s="16">
        <f t="shared" si="82"/>
        <v>-3.2560459204574324E-3</v>
      </c>
      <c r="I2212" s="16">
        <f t="shared" si="82"/>
        <v>5.5137255113903508E-4</v>
      </c>
      <c r="J2212" s="16">
        <f t="shared" si="82"/>
        <v>3.9497558204106614E-3</v>
      </c>
      <c r="K2212" s="16">
        <f t="shared" si="82"/>
        <v>-1.1450002656712163E-2</v>
      </c>
      <c r="L2212" s="16">
        <f t="shared" si="83"/>
        <v>-1.67887930730119E-3</v>
      </c>
    </row>
    <row r="2213" spans="1:12" x14ac:dyDescent="0.35">
      <c r="A2213" s="18">
        <v>45467</v>
      </c>
      <c r="B2213" s="15">
        <v>536.06317138671875</v>
      </c>
      <c r="C2213" s="15">
        <v>69.204551696777344</v>
      </c>
      <c r="D2213" s="15">
        <v>215.6300048828125</v>
      </c>
      <c r="E2213" s="15">
        <v>471.29998779296881</v>
      </c>
      <c r="F2213" s="15">
        <v>263.51385498046881</v>
      </c>
      <c r="H2213" s="16">
        <f t="shared" si="82"/>
        <v>3.8437411205297502E-3</v>
      </c>
      <c r="I2213" s="16">
        <f t="shared" si="82"/>
        <v>5.5117889034587118E-4</v>
      </c>
      <c r="J2213" s="16">
        <f t="shared" si="82"/>
        <v>-4.9745904122724558E-3</v>
      </c>
      <c r="K2213" s="16">
        <f t="shared" si="82"/>
        <v>1.1370685252393169E-2</v>
      </c>
      <c r="L2213" s="16">
        <f t="shared" si="83"/>
        <v>3.2801482802528258E-3</v>
      </c>
    </row>
    <row r="2214" spans="1:12" x14ac:dyDescent="0.35">
      <c r="A2214" s="18">
        <v>45468</v>
      </c>
      <c r="B2214" s="15">
        <v>538.12762451171875</v>
      </c>
      <c r="C2214" s="15">
        <v>69.242706298828125</v>
      </c>
      <c r="D2214" s="15">
        <v>214.55999755859381</v>
      </c>
      <c r="E2214" s="15">
        <v>476.6895751953125</v>
      </c>
      <c r="F2214" s="15">
        <v>264.379638671875</v>
      </c>
      <c r="H2214" s="16">
        <f t="shared" si="82"/>
        <v>1.2471969302234487E-3</v>
      </c>
      <c r="I2214" s="16">
        <f t="shared" si="82"/>
        <v>-4.6941238348735129E-3</v>
      </c>
      <c r="J2214" s="16">
        <f t="shared" si="82"/>
        <v>-9.2710114357832749E-3</v>
      </c>
      <c r="K2214" s="16">
        <f t="shared" si="82"/>
        <v>2.0630216791790992E-3</v>
      </c>
      <c r="L2214" s="16">
        <f t="shared" si="83"/>
        <v>-3.7169438737475498E-5</v>
      </c>
    </row>
    <row r="2215" spans="1:12" x14ac:dyDescent="0.35">
      <c r="A2215" s="18">
        <v>45469</v>
      </c>
      <c r="B2215" s="15">
        <v>538.7991943359375</v>
      </c>
      <c r="C2215" s="15">
        <v>68.918434143066406</v>
      </c>
      <c r="D2215" s="15">
        <v>212.58000183105469</v>
      </c>
      <c r="E2215" s="15">
        <v>477.67401123046881</v>
      </c>
      <c r="F2215" s="15">
        <v>264.36981201171881</v>
      </c>
      <c r="H2215" s="16">
        <f t="shared" si="82"/>
        <v>1.5752759353149398E-3</v>
      </c>
      <c r="I2215" s="16">
        <f t="shared" si="82"/>
        <v>1.7972881168528637E-3</v>
      </c>
      <c r="J2215" s="16">
        <f t="shared" si="82"/>
        <v>1.1273144249924162E-2</v>
      </c>
      <c r="K2215" s="16">
        <f t="shared" si="82"/>
        <v>2.5779998535890324E-3</v>
      </c>
      <c r="L2215" s="16">
        <f t="shared" si="83"/>
        <v>2.4156778927972664E-3</v>
      </c>
    </row>
    <row r="2216" spans="1:12" x14ac:dyDescent="0.35">
      <c r="A2216" s="18">
        <v>45470</v>
      </c>
      <c r="B2216" s="15">
        <v>539.64862060546875</v>
      </c>
      <c r="C2216" s="15">
        <v>69.042411804199219</v>
      </c>
      <c r="D2216" s="15">
        <v>214.99000549316409</v>
      </c>
      <c r="E2216" s="15">
        <v>478.90704345703119</v>
      </c>
      <c r="F2216" s="15">
        <v>265.00921630859381</v>
      </c>
      <c r="H2216" s="16">
        <f t="shared" si="82"/>
        <v>-3.9430227580540232E-3</v>
      </c>
      <c r="I2216" s="16">
        <f t="shared" si="82"/>
        <v>-4.7076627358749604E-3</v>
      </c>
      <c r="J2216" s="16">
        <f t="shared" si="82"/>
        <v>9.2972156680069828E-5</v>
      </c>
      <c r="K2216" s="16">
        <f t="shared" si="82"/>
        <v>-5.2044265425593376E-3</v>
      </c>
      <c r="L2216" s="16">
        <f t="shared" si="83"/>
        <v>-3.4256684533287346E-3</v>
      </c>
    </row>
    <row r="2217" spans="1:12" x14ac:dyDescent="0.35">
      <c r="A2217" s="18">
        <v>45471</v>
      </c>
      <c r="B2217" s="15">
        <v>537.52496337890625</v>
      </c>
      <c r="C2217" s="15">
        <v>68.718147277832031</v>
      </c>
      <c r="D2217" s="15">
        <v>215.00999450683591</v>
      </c>
      <c r="E2217" s="15">
        <v>476.42108154296881</v>
      </c>
      <c r="F2217" s="15">
        <v>264.10293579101563</v>
      </c>
      <c r="H2217" s="16">
        <f t="shared" si="82"/>
        <v>2.0561783744659336E-3</v>
      </c>
      <c r="I2217" s="16">
        <f t="shared" si="82"/>
        <v>-5.2904065583834264E-3</v>
      </c>
      <c r="J2217" s="16">
        <f t="shared" si="82"/>
        <v>2.6012036358744974E-3</v>
      </c>
      <c r="K2217" s="16">
        <f t="shared" si="82"/>
        <v>5.848016757142937E-3</v>
      </c>
      <c r="L2217" s="16">
        <f t="shared" si="83"/>
        <v>2.0165403721150769E-3</v>
      </c>
    </row>
    <row r="2218" spans="1:12" x14ac:dyDescent="0.35">
      <c r="A2218" s="18">
        <v>45474</v>
      </c>
      <c r="B2218" s="15">
        <v>538.63134765625</v>
      </c>
      <c r="C2218" s="15">
        <v>68.355560302734375</v>
      </c>
      <c r="D2218" s="15">
        <v>215.57000732421881</v>
      </c>
      <c r="E2218" s="15">
        <v>479.21536254882813</v>
      </c>
      <c r="F2218" s="15">
        <v>264.63604736328119</v>
      </c>
      <c r="H2218" s="16">
        <f t="shared" si="82"/>
        <v>6.7070247572790275E-3</v>
      </c>
      <c r="I2218" s="16">
        <f t="shared" si="82"/>
        <v>2.9348041522186097E-3</v>
      </c>
      <c r="J2218" s="16">
        <f t="shared" si="82"/>
        <v>-4.6435021981422682E-5</v>
      </c>
      <c r="K2218" s="16">
        <f t="shared" si="82"/>
        <v>1.0444895209028072E-2</v>
      </c>
      <c r="L2218" s="16">
        <f t="shared" si="83"/>
        <v>5.7657890733065808E-3</v>
      </c>
    </row>
    <row r="2219" spans="1:12" x14ac:dyDescent="0.35">
      <c r="A2219" s="18">
        <v>45475</v>
      </c>
      <c r="B2219" s="15">
        <v>542.256103515625</v>
      </c>
      <c r="C2219" s="15">
        <v>68.556465148925781</v>
      </c>
      <c r="D2219" s="15">
        <v>215.55999755859381</v>
      </c>
      <c r="E2219" s="15">
        <v>484.2469482421875</v>
      </c>
      <c r="F2219" s="15">
        <v>266.16629028320313</v>
      </c>
      <c r="H2219" s="16">
        <f t="shared" si="82"/>
        <v>4.4528755909311341E-3</v>
      </c>
      <c r="I2219" s="16">
        <f t="shared" si="82"/>
        <v>5.7052559618091967E-3</v>
      </c>
      <c r="J2219" s="16">
        <f t="shared" si="82"/>
        <v>1.120993363706169E-2</v>
      </c>
      <c r="K2219" s="16">
        <f t="shared" si="82"/>
        <v>8.3025715491843559E-3</v>
      </c>
      <c r="L2219" s="16">
        <f t="shared" si="83"/>
        <v>4.1087320435745584E-3</v>
      </c>
    </row>
    <row r="2220" spans="1:12" x14ac:dyDescent="0.35">
      <c r="A2220" s="18">
        <v>45476</v>
      </c>
      <c r="B2220" s="15">
        <v>544.67608642578125</v>
      </c>
      <c r="C2220" s="15">
        <v>68.948715209960938</v>
      </c>
      <c r="D2220" s="15">
        <v>217.99000549316409</v>
      </c>
      <c r="E2220" s="15">
        <v>488.2841796875</v>
      </c>
      <c r="F2220" s="15">
        <v>267.26214599609381</v>
      </c>
      <c r="H2220" s="16">
        <f t="shared" si="82"/>
        <v>5.7497044888042215E-3</v>
      </c>
      <c r="I2220" s="16">
        <f t="shared" si="82"/>
        <v>4.5682674558389005E-3</v>
      </c>
      <c r="J2220" s="16">
        <f t="shared" si="82"/>
        <v>1.3396660734694315E-2</v>
      </c>
      <c r="K2220" s="16">
        <f t="shared" si="82"/>
        <v>1.0372828162000854E-2</v>
      </c>
      <c r="L2220" s="16">
        <f t="shared" si="83"/>
        <v>5.194960053240571E-3</v>
      </c>
    </row>
    <row r="2221" spans="1:12" x14ac:dyDescent="0.35">
      <c r="A2221" s="18">
        <v>45478</v>
      </c>
      <c r="B2221" s="15">
        <v>547.81683349609375</v>
      </c>
      <c r="C2221" s="15">
        <v>69.264411926269531</v>
      </c>
      <c r="D2221" s="15">
        <v>220.92999267578119</v>
      </c>
      <c r="E2221" s="15">
        <v>493.37542724609381</v>
      </c>
      <c r="F2221" s="15">
        <v>268.6541748046875</v>
      </c>
      <c r="H2221" s="16">
        <f t="shared" si="82"/>
        <v>1.1533738964553805E-3</v>
      </c>
      <c r="I2221" s="16">
        <f t="shared" si="82"/>
        <v>0</v>
      </c>
      <c r="J2221" s="16">
        <f t="shared" si="82"/>
        <v>-1.2479622087256387E-2</v>
      </c>
      <c r="K2221" s="16">
        <f t="shared" si="82"/>
        <v>2.375426947842125E-3</v>
      </c>
      <c r="L2221" s="16">
        <f t="shared" si="83"/>
        <v>1.3589134100284142E-3</v>
      </c>
    </row>
    <row r="2222" spans="1:12" x14ac:dyDescent="0.35">
      <c r="A2222" s="18">
        <v>45481</v>
      </c>
      <c r="B2222" s="15">
        <v>548.44903564453125</v>
      </c>
      <c r="C2222" s="15">
        <v>69.264411926269531</v>
      </c>
      <c r="D2222" s="15">
        <v>218.19000244140619</v>
      </c>
      <c r="E2222" s="15">
        <v>494.54879760742188</v>
      </c>
      <c r="F2222" s="15">
        <v>269.01950073242188</v>
      </c>
      <c r="H2222" s="16">
        <f t="shared" si="82"/>
        <v>9.7206302737916708E-4</v>
      </c>
      <c r="I2222" s="16">
        <f t="shared" si="82"/>
        <v>-4.1424542099261229E-4</v>
      </c>
      <c r="J2222" s="16">
        <f t="shared" si="82"/>
        <v>1.6943111880910132E-3</v>
      </c>
      <c r="K2222" s="16">
        <f t="shared" si="82"/>
        <v>8.6415448390961931E-4</v>
      </c>
      <c r="L2222" s="16">
        <f t="shared" si="83"/>
        <v>-2.5686119618663773E-4</v>
      </c>
    </row>
    <row r="2223" spans="1:12" x14ac:dyDescent="0.35">
      <c r="A2223" s="18">
        <v>45482</v>
      </c>
      <c r="B2223" s="15">
        <v>548.982421875</v>
      </c>
      <c r="C2223" s="15">
        <v>69.235725402832031</v>
      </c>
      <c r="D2223" s="15">
        <v>218.55999755859381</v>
      </c>
      <c r="E2223" s="15">
        <v>494.97634887695313</v>
      </c>
      <c r="F2223" s="15">
        <v>268.95040893554688</v>
      </c>
      <c r="H2223" s="16">
        <f t="shared" si="82"/>
        <v>9.8466012429893994E-3</v>
      </c>
      <c r="I2223" s="16">
        <f t="shared" si="82"/>
        <v>8.2864962342904839E-4</v>
      </c>
      <c r="J2223" s="16">
        <f t="shared" si="82"/>
        <v>3.6536533844150928E-3</v>
      </c>
      <c r="K2223" s="16">
        <f t="shared" si="82"/>
        <v>1.0372554477821511E-2</v>
      </c>
      <c r="L2223" s="16">
        <f t="shared" si="83"/>
        <v>9.6440666354016148E-3</v>
      </c>
    </row>
    <row r="2224" spans="1:12" x14ac:dyDescent="0.35">
      <c r="A2224" s="18">
        <v>45483</v>
      </c>
      <c r="B2224" s="15">
        <v>554.41473388671875</v>
      </c>
      <c r="C2224" s="15">
        <v>69.293121337890625</v>
      </c>
      <c r="D2224" s="15">
        <v>219.36000061035159</v>
      </c>
      <c r="E2224" s="15">
        <v>500.13723754882813</v>
      </c>
      <c r="F2224" s="15">
        <v>271.55673217773438</v>
      </c>
      <c r="H2224" s="16">
        <f t="shared" si="82"/>
        <v>-8.6601391260923404E-3</v>
      </c>
      <c r="I2224" s="16">
        <f t="shared" si="82"/>
        <v>4.9578581236938988E-3</v>
      </c>
      <c r="J2224" s="16">
        <f t="shared" si="82"/>
        <v>1.7578001160184497E-2</v>
      </c>
      <c r="K2224" s="16">
        <f t="shared" si="82"/>
        <v>-2.2174177909422794E-2</v>
      </c>
      <c r="L2224" s="16">
        <f t="shared" si="83"/>
        <v>-4.4817453856372067E-3</v>
      </c>
    </row>
    <row r="2225" spans="1:12" x14ac:dyDescent="0.35">
      <c r="A2225" s="18">
        <v>45484</v>
      </c>
      <c r="B2225" s="15">
        <v>549.6341552734375</v>
      </c>
      <c r="C2225" s="15">
        <v>69.637519836425781</v>
      </c>
      <c r="D2225" s="15">
        <v>223.25</v>
      </c>
      <c r="E2225" s="15">
        <v>489.16915893554688</v>
      </c>
      <c r="F2225" s="15">
        <v>270.3424072265625</v>
      </c>
      <c r="H2225" s="16">
        <f t="shared" si="82"/>
        <v>6.2878745057205069E-3</v>
      </c>
      <c r="I2225" s="16">
        <f t="shared" si="82"/>
        <v>2.6069440009322277E-3</v>
      </c>
      <c r="J2225" s="16">
        <f t="shared" si="82"/>
        <v>-6.2729363763672327E-4</v>
      </c>
      <c r="K2225" s="16">
        <f t="shared" si="82"/>
        <v>5.8576275653551618E-3</v>
      </c>
      <c r="L2225" s="16">
        <f t="shared" si="83"/>
        <v>6.5882257672097164E-3</v>
      </c>
    </row>
    <row r="2226" spans="1:12" x14ac:dyDescent="0.35">
      <c r="A2226" s="18">
        <v>45485</v>
      </c>
      <c r="B2226" s="15">
        <v>553.10107421875</v>
      </c>
      <c r="C2226" s="15">
        <v>69.819297790527344</v>
      </c>
      <c r="D2226" s="15">
        <v>223.11000061035159</v>
      </c>
      <c r="E2226" s="15">
        <v>492.04293823242188</v>
      </c>
      <c r="F2226" s="15">
        <v>272.12936401367188</v>
      </c>
      <c r="H2226" s="16">
        <f t="shared" si="82"/>
        <v>2.7463883192309574E-3</v>
      </c>
      <c r="I2226" s="16">
        <f t="shared" si="82"/>
        <v>-3.1566413798539928E-3</v>
      </c>
      <c r="J2226" s="16">
        <f t="shared" si="82"/>
        <v>3.2219172131206842E-3</v>
      </c>
      <c r="K2226" s="16">
        <f t="shared" si="82"/>
        <v>2.6841877502704193E-3</v>
      </c>
      <c r="L2226" s="16">
        <f t="shared" si="83"/>
        <v>4.2719457865190973E-3</v>
      </c>
    </row>
    <row r="2227" spans="1:12" x14ac:dyDescent="0.35">
      <c r="A2227" s="18">
        <v>45488</v>
      </c>
      <c r="B2227" s="15">
        <v>554.6221923828125</v>
      </c>
      <c r="C2227" s="15">
        <v>69.599250793457031</v>
      </c>
      <c r="D2227" s="15">
        <v>223.83000183105469</v>
      </c>
      <c r="E2227" s="15">
        <v>493.36544799804688</v>
      </c>
      <c r="F2227" s="15">
        <v>273.29437255859381</v>
      </c>
      <c r="H2227" s="16">
        <f t="shared" si="82"/>
        <v>5.9125420092527416E-3</v>
      </c>
      <c r="I2227" s="16">
        <f t="shared" si="82"/>
        <v>3.8414420172886462E-3</v>
      </c>
      <c r="J2227" s="16">
        <f t="shared" si="82"/>
        <v>1.9729877820048869E-2</v>
      </c>
      <c r="K2227" s="16">
        <f t="shared" si="82"/>
        <v>3.8293858206156603E-4</v>
      </c>
      <c r="L2227" s="16">
        <f t="shared" si="83"/>
        <v>8.2024981394464378E-3</v>
      </c>
    </row>
    <row r="2228" spans="1:12" x14ac:dyDescent="0.35">
      <c r="A2228" s="18">
        <v>45489</v>
      </c>
      <c r="B2228" s="15">
        <v>557.9111328125</v>
      </c>
      <c r="C2228" s="15">
        <v>69.86712646484375</v>
      </c>
      <c r="D2228" s="15">
        <v>228.28999328613281</v>
      </c>
      <c r="E2228" s="15">
        <v>493.55441284179688</v>
      </c>
      <c r="F2228" s="15">
        <v>275.5452880859375</v>
      </c>
      <c r="H2228" s="16">
        <f t="shared" si="82"/>
        <v>-1.4120402402027114E-2</v>
      </c>
      <c r="I2228" s="16">
        <f t="shared" si="82"/>
        <v>9.5797737355597244E-4</v>
      </c>
      <c r="J2228" s="16">
        <f t="shared" si="82"/>
        <v>-4.6540195707979156E-3</v>
      </c>
      <c r="K2228" s="16">
        <f t="shared" si="82"/>
        <v>-2.9794334782727125E-2</v>
      </c>
      <c r="L2228" s="16">
        <f t="shared" si="83"/>
        <v>-1.4217328348526305E-2</v>
      </c>
    </row>
    <row r="2229" spans="1:12" x14ac:dyDescent="0.35">
      <c r="A2229" s="18">
        <v>45490</v>
      </c>
      <c r="B2229" s="15">
        <v>550.08856201171875</v>
      </c>
      <c r="C2229" s="15">
        <v>69.934089660644531</v>
      </c>
      <c r="D2229" s="15">
        <v>227.22999572753909</v>
      </c>
      <c r="E2229" s="15">
        <v>479.06619262695313</v>
      </c>
      <c r="F2229" s="15">
        <v>271.65548706054688</v>
      </c>
      <c r="H2229" s="16">
        <f t="shared" si="82"/>
        <v>-7.7146568525900154E-3</v>
      </c>
      <c r="I2229" s="16">
        <f t="shared" si="82"/>
        <v>-2.6024405563281217E-3</v>
      </c>
      <c r="J2229" s="16">
        <f t="shared" si="82"/>
        <v>-6.4016331545466319E-3</v>
      </c>
      <c r="K2229" s="16">
        <f t="shared" si="82"/>
        <v>-4.7439270919775386E-3</v>
      </c>
      <c r="L2229" s="16">
        <f t="shared" si="83"/>
        <v>-8.760393420582463E-3</v>
      </c>
    </row>
    <row r="2230" spans="1:12" x14ac:dyDescent="0.35">
      <c r="A2230" s="18">
        <v>45491</v>
      </c>
      <c r="B2230" s="15">
        <v>545.86114501953125</v>
      </c>
      <c r="C2230" s="15">
        <v>69.752326965332031</v>
      </c>
      <c r="D2230" s="15">
        <v>225.7799987792969</v>
      </c>
      <c r="E2230" s="15">
        <v>476.79891967773438</v>
      </c>
      <c r="F2230" s="15">
        <v>269.28607177734381</v>
      </c>
      <c r="H2230" s="16">
        <f t="shared" si="82"/>
        <v>-6.6626940935695204E-3</v>
      </c>
      <c r="I2230" s="16">
        <f t="shared" si="82"/>
        <v>-2.6091212644484105E-3</v>
      </c>
      <c r="J2230" s="16">
        <f t="shared" si="82"/>
        <v>-1.8100662230646155E-2</v>
      </c>
      <c r="K2230" s="16">
        <f t="shared" si="82"/>
        <v>-8.9030092151770827E-3</v>
      </c>
      <c r="L2230" s="16">
        <f t="shared" si="83"/>
        <v>-6.2523032442239404E-3</v>
      </c>
    </row>
    <row r="2231" spans="1:12" x14ac:dyDescent="0.35">
      <c r="A2231" s="18">
        <v>45492</v>
      </c>
      <c r="B2231" s="15">
        <v>542.236328125</v>
      </c>
      <c r="C2231" s="15">
        <v>69.570571899414063</v>
      </c>
      <c r="D2231" s="15">
        <v>221.72999572753909</v>
      </c>
      <c r="E2231" s="15">
        <v>472.57281494140619</v>
      </c>
      <c r="F2231" s="15">
        <v>267.607666015625</v>
      </c>
      <c r="H2231" s="16">
        <f t="shared" si="82"/>
        <v>1.0257321409351667E-2</v>
      </c>
      <c r="I2231" s="16">
        <f t="shared" si="82"/>
        <v>-4.1253178003814193E-4</v>
      </c>
      <c r="J2231" s="16">
        <f t="shared" si="82"/>
        <v>3.156824791684075E-4</v>
      </c>
      <c r="K2231" s="16">
        <f t="shared" si="82"/>
        <v>1.4787892583507007E-2</v>
      </c>
      <c r="L2231" s="16">
        <f t="shared" si="83"/>
        <v>1.0386553788316032E-2</v>
      </c>
    </row>
    <row r="2232" spans="1:12" x14ac:dyDescent="0.35">
      <c r="A2232" s="18">
        <v>45495</v>
      </c>
      <c r="B2232" s="15">
        <v>547.82684326171875</v>
      </c>
      <c r="C2232" s="15">
        <v>69.541877746582031</v>
      </c>
      <c r="D2232" s="15">
        <v>221.80000305175781</v>
      </c>
      <c r="E2232" s="15">
        <v>479.61309814453119</v>
      </c>
      <c r="F2232" s="15">
        <v>270.40167236328119</v>
      </c>
      <c r="H2232" s="16">
        <f t="shared" si="82"/>
        <v>-1.5699299264921838E-3</v>
      </c>
      <c r="I2232" s="16">
        <f t="shared" si="82"/>
        <v>1.3723698528664302E-4</v>
      </c>
      <c r="J2232" s="16">
        <f t="shared" si="82"/>
        <v>3.5105070964616221E-3</v>
      </c>
      <c r="K2232" s="16">
        <f t="shared" si="82"/>
        <v>-3.5308592622011648E-3</v>
      </c>
      <c r="L2232" s="16">
        <f t="shared" si="83"/>
        <v>-7.3047201560605651E-4</v>
      </c>
    </row>
    <row r="2233" spans="1:12" x14ac:dyDescent="0.35">
      <c r="A2233" s="18">
        <v>45496</v>
      </c>
      <c r="B2233" s="15">
        <v>546.96746826171875</v>
      </c>
      <c r="C2233" s="15">
        <v>69.551422119140625</v>
      </c>
      <c r="D2233" s="15">
        <v>222.58000183105469</v>
      </c>
      <c r="E2233" s="15">
        <v>477.92263793945313</v>
      </c>
      <c r="F2233" s="15">
        <v>270.2042236328125</v>
      </c>
      <c r="H2233" s="16">
        <f t="shared" si="82"/>
        <v>-2.2923203252260761E-2</v>
      </c>
      <c r="I2233" s="16">
        <f t="shared" si="82"/>
        <v>-2.8927599883674673E-3</v>
      </c>
      <c r="J2233" s="16">
        <f t="shared" si="82"/>
        <v>-3.5105070964615765E-3</v>
      </c>
      <c r="K2233" s="16">
        <f t="shared" si="82"/>
        <v>-3.6529495671406516E-2</v>
      </c>
      <c r="L2233" s="16">
        <f t="shared" si="83"/>
        <v>-2.2764477760692139E-2</v>
      </c>
    </row>
    <row r="2234" spans="1:12" x14ac:dyDescent="0.35">
      <c r="A2234" s="18">
        <v>45497</v>
      </c>
      <c r="B2234" s="15">
        <v>534.57183837890625</v>
      </c>
      <c r="C2234" s="15">
        <v>69.350517272949219</v>
      </c>
      <c r="D2234" s="15">
        <v>221.80000305175781</v>
      </c>
      <c r="E2234" s="15">
        <v>460.77938842773438</v>
      </c>
      <c r="F2234" s="15">
        <v>264.12265014648438</v>
      </c>
      <c r="H2234" s="16">
        <f t="shared" si="82"/>
        <v>-5.2240332207619793E-3</v>
      </c>
      <c r="I2234" s="16">
        <f t="shared" si="82"/>
        <v>2.2047400988504167E-3</v>
      </c>
      <c r="J2234" s="16">
        <f t="shared" si="82"/>
        <v>-1.5768400613655725E-2</v>
      </c>
      <c r="K2234" s="16">
        <f t="shared" si="82"/>
        <v>-1.1088939347125553E-2</v>
      </c>
      <c r="L2234" s="16">
        <f t="shared" si="83"/>
        <v>-3.8573296075947818E-3</v>
      </c>
    </row>
    <row r="2235" spans="1:12" x14ac:dyDescent="0.35">
      <c r="A2235" s="18">
        <v>45498</v>
      </c>
      <c r="B2235" s="15">
        <v>531.7864990234375</v>
      </c>
      <c r="C2235" s="15">
        <v>69.503585815429688</v>
      </c>
      <c r="D2235" s="15">
        <v>218.33000183105469</v>
      </c>
      <c r="E2235" s="15">
        <v>455.69805908203119</v>
      </c>
      <c r="F2235" s="15">
        <v>263.10580444335938</v>
      </c>
      <c r="H2235" s="16">
        <f t="shared" si="82"/>
        <v>1.1137489256647592E-2</v>
      </c>
      <c r="I2235" s="16">
        <f t="shared" si="82"/>
        <v>3.9840513382270043E-3</v>
      </c>
      <c r="J2235" s="16">
        <f t="shared" si="82"/>
        <v>1.0479424389843233E-2</v>
      </c>
      <c r="K2235" s="16">
        <f t="shared" si="82"/>
        <v>1.020371023066678E-2</v>
      </c>
      <c r="L2235" s="16">
        <f t="shared" si="83"/>
        <v>1.1898723458970573E-2</v>
      </c>
    </row>
    <row r="2236" spans="1:12" x14ac:dyDescent="0.35">
      <c r="A2236" s="18">
        <v>45499</v>
      </c>
      <c r="B2236" s="15">
        <v>537.74237060546875</v>
      </c>
      <c r="C2236" s="15">
        <v>69.781044006347656</v>
      </c>
      <c r="D2236" s="15">
        <v>220.6300048828125</v>
      </c>
      <c r="E2236" s="15">
        <v>460.37167358398438</v>
      </c>
      <c r="F2236" s="15">
        <v>266.255126953125</v>
      </c>
      <c r="H2236" s="16">
        <f t="shared" si="82"/>
        <v>5.8754381603418244E-4</v>
      </c>
      <c r="I2236" s="16">
        <f t="shared" si="82"/>
        <v>1.2328477932621736E-3</v>
      </c>
      <c r="J2236" s="16">
        <f t="shared" si="82"/>
        <v>-1.4060442276129473E-3</v>
      </c>
      <c r="K2236" s="16">
        <f t="shared" si="82"/>
        <v>2.0068068881588896E-3</v>
      </c>
      <c r="L2236" s="16">
        <f t="shared" si="83"/>
        <v>7.4154970053086925E-5</v>
      </c>
    </row>
    <row r="2237" spans="1:12" x14ac:dyDescent="0.35">
      <c r="A2237" s="18">
        <v>45502</v>
      </c>
      <c r="B2237" s="15">
        <v>538.05841064453125</v>
      </c>
      <c r="C2237" s="15">
        <v>69.86712646484375</v>
      </c>
      <c r="D2237" s="15">
        <v>220.32000732421881</v>
      </c>
      <c r="E2237" s="15">
        <v>461.29647827148438</v>
      </c>
      <c r="F2237" s="15">
        <v>266.27487182617188</v>
      </c>
      <c r="H2237" s="16">
        <f t="shared" si="82"/>
        <v>-5.0793806212173359E-3</v>
      </c>
      <c r="I2237" s="16">
        <f t="shared" si="82"/>
        <v>1.2319841362124627E-3</v>
      </c>
      <c r="J2237" s="16">
        <f t="shared" si="82"/>
        <v>9.9359361835443354E-3</v>
      </c>
      <c r="K2237" s="16">
        <f t="shared" si="82"/>
        <v>-1.3826575316188278E-2</v>
      </c>
      <c r="L2237" s="16">
        <f t="shared" si="83"/>
        <v>-4.1611700277157998E-3</v>
      </c>
    </row>
    <row r="2238" spans="1:12" x14ac:dyDescent="0.35">
      <c r="A2238" s="18">
        <v>45503</v>
      </c>
      <c r="B2238" s="15">
        <v>535.33233642578125</v>
      </c>
      <c r="C2238" s="15">
        <v>69.953254699707031</v>
      </c>
      <c r="D2238" s="15">
        <v>222.52000427246091</v>
      </c>
      <c r="E2238" s="15">
        <v>454.96221923828119</v>
      </c>
      <c r="F2238" s="15">
        <v>265.16915893554688</v>
      </c>
      <c r="H2238" s="16">
        <f t="shared" si="82"/>
        <v>1.6123882811765407E-2</v>
      </c>
      <c r="I2238" s="16">
        <f t="shared" si="82"/>
        <v>5.455098860661485E-3</v>
      </c>
      <c r="J2238" s="16">
        <f t="shared" si="82"/>
        <v>1.7948680176280075E-2</v>
      </c>
      <c r="K2238" s="16">
        <f t="shared" si="82"/>
        <v>2.9164267681911597E-2</v>
      </c>
      <c r="L2238" s="16">
        <f t="shared" si="83"/>
        <v>1.4709452151212058E-2</v>
      </c>
    </row>
    <row r="2239" spans="1:12" x14ac:dyDescent="0.35">
      <c r="A2239" s="18">
        <v>45504</v>
      </c>
      <c r="B2239" s="15">
        <v>544.033935546875</v>
      </c>
      <c r="C2239" s="15">
        <v>70.335899353027344</v>
      </c>
      <c r="D2239" s="15">
        <v>226.55000305175781</v>
      </c>
      <c r="E2239" s="15">
        <v>468.42623901367188</v>
      </c>
      <c r="F2239" s="15">
        <v>269.09848022460938</v>
      </c>
      <c r="H2239" s="16">
        <f t="shared" si="82"/>
        <v>-1.4262065102805416E-2</v>
      </c>
      <c r="I2239" s="16">
        <f t="shared" si="82"/>
        <v>3.7314770910852973E-3</v>
      </c>
      <c r="J2239" s="16">
        <f t="shared" si="82"/>
        <v>-3.4488837098835684E-3</v>
      </c>
      <c r="K2239" s="16">
        <f t="shared" si="82"/>
        <v>-2.4519646745570917E-2</v>
      </c>
      <c r="L2239" s="16">
        <f t="shared" si="83"/>
        <v>-1.5789668472218649E-2</v>
      </c>
    </row>
    <row r="2240" spans="1:12" x14ac:dyDescent="0.35">
      <c r="A2240" s="18">
        <v>45505</v>
      </c>
      <c r="B2240" s="15">
        <v>536.3299560546875</v>
      </c>
      <c r="C2240" s="15">
        <v>70.598846435546875</v>
      </c>
      <c r="D2240" s="15">
        <v>225.77000427246091</v>
      </c>
      <c r="E2240" s="15">
        <v>457.08026123046881</v>
      </c>
      <c r="F2240" s="15">
        <v>264.88287353515619</v>
      </c>
      <c r="H2240" s="16">
        <f t="shared" si="82"/>
        <v>-1.8794117244161152E-2</v>
      </c>
      <c r="I2240" s="16">
        <f t="shared" si="82"/>
        <v>1.1353111262026117E-2</v>
      </c>
      <c r="J2240" s="16">
        <f t="shared" si="82"/>
        <v>-1.9064443892985788E-3</v>
      </c>
      <c r="K2240" s="16">
        <f t="shared" si="82"/>
        <v>-2.4021111921687061E-2</v>
      </c>
      <c r="L2240" s="16">
        <f t="shared" si="83"/>
        <v>-2.0332077144360108E-2</v>
      </c>
    </row>
    <row r="2241" spans="1:12" x14ac:dyDescent="0.35">
      <c r="A2241" s="18">
        <v>45506</v>
      </c>
      <c r="B2241" s="15">
        <v>526.34423828125</v>
      </c>
      <c r="C2241" s="15">
        <v>71.404930114746094</v>
      </c>
      <c r="D2241" s="15">
        <v>225.3399963378906</v>
      </c>
      <c r="E2241" s="15">
        <v>446.23150634765619</v>
      </c>
      <c r="F2241" s="15">
        <v>259.5516357421875</v>
      </c>
      <c r="H2241" s="16">
        <f t="shared" si="82"/>
        <v>-2.955599368147864E-2</v>
      </c>
      <c r="I2241" s="16">
        <f t="shared" si="82"/>
        <v>-9.4144355670891121E-4</v>
      </c>
      <c r="J2241" s="16">
        <f t="shared" si="82"/>
        <v>-1.2773165762624215E-2</v>
      </c>
      <c r="K2241" s="16">
        <f t="shared" si="82"/>
        <v>-3.0269679187130066E-2</v>
      </c>
      <c r="L2241" s="16">
        <f t="shared" si="83"/>
        <v>-2.9804604106108884E-2</v>
      </c>
    </row>
    <row r="2242" spans="1:12" x14ac:dyDescent="0.35">
      <c r="A2242" s="18">
        <v>45509</v>
      </c>
      <c r="B2242" s="15">
        <v>511.0152587890625</v>
      </c>
      <c r="C2242" s="15">
        <v>71.337738037109375</v>
      </c>
      <c r="D2242" s="15">
        <v>222.47999572753909</v>
      </c>
      <c r="E2242" s="15">
        <v>432.92660522460938</v>
      </c>
      <c r="F2242" s="15">
        <v>251.92994689941409</v>
      </c>
      <c r="H2242" s="16">
        <f t="shared" si="82"/>
        <v>9.1772569880890914E-3</v>
      </c>
      <c r="I2242" s="16">
        <f t="shared" si="82"/>
        <v>-6.2068858854269745E-3</v>
      </c>
      <c r="J2242" s="16">
        <f t="shared" si="82"/>
        <v>-8.0328912868503632E-3</v>
      </c>
      <c r="K2242" s="16">
        <f t="shared" si="82"/>
        <v>9.5096705558401998E-3</v>
      </c>
      <c r="L2242" s="16">
        <f t="shared" si="83"/>
        <v>1.0098631887050191E-2</v>
      </c>
    </row>
    <row r="2243" spans="1:12" x14ac:dyDescent="0.35">
      <c r="A2243" s="18">
        <v>45510</v>
      </c>
      <c r="B2243" s="15">
        <v>515.7265625</v>
      </c>
      <c r="C2243" s="15">
        <v>70.896324157714844</v>
      </c>
      <c r="D2243" s="15">
        <v>220.69999694824219</v>
      </c>
      <c r="E2243" s="15">
        <v>437.063232421875</v>
      </c>
      <c r="F2243" s="15">
        <v>254.48698425292969</v>
      </c>
      <c r="H2243" s="16">
        <f t="shared" si="82"/>
        <v>-6.7062527963388154E-3</v>
      </c>
      <c r="I2243" s="16">
        <f t="shared" si="82"/>
        <v>-2.4392322854352197E-3</v>
      </c>
      <c r="J2243" s="16">
        <f t="shared" si="82"/>
        <v>-6.7985904707874758E-4</v>
      </c>
      <c r="K2243" s="16">
        <f t="shared" si="82"/>
        <v>-1.0888867963475216E-2</v>
      </c>
      <c r="L2243" s="16">
        <f t="shared" si="83"/>
        <v>-7.6718495729445994E-3</v>
      </c>
    </row>
    <row r="2244" spans="1:12" x14ac:dyDescent="0.35">
      <c r="A2244" s="18">
        <v>45511</v>
      </c>
      <c r="B2244" s="15">
        <v>512.279541015625</v>
      </c>
      <c r="C2244" s="15">
        <v>70.723602294921875</v>
      </c>
      <c r="D2244" s="15">
        <v>220.55000305175781</v>
      </c>
      <c r="E2244" s="15">
        <v>432.32992553710938</v>
      </c>
      <c r="F2244" s="15">
        <v>252.54206848144531</v>
      </c>
      <c r="H2244" s="16">
        <f t="shared" si="82"/>
        <v>2.2854044756263035E-2</v>
      </c>
      <c r="I2244" s="16">
        <f t="shared" si="82"/>
        <v>-1.4939063867333349E-3</v>
      </c>
      <c r="J2244" s="16">
        <f t="shared" si="82"/>
        <v>1.5566228805777991E-2</v>
      </c>
      <c r="K2244" s="16">
        <f t="shared" si="82"/>
        <v>3.0132351294081875E-2</v>
      </c>
      <c r="L2244" s="16">
        <f t="shared" si="83"/>
        <v>2.3146772913787625E-2</v>
      </c>
    </row>
    <row r="2245" spans="1:12" x14ac:dyDescent="0.35">
      <c r="A2245" s="18">
        <v>45512</v>
      </c>
      <c r="B2245" s="15">
        <v>524.12200927734375</v>
      </c>
      <c r="C2245" s="15">
        <v>70.618026733398438</v>
      </c>
      <c r="D2245" s="15">
        <v>224.00999450683591</v>
      </c>
      <c r="E2245" s="15">
        <v>445.5552978515625</v>
      </c>
      <c r="F2245" s="15">
        <v>258.45578002929688</v>
      </c>
      <c r="H2245" s="16">
        <f t="shared" si="82"/>
        <v>4.4000008937909452E-3</v>
      </c>
      <c r="I2245" s="16">
        <f t="shared" si="82"/>
        <v>3.5270308611638997E-3</v>
      </c>
      <c r="J2245" s="16">
        <f t="shared" si="82"/>
        <v>2.4522519879116968E-3</v>
      </c>
      <c r="K2245" s="16">
        <f t="shared" si="82"/>
        <v>5.2088234930945092E-3</v>
      </c>
      <c r="L2245" s="16">
        <f t="shared" si="83"/>
        <v>4.3072365595508283E-3</v>
      </c>
    </row>
    <row r="2246" spans="1:12" x14ac:dyDescent="0.35">
      <c r="A2246" s="18">
        <v>45513</v>
      </c>
      <c r="B2246" s="15">
        <v>526.4332275390625</v>
      </c>
      <c r="C2246" s="15">
        <v>70.867538452148438</v>
      </c>
      <c r="D2246" s="15">
        <v>224.55999755859381</v>
      </c>
      <c r="E2246" s="15">
        <v>447.88217163085938</v>
      </c>
      <c r="F2246" s="15">
        <v>259.5714111328125</v>
      </c>
      <c r="H2246" s="16">
        <f t="shared" si="82"/>
        <v>5.2519040228135138E-4</v>
      </c>
      <c r="I2246" s="16">
        <f t="shared" si="82"/>
        <v>1.7587539251297383E-3</v>
      </c>
      <c r="J2246" s="16">
        <f t="shared" si="82"/>
        <v>1.699935451192235E-2</v>
      </c>
      <c r="K2246" s="16">
        <f t="shared" si="82"/>
        <v>2.1513067115837706E-3</v>
      </c>
      <c r="L2246" s="16">
        <f t="shared" si="83"/>
        <v>-6.4695687033210225E-4</v>
      </c>
    </row>
    <row r="2247" spans="1:12" x14ac:dyDescent="0.35">
      <c r="A2247" s="18">
        <v>45516</v>
      </c>
      <c r="B2247" s="15">
        <v>526.70977783203125</v>
      </c>
      <c r="C2247" s="15">
        <v>70.992286682128906</v>
      </c>
      <c r="D2247" s="15">
        <v>228.4100036621094</v>
      </c>
      <c r="E2247" s="15">
        <v>448.84674072265619</v>
      </c>
      <c r="F2247" s="15">
        <v>259.40353393554688</v>
      </c>
      <c r="H2247" s="16">
        <f t="shared" si="82"/>
        <v>1.6311817038320367E-2</v>
      </c>
      <c r="I2247" s="16">
        <f t="shared" si="82"/>
        <v>3.7777684811467014E-3</v>
      </c>
      <c r="J2247" s="16">
        <f t="shared" si="82"/>
        <v>-1.5335341694868174E-3</v>
      </c>
      <c r="K2247" s="16">
        <f t="shared" si="82"/>
        <v>2.4509898871553415E-2</v>
      </c>
      <c r="L2247" s="16">
        <f t="shared" si="83"/>
        <v>1.6494943179546081E-2</v>
      </c>
    </row>
    <row r="2248" spans="1:12" x14ac:dyDescent="0.35">
      <c r="A2248" s="18">
        <v>45517</v>
      </c>
      <c r="B2248" s="15">
        <v>535.371826171875</v>
      </c>
      <c r="C2248" s="15">
        <v>71.260986328125</v>
      </c>
      <c r="D2248" s="15">
        <v>228.05999755859381</v>
      </c>
      <c r="E2248" s="15">
        <v>459.98385620117188</v>
      </c>
      <c r="F2248" s="15">
        <v>263.71786499023438</v>
      </c>
      <c r="H2248" s="16">
        <f t="shared" si="82"/>
        <v>3.149898934875607E-3</v>
      </c>
      <c r="I2248" s="16">
        <f t="shared" si="82"/>
        <v>1.8834924281653594E-3</v>
      </c>
      <c r="J2248" s="16">
        <f t="shared" si="82"/>
        <v>-8.1891913335014419E-3</v>
      </c>
      <c r="K2248" s="16">
        <f t="shared" si="82"/>
        <v>3.2424124814474701E-4</v>
      </c>
      <c r="L2248" s="16">
        <f t="shared" si="83"/>
        <v>2.8412967367180317E-3</v>
      </c>
    </row>
    <row r="2249" spans="1:12" x14ac:dyDescent="0.35">
      <c r="A2249" s="18">
        <v>45518</v>
      </c>
      <c r="B2249" s="15">
        <v>537.06085205078125</v>
      </c>
      <c r="C2249" s="15">
        <v>71.395332336425781</v>
      </c>
      <c r="D2249" s="15">
        <v>226.19999694824219</v>
      </c>
      <c r="E2249" s="15">
        <v>460.13302612304688</v>
      </c>
      <c r="F2249" s="15">
        <v>264.46823120117188</v>
      </c>
      <c r="H2249" s="16">
        <f t="shared" si="82"/>
        <v>1.699494908486799E-2</v>
      </c>
      <c r="I2249" s="16">
        <f t="shared" si="82"/>
        <v>-4.1754389253318425E-3</v>
      </c>
      <c r="J2249" s="16">
        <f t="shared" si="82"/>
        <v>3.1339290416115854E-3</v>
      </c>
      <c r="K2249" s="16">
        <f t="shared" si="82"/>
        <v>2.4949333620025993E-2</v>
      </c>
      <c r="L2249" s="16">
        <f t="shared" si="83"/>
        <v>1.7172879394371839E-2</v>
      </c>
    </row>
    <row r="2250" spans="1:12" x14ac:dyDescent="0.35">
      <c r="A2250" s="18">
        <v>45519</v>
      </c>
      <c r="B2250" s="15">
        <v>546.26617431640625</v>
      </c>
      <c r="C2250" s="15">
        <v>71.097846984863281</v>
      </c>
      <c r="D2250" s="15">
        <v>226.9100036621094</v>
      </c>
      <c r="E2250" s="15">
        <v>471.7574462890625</v>
      </c>
      <c r="F2250" s="15">
        <v>269.04913330078119</v>
      </c>
      <c r="H2250" s="16">
        <f t="shared" si="82"/>
        <v>2.2394953678294923E-3</v>
      </c>
      <c r="I2250" s="16">
        <f t="shared" si="82"/>
        <v>2.1571454561785165E-3</v>
      </c>
      <c r="J2250" s="16">
        <f t="shared" si="82"/>
        <v>2.21408117352879E-2</v>
      </c>
      <c r="K2250" s="16">
        <f t="shared" si="82"/>
        <v>1.2849352376633854E-3</v>
      </c>
      <c r="L2250" s="16">
        <f t="shared" si="83"/>
        <v>2.3822009380286119E-3</v>
      </c>
    </row>
    <row r="2251" spans="1:12" x14ac:dyDescent="0.35">
      <c r="A2251" s="18">
        <v>45520</v>
      </c>
      <c r="B2251" s="15">
        <v>547.49090576171875</v>
      </c>
      <c r="C2251" s="15">
        <v>71.251380920410156</v>
      </c>
      <c r="D2251" s="15">
        <v>231.99000549316409</v>
      </c>
      <c r="E2251" s="15">
        <v>472.364013671875</v>
      </c>
      <c r="F2251" s="15">
        <v>269.69082641601563</v>
      </c>
      <c r="H2251" s="16">
        <f t="shared" si="82"/>
        <v>9.5160201790955128E-3</v>
      </c>
      <c r="I2251" s="16">
        <f t="shared" si="82"/>
        <v>1.2112723311432673E-3</v>
      </c>
      <c r="J2251" s="16">
        <f t="shared" si="82"/>
        <v>-1.6393656726291592E-3</v>
      </c>
      <c r="K2251" s="16">
        <f t="shared" si="82"/>
        <v>1.3050434107525405E-2</v>
      </c>
      <c r="L2251" s="16">
        <f t="shared" si="83"/>
        <v>9.400380284275367E-3</v>
      </c>
    </row>
    <row r="2252" spans="1:12" x14ac:dyDescent="0.35">
      <c r="A2252" s="18">
        <v>45523</v>
      </c>
      <c r="B2252" s="15">
        <v>552.7257080078125</v>
      </c>
      <c r="C2252" s="15">
        <v>71.337738037109375</v>
      </c>
      <c r="D2252" s="15">
        <v>231.61000061035159</v>
      </c>
      <c r="E2252" s="15">
        <v>478.5689697265625</v>
      </c>
      <c r="F2252" s="15">
        <v>272.23797607421881</v>
      </c>
      <c r="H2252" s="16">
        <f t="shared" si="82"/>
        <v>-1.627453322378899E-3</v>
      </c>
      <c r="I2252" s="16">
        <f t="shared" si="82"/>
        <v>2.9551879902965494E-3</v>
      </c>
      <c r="J2252" s="16">
        <f t="shared" si="82"/>
        <v>3.663270802502215E-3</v>
      </c>
      <c r="K2252" s="16">
        <f t="shared" si="82"/>
        <v>-2.1007593699284748E-3</v>
      </c>
      <c r="L2252" s="16">
        <f t="shared" si="83"/>
        <v>-2.4328126841697867E-3</v>
      </c>
    </row>
    <row r="2253" spans="1:12" x14ac:dyDescent="0.35">
      <c r="A2253" s="18">
        <v>45524</v>
      </c>
      <c r="B2253" s="15">
        <v>551.826904296875</v>
      </c>
      <c r="C2253" s="15">
        <v>71.548866271972656</v>
      </c>
      <c r="D2253" s="15">
        <v>232.46000671386719</v>
      </c>
      <c r="E2253" s="15">
        <v>477.56466674804688</v>
      </c>
      <c r="F2253" s="15">
        <v>271.57647705078119</v>
      </c>
      <c r="H2253" s="16">
        <f t="shared" si="82"/>
        <v>3.4307354747568331E-3</v>
      </c>
      <c r="I2253" s="16">
        <f t="shared" si="82"/>
        <v>2.1434557178046758E-3</v>
      </c>
      <c r="J2253" s="16">
        <f t="shared" si="82"/>
        <v>-1.3345079227064104E-3</v>
      </c>
      <c r="K2253" s="16">
        <f t="shared" si="82"/>
        <v>4.6532090853021344E-3</v>
      </c>
      <c r="L2253" s="16">
        <f t="shared" si="83"/>
        <v>5.0043032401405133E-3</v>
      </c>
    </row>
    <row r="2254" spans="1:12" x14ac:dyDescent="0.35">
      <c r="A2254" s="18">
        <v>45525</v>
      </c>
      <c r="B2254" s="15">
        <v>553.72332763671875</v>
      </c>
      <c r="C2254" s="15">
        <v>71.702392578125</v>
      </c>
      <c r="D2254" s="15">
        <v>232.1499938964844</v>
      </c>
      <c r="E2254" s="15">
        <v>479.79205322265619</v>
      </c>
      <c r="F2254" s="15">
        <v>272.93893432617188</v>
      </c>
      <c r="H2254" s="16">
        <f t="shared" si="82"/>
        <v>-7.8795521020798044E-3</v>
      </c>
      <c r="I2254" s="16">
        <f t="shared" si="82"/>
        <v>-4.0230094647296282E-3</v>
      </c>
      <c r="J2254" s="16">
        <f t="shared" si="82"/>
        <v>-1.2047289256478088E-2</v>
      </c>
      <c r="K2254" s="16">
        <f t="shared" si="82"/>
        <v>-1.5981870174977198E-2</v>
      </c>
      <c r="L2254" s="16">
        <f t="shared" si="83"/>
        <v>-8.5002301370299561E-3</v>
      </c>
    </row>
    <row r="2255" spans="1:12" x14ac:dyDescent="0.35">
      <c r="A2255" s="18">
        <v>45526</v>
      </c>
      <c r="B2255" s="15">
        <v>549.37738037109375</v>
      </c>
      <c r="C2255" s="15">
        <v>71.414512634277344</v>
      </c>
      <c r="D2255" s="15">
        <v>229.3699951171875</v>
      </c>
      <c r="E2255" s="15">
        <v>472.18502807617188</v>
      </c>
      <c r="F2255" s="15">
        <v>270.62872314453119</v>
      </c>
      <c r="H2255" s="16">
        <f t="shared" si="82"/>
        <v>1.0569323533510517E-2</v>
      </c>
      <c r="I2255" s="16">
        <f t="shared" si="82"/>
        <v>4.4246025019187311E-3</v>
      </c>
      <c r="J2255" s="16">
        <f t="shared" si="82"/>
        <v>1.1487194343258775E-2</v>
      </c>
      <c r="K2255" s="16">
        <f t="shared" si="82"/>
        <v>1.0787132473893828E-2</v>
      </c>
      <c r="L2255" s="16">
        <f t="shared" si="83"/>
        <v>1.2579262869607397E-2</v>
      </c>
    </row>
    <row r="2256" spans="1:12" x14ac:dyDescent="0.35">
      <c r="A2256" s="18">
        <v>45527</v>
      </c>
      <c r="B2256" s="15">
        <v>555.2147216796875</v>
      </c>
      <c r="C2256" s="15">
        <v>71.731193542480469</v>
      </c>
      <c r="D2256" s="15">
        <v>232.02000427246091</v>
      </c>
      <c r="E2256" s="15">
        <v>477.30612182617188</v>
      </c>
      <c r="F2256" s="15">
        <v>274.05453491210938</v>
      </c>
      <c r="H2256" s="16">
        <f t="shared" si="82"/>
        <v>-2.3866936355434465E-3</v>
      </c>
      <c r="I2256" s="16">
        <f t="shared" si="82"/>
        <v>-1.0707764843579136E-3</v>
      </c>
      <c r="J2256" s="16">
        <f t="shared" si="82"/>
        <v>3.1842629268953445E-3</v>
      </c>
      <c r="K2256" s="16">
        <f t="shared" si="82"/>
        <v>-9.7557731445333425E-3</v>
      </c>
      <c r="L2256" s="16">
        <f t="shared" si="83"/>
        <v>-2.5247265107623939E-3</v>
      </c>
    </row>
    <row r="2257" spans="1:12" x14ac:dyDescent="0.35">
      <c r="A2257" s="18">
        <v>45530</v>
      </c>
      <c r="B2257" s="15">
        <v>553.89117431640625</v>
      </c>
      <c r="C2257" s="15">
        <v>71.654426574707031</v>
      </c>
      <c r="D2257" s="15">
        <v>232.75999450683591</v>
      </c>
      <c r="E2257" s="15">
        <v>472.67227172851563</v>
      </c>
      <c r="F2257" s="15">
        <v>273.36349487304688</v>
      </c>
      <c r="H2257" s="16">
        <f t="shared" si="82"/>
        <v>1.372178191885149E-3</v>
      </c>
      <c r="I2257" s="16">
        <f t="shared" si="82"/>
        <v>0</v>
      </c>
      <c r="J2257" s="16">
        <f t="shared" si="82"/>
        <v>2.7030152296242502E-3</v>
      </c>
      <c r="K2257" s="16">
        <f t="shared" si="82"/>
        <v>2.9829195784631182E-3</v>
      </c>
      <c r="L2257" s="16">
        <f t="shared" si="83"/>
        <v>9.0240401873766939E-4</v>
      </c>
    </row>
    <row r="2258" spans="1:12" x14ac:dyDescent="0.35">
      <c r="A2258" s="18">
        <v>45531</v>
      </c>
      <c r="B2258" s="15">
        <v>554.6517333984375</v>
      </c>
      <c r="C2258" s="15">
        <v>71.654426574707031</v>
      </c>
      <c r="D2258" s="15">
        <v>233.38999938964841</v>
      </c>
      <c r="E2258" s="15">
        <v>474.08432006835938</v>
      </c>
      <c r="F2258" s="15">
        <v>273.61029052734381</v>
      </c>
      <c r="H2258" s="16">
        <f t="shared" si="82"/>
        <v>-5.8220873632304623E-3</v>
      </c>
      <c r="I2258" s="16">
        <f t="shared" si="82"/>
        <v>-6.6973809971827001E-4</v>
      </c>
      <c r="J2258" s="16">
        <f t="shared" si="82"/>
        <v>-7.0516669720078595E-3</v>
      </c>
      <c r="K2258" s="16">
        <f t="shared" si="82"/>
        <v>-1.1412368501150585E-2</v>
      </c>
      <c r="L2258" s="16">
        <f t="shared" si="83"/>
        <v>-6.116712852088424E-3</v>
      </c>
    </row>
    <row r="2259" spans="1:12" x14ac:dyDescent="0.35">
      <c r="A2259" s="18">
        <v>45532</v>
      </c>
      <c r="B2259" s="15">
        <v>551.431884765625</v>
      </c>
      <c r="C2259" s="15">
        <v>71.606452941894531</v>
      </c>
      <c r="D2259" s="15">
        <v>231.75</v>
      </c>
      <c r="E2259" s="15">
        <v>468.70465087890619</v>
      </c>
      <c r="F2259" s="15">
        <v>271.94180297851563</v>
      </c>
      <c r="H2259" s="16">
        <f t="shared" si="82"/>
        <v>8.9318686087356376E-5</v>
      </c>
      <c r="I2259" s="16">
        <f t="shared" si="82"/>
        <v>-1.4752607065813468E-3</v>
      </c>
      <c r="J2259" s="16">
        <f t="shared" si="82"/>
        <v>5.1646207163568722E-3</v>
      </c>
      <c r="K2259" s="16">
        <f t="shared" ref="K2259:L2322" si="84">LN(E2260/E2259)</f>
        <v>-1.4650163248162969E-3</v>
      </c>
      <c r="L2259" s="16">
        <f t="shared" si="83"/>
        <v>9.7965809761534333E-4</v>
      </c>
    </row>
    <row r="2260" spans="1:12" x14ac:dyDescent="0.35">
      <c r="A2260" s="18">
        <v>45533</v>
      </c>
      <c r="B2260" s="15">
        <v>551.48114013671875</v>
      </c>
      <c r="C2260" s="15">
        <v>71.500892639160156</v>
      </c>
      <c r="D2260" s="15">
        <v>232.94999694824219</v>
      </c>
      <c r="E2260" s="15">
        <v>468.01849365234381</v>
      </c>
      <c r="F2260" s="15">
        <v>272.20834350585938</v>
      </c>
      <c r="H2260" s="16">
        <f t="shared" ref="H2260:L2323" si="85">LN(B2261/B2260)</f>
        <v>9.5007722065014091E-3</v>
      </c>
      <c r="I2260" s="16">
        <f t="shared" si="85"/>
        <v>-2.0154176769354541E-3</v>
      </c>
      <c r="J2260" s="16">
        <f t="shared" si="85"/>
        <v>-7.1515197828322195E-3</v>
      </c>
      <c r="K2260" s="16">
        <f t="shared" si="84"/>
        <v>1.184897007889725E-2</v>
      </c>
      <c r="L2260" s="16">
        <f t="shared" si="84"/>
        <v>9.601368004471136E-3</v>
      </c>
    </row>
    <row r="2261" spans="1:12" x14ac:dyDescent="0.35">
      <c r="A2261" s="18">
        <v>45534</v>
      </c>
      <c r="B2261" s="15">
        <v>556.74560546875</v>
      </c>
      <c r="C2261" s="15">
        <v>71.35693359375</v>
      </c>
      <c r="D2261" s="15">
        <v>231.28999328613281</v>
      </c>
      <c r="E2261" s="15">
        <v>473.59701538085938</v>
      </c>
      <c r="F2261" s="15">
        <v>274.83450317382813</v>
      </c>
      <c r="H2261" s="16">
        <f t="shared" si="85"/>
        <v>-2.0793600205888343E-2</v>
      </c>
      <c r="I2261" s="16">
        <f t="shared" si="85"/>
        <v>4.2534711749728921E-3</v>
      </c>
      <c r="J2261" s="16">
        <f t="shared" si="85"/>
        <v>-4.3329502735323299E-3</v>
      </c>
      <c r="K2261" s="16">
        <f t="shared" si="84"/>
        <v>-3.0831368167574875E-2</v>
      </c>
      <c r="L2261" s="16">
        <f t="shared" si="84"/>
        <v>-2.1752285289020588E-2</v>
      </c>
    </row>
    <row r="2262" spans="1:12" x14ac:dyDescent="0.35">
      <c r="A2262" s="18">
        <v>45538</v>
      </c>
      <c r="B2262" s="15">
        <v>545.28839111328125</v>
      </c>
      <c r="C2262" s="15">
        <v>71.661094665527344</v>
      </c>
      <c r="D2262" s="15">
        <v>230.28999328613281</v>
      </c>
      <c r="E2262" s="15">
        <v>459.21817016601563</v>
      </c>
      <c r="F2262" s="15">
        <v>268.9207763671875</v>
      </c>
      <c r="H2262" s="16">
        <f t="shared" si="85"/>
        <v>-2.0489960990418467E-3</v>
      </c>
      <c r="I2262" s="16">
        <f t="shared" si="85"/>
        <v>4.4228726647933553E-3</v>
      </c>
      <c r="J2262" s="16">
        <f t="shared" si="85"/>
        <v>6.0774178773748719E-4</v>
      </c>
      <c r="K2262" s="16">
        <f t="shared" si="84"/>
        <v>-2.6019254623565052E-3</v>
      </c>
      <c r="L2262" s="16">
        <f t="shared" si="84"/>
        <v>-2.2418448018312084E-3</v>
      </c>
    </row>
    <row r="2263" spans="1:12" x14ac:dyDescent="0.35">
      <c r="A2263" s="18">
        <v>45539</v>
      </c>
      <c r="B2263" s="15">
        <v>544.1722412109375</v>
      </c>
      <c r="C2263" s="15">
        <v>71.978744506835938</v>
      </c>
      <c r="D2263" s="15">
        <v>230.42999267578119</v>
      </c>
      <c r="E2263" s="15">
        <v>458.02487182617188</v>
      </c>
      <c r="F2263" s="15">
        <v>268.31857299804688</v>
      </c>
      <c r="H2263" s="16">
        <f t="shared" si="85"/>
        <v>-2.4350716073686259E-3</v>
      </c>
      <c r="I2263" s="16">
        <f t="shared" si="85"/>
        <v>2.4040447956510578E-3</v>
      </c>
      <c r="J2263" s="16">
        <f t="shared" si="85"/>
        <v>8.2977849059201383E-3</v>
      </c>
      <c r="K2263" s="16">
        <f t="shared" si="84"/>
        <v>9.3329821980985656E-4</v>
      </c>
      <c r="L2263" s="16">
        <f t="shared" si="84"/>
        <v>-3.0956860463468394E-3</v>
      </c>
    </row>
    <row r="2264" spans="1:12" x14ac:dyDescent="0.35">
      <c r="A2264" s="18">
        <v>45540</v>
      </c>
      <c r="B2264" s="15">
        <v>542.8487548828125</v>
      </c>
      <c r="C2264" s="15">
        <v>72.151992797851563</v>
      </c>
      <c r="D2264" s="15">
        <v>232.3500061035156</v>
      </c>
      <c r="E2264" s="15">
        <v>458.45254516601563</v>
      </c>
      <c r="F2264" s="15">
        <v>267.48922729492188</v>
      </c>
      <c r="H2264" s="16">
        <f t="shared" si="85"/>
        <v>-1.6973394800869818E-2</v>
      </c>
      <c r="I2264" s="16">
        <f t="shared" si="85"/>
        <v>1.2001754201672237E-3</v>
      </c>
      <c r="J2264" s="16">
        <f t="shared" si="85"/>
        <v>-7.430165851405642E-3</v>
      </c>
      <c r="K2264" s="16">
        <f t="shared" si="84"/>
        <v>-2.7152606816249092E-2</v>
      </c>
      <c r="L2264" s="16">
        <f t="shared" si="84"/>
        <v>-1.6748089637157446E-2</v>
      </c>
    </row>
    <row r="2265" spans="1:12" x14ac:dyDescent="0.35">
      <c r="A2265" s="18">
        <v>45541</v>
      </c>
      <c r="B2265" s="15">
        <v>533.7125244140625</v>
      </c>
      <c r="C2265" s="15">
        <v>72.238639831542969</v>
      </c>
      <c r="D2265" s="15">
        <v>230.6300048828125</v>
      </c>
      <c r="E2265" s="15">
        <v>446.17184448242188</v>
      </c>
      <c r="F2265" s="15">
        <v>263.04660034179688</v>
      </c>
      <c r="H2265" s="16">
        <f t="shared" si="85"/>
        <v>1.1134049068249137E-2</v>
      </c>
      <c r="I2265" s="16">
        <f t="shared" si="85"/>
        <v>1.3312199165028745E-3</v>
      </c>
      <c r="J2265" s="16">
        <f t="shared" si="85"/>
        <v>4.1970561043253836E-3</v>
      </c>
      <c r="K2265" s="16">
        <f t="shared" si="84"/>
        <v>1.2777658180446063E-2</v>
      </c>
      <c r="L2265" s="16">
        <f t="shared" si="84"/>
        <v>1.0639628340742249E-2</v>
      </c>
    </row>
    <row r="2266" spans="1:12" x14ac:dyDescent="0.35">
      <c r="A2266" s="18">
        <v>45544</v>
      </c>
      <c r="B2266" s="15">
        <v>539.6881103515625</v>
      </c>
      <c r="C2266" s="15">
        <v>72.334869384765625</v>
      </c>
      <c r="D2266" s="15">
        <v>231.6000061035156</v>
      </c>
      <c r="E2266" s="15">
        <v>451.90945434570313</v>
      </c>
      <c r="F2266" s="15">
        <v>265.86026000976563</v>
      </c>
      <c r="H2266" s="16">
        <f t="shared" si="85"/>
        <v>4.3462201887610706E-3</v>
      </c>
      <c r="I2266" s="16">
        <f t="shared" si="85"/>
        <v>3.3213159057258928E-3</v>
      </c>
      <c r="J2266" s="16">
        <f t="shared" si="85"/>
        <v>4.3944278678481391E-3</v>
      </c>
      <c r="K2266" s="16">
        <f t="shared" si="84"/>
        <v>9.1993467550269027E-3</v>
      </c>
      <c r="L2266" s="16">
        <f t="shared" si="84"/>
        <v>3.8915382712858011E-3</v>
      </c>
    </row>
    <row r="2267" spans="1:12" x14ac:dyDescent="0.35">
      <c r="A2267" s="18">
        <v>45545</v>
      </c>
      <c r="B2267" s="15">
        <v>542.038818359375</v>
      </c>
      <c r="C2267" s="15">
        <v>72.575515747070313</v>
      </c>
      <c r="D2267" s="15">
        <v>232.6199951171875</v>
      </c>
      <c r="E2267" s="15">
        <v>456.08590698242188</v>
      </c>
      <c r="F2267" s="15">
        <v>266.89688110351563</v>
      </c>
      <c r="H2267" s="16">
        <f t="shared" si="85"/>
        <v>1.0206649150277778E-2</v>
      </c>
      <c r="I2267" s="16">
        <f t="shared" si="85"/>
        <v>-5.3069926050197517E-4</v>
      </c>
      <c r="J2267" s="16">
        <f t="shared" si="85"/>
        <v>-1.5918222264343484E-3</v>
      </c>
      <c r="K2267" s="16">
        <f t="shared" si="84"/>
        <v>2.148296943514106E-2</v>
      </c>
      <c r="L2267" s="16">
        <f t="shared" si="84"/>
        <v>9.9012225002044242E-3</v>
      </c>
    </row>
    <row r="2268" spans="1:12" x14ac:dyDescent="0.35">
      <c r="A2268" s="18">
        <v>45546</v>
      </c>
      <c r="B2268" s="15">
        <v>547.59954833984375</v>
      </c>
      <c r="C2268" s="15">
        <v>72.537010192871094</v>
      </c>
      <c r="D2268" s="15">
        <v>232.25</v>
      </c>
      <c r="E2268" s="15">
        <v>465.989990234375</v>
      </c>
      <c r="F2268" s="15">
        <v>269.5526123046875</v>
      </c>
      <c r="H2268" s="16">
        <f t="shared" si="85"/>
        <v>8.3879378635138471E-3</v>
      </c>
      <c r="I2268" s="16">
        <f t="shared" si="85"/>
        <v>-1.0619283208757853E-3</v>
      </c>
      <c r="J2268" s="16">
        <f t="shared" si="85"/>
        <v>1.7414763446119249E-2</v>
      </c>
      <c r="K2268" s="16">
        <f t="shared" si="84"/>
        <v>9.7681359766200963E-3</v>
      </c>
      <c r="L2268" s="16">
        <f t="shared" si="84"/>
        <v>8.2796214644312548E-3</v>
      </c>
    </row>
    <row r="2269" spans="1:12" x14ac:dyDescent="0.35">
      <c r="A2269" s="18">
        <v>45547</v>
      </c>
      <c r="B2269" s="15">
        <v>552.21209716796875</v>
      </c>
      <c r="C2269" s="15">
        <v>72.46002197265625</v>
      </c>
      <c r="D2269" s="15">
        <v>236.33000183105469</v>
      </c>
      <c r="E2269" s="15">
        <v>470.56414794921881</v>
      </c>
      <c r="F2269" s="15">
        <v>271.79367065429688</v>
      </c>
      <c r="H2269" s="16">
        <f t="shared" si="85"/>
        <v>5.2092100996715945E-3</v>
      </c>
      <c r="I2269" s="16">
        <f t="shared" si="85"/>
        <v>2.1229402817631287E-3</v>
      </c>
      <c r="J2269" s="16">
        <f t="shared" si="85"/>
        <v>9.8945708274602324E-3</v>
      </c>
      <c r="K2269" s="16">
        <f t="shared" si="84"/>
        <v>4.4699870477431158E-3</v>
      </c>
      <c r="L2269" s="16">
        <f t="shared" si="84"/>
        <v>6.9501971720760175E-3</v>
      </c>
    </row>
    <row r="2270" spans="1:12" x14ac:dyDescent="0.35">
      <c r="A2270" s="18">
        <v>45548</v>
      </c>
      <c r="B2270" s="15">
        <v>555.09619140625</v>
      </c>
      <c r="C2270" s="15">
        <v>72.614013671875</v>
      </c>
      <c r="D2270" s="15">
        <v>238.67999267578119</v>
      </c>
      <c r="E2270" s="15">
        <v>472.67227172851563</v>
      </c>
      <c r="F2270" s="15">
        <v>273.68927001953119</v>
      </c>
      <c r="H2270" s="16">
        <f t="shared" si="85"/>
        <v>1.4758152293227983E-3</v>
      </c>
      <c r="I2270" s="16">
        <f t="shared" si="85"/>
        <v>2.6475627934148876E-3</v>
      </c>
      <c r="J2270" s="16">
        <f t="shared" si="85"/>
        <v>-8.3751681555375076E-5</v>
      </c>
      <c r="K2270" s="16">
        <f t="shared" si="84"/>
        <v>-4.4277036728596567E-3</v>
      </c>
      <c r="L2270" s="16">
        <f t="shared" si="84"/>
        <v>1.9819222973468591E-3</v>
      </c>
    </row>
    <row r="2271" spans="1:12" x14ac:dyDescent="0.35">
      <c r="A2271" s="18">
        <v>45551</v>
      </c>
      <c r="B2271" s="15">
        <v>555.916015625</v>
      </c>
      <c r="C2271" s="15">
        <v>72.8065185546875</v>
      </c>
      <c r="D2271" s="15">
        <v>238.6600036621094</v>
      </c>
      <c r="E2271" s="15">
        <v>470.58404541015619</v>
      </c>
      <c r="F2271" s="15">
        <v>274.23223876953119</v>
      </c>
      <c r="H2271" s="16">
        <f t="shared" si="85"/>
        <v>4.0856251876632667E-4</v>
      </c>
      <c r="I2271" s="16">
        <f t="shared" si="85"/>
        <v>-1.3228002696643506E-3</v>
      </c>
      <c r="J2271" s="16">
        <f t="shared" si="85"/>
        <v>-5.5462634787819464E-3</v>
      </c>
      <c r="K2271" s="16">
        <f t="shared" si="84"/>
        <v>5.2819694006998798E-4</v>
      </c>
      <c r="L2271" s="16">
        <f t="shared" si="84"/>
        <v>1.0075000538008656E-3</v>
      </c>
    </row>
    <row r="2272" spans="1:12" x14ac:dyDescent="0.35">
      <c r="A2272" s="18">
        <v>45552</v>
      </c>
      <c r="B2272" s="15">
        <v>556.1431884765625</v>
      </c>
      <c r="C2272" s="15">
        <v>72.710273742675781</v>
      </c>
      <c r="D2272" s="15">
        <v>237.3399963378906</v>
      </c>
      <c r="E2272" s="15">
        <v>470.83267211914063</v>
      </c>
      <c r="F2272" s="15">
        <v>274.5086669921875</v>
      </c>
      <c r="H2272" s="16">
        <f t="shared" si="85"/>
        <v>-2.9702149851477716E-3</v>
      </c>
      <c r="I2272" s="16">
        <f t="shared" si="85"/>
        <v>-3.04936067826203E-3</v>
      </c>
      <c r="J2272" s="16">
        <f t="shared" si="85"/>
        <v>-7.7403447317754932E-3</v>
      </c>
      <c r="K2272" s="16">
        <f t="shared" si="84"/>
        <v>-4.3389914260661411E-3</v>
      </c>
      <c r="L2272" s="16">
        <f t="shared" si="84"/>
        <v>-2.5206559256362063E-3</v>
      </c>
    </row>
    <row r="2273" spans="1:12" x14ac:dyDescent="0.35">
      <c r="A2273" s="18">
        <v>45553</v>
      </c>
      <c r="B2273" s="15">
        <v>554.4937744140625</v>
      </c>
      <c r="C2273" s="15">
        <v>72.4888916015625</v>
      </c>
      <c r="D2273" s="15">
        <v>235.50999450683591</v>
      </c>
      <c r="E2273" s="15">
        <v>468.79415893554688</v>
      </c>
      <c r="F2273" s="15">
        <v>273.81759643554688</v>
      </c>
      <c r="H2273" s="16">
        <f t="shared" si="85"/>
        <v>1.6920427220500599E-2</v>
      </c>
      <c r="I2273" s="16">
        <f t="shared" si="85"/>
        <v>0</v>
      </c>
      <c r="J2273" s="16">
        <f t="shared" si="85"/>
        <v>1.5421236419487627E-2</v>
      </c>
      <c r="K2273" s="16">
        <f t="shared" si="84"/>
        <v>2.4969785419810233E-2</v>
      </c>
      <c r="L2273" s="16">
        <f t="shared" si="84"/>
        <v>1.6804103529371991E-2</v>
      </c>
    </row>
    <row r="2274" spans="1:12" x14ac:dyDescent="0.35">
      <c r="A2274" s="18">
        <v>45554</v>
      </c>
      <c r="B2274" s="15">
        <v>563.95587158203125</v>
      </c>
      <c r="C2274" s="15">
        <v>72.4888916015625</v>
      </c>
      <c r="D2274" s="15">
        <v>239.16999816894531</v>
      </c>
      <c r="E2274" s="15">
        <v>480.647216796875</v>
      </c>
      <c r="F2274" s="15">
        <v>278.45773315429688</v>
      </c>
      <c r="H2274" s="16">
        <f t="shared" si="85"/>
        <v>-1.7300946800885854E-3</v>
      </c>
      <c r="I2274" s="16">
        <f t="shared" si="85"/>
        <v>-1.3304378086264102E-4</v>
      </c>
      <c r="J2274" s="16">
        <f t="shared" si="85"/>
        <v>1.2630557682531525E-2</v>
      </c>
      <c r="K2274" s="16">
        <f t="shared" si="84"/>
        <v>-1.9051335709020475E-3</v>
      </c>
      <c r="L2274" s="16">
        <f t="shared" si="84"/>
        <v>-2.094030914196882E-3</v>
      </c>
    </row>
    <row r="2275" spans="1:12" x14ac:dyDescent="0.35">
      <c r="A2275" s="18">
        <v>45555</v>
      </c>
      <c r="B2275" s="15">
        <v>562.98101806640625</v>
      </c>
      <c r="C2275" s="15">
        <v>72.479248046875</v>
      </c>
      <c r="D2275" s="15">
        <v>242.21000671386719</v>
      </c>
      <c r="E2275" s="15">
        <v>479.73239135742188</v>
      </c>
      <c r="F2275" s="15">
        <v>277.875244140625</v>
      </c>
      <c r="H2275" s="16">
        <f t="shared" si="85"/>
        <v>2.4956146440884733E-3</v>
      </c>
      <c r="I2275" s="16">
        <f t="shared" si="85"/>
        <v>-6.6411521254011534E-4</v>
      </c>
      <c r="J2275" s="16">
        <f t="shared" si="85"/>
        <v>1.9385267161008185E-3</v>
      </c>
      <c r="K2275" s="16">
        <f t="shared" si="84"/>
        <v>2.6472145313821806E-3</v>
      </c>
      <c r="L2275" s="16">
        <f t="shared" si="84"/>
        <v>2.4841130588269902E-3</v>
      </c>
    </row>
    <row r="2276" spans="1:12" x14ac:dyDescent="0.35">
      <c r="A2276" s="18">
        <v>45558</v>
      </c>
      <c r="B2276" s="15">
        <v>564.38775634765625</v>
      </c>
      <c r="C2276" s="15">
        <v>72.431129455566406</v>
      </c>
      <c r="D2276" s="15">
        <v>242.67999267578119</v>
      </c>
      <c r="E2276" s="15">
        <v>481.0040283203125</v>
      </c>
      <c r="F2276" s="15">
        <v>278.56637573242188</v>
      </c>
      <c r="H2276" s="16">
        <f t="shared" si="85"/>
        <v>2.8572964492187005E-3</v>
      </c>
      <c r="I2276" s="16">
        <f t="shared" si="85"/>
        <v>1.1952373001248525E-3</v>
      </c>
      <c r="J2276" s="16">
        <f t="shared" si="85"/>
        <v>1.3872405171651274E-2</v>
      </c>
      <c r="K2276" s="16">
        <f t="shared" si="84"/>
        <v>4.811980712073765E-3</v>
      </c>
      <c r="L2276" s="16">
        <f t="shared" si="84"/>
        <v>2.5129268816570277E-3</v>
      </c>
    </row>
    <row r="2277" spans="1:12" x14ac:dyDescent="0.35">
      <c r="A2277" s="18">
        <v>45559</v>
      </c>
      <c r="B2277" s="15">
        <v>566.002685546875</v>
      </c>
      <c r="C2277" s="15">
        <v>72.517753601074219</v>
      </c>
      <c r="D2277" s="15">
        <v>246.07000732421881</v>
      </c>
      <c r="E2277" s="15">
        <v>483.32418823242188</v>
      </c>
      <c r="F2277" s="15">
        <v>279.26727294921881</v>
      </c>
      <c r="H2277" s="16">
        <f t="shared" si="85"/>
        <v>-2.2079943558619879E-3</v>
      </c>
      <c r="I2277" s="16">
        <f t="shared" si="85"/>
        <v>-3.7231585881777026E-3</v>
      </c>
      <c r="J2277" s="16">
        <f t="shared" si="85"/>
        <v>-1.3827232563759936E-3</v>
      </c>
      <c r="K2277" s="16">
        <f t="shared" si="84"/>
        <v>9.2673306302522578E-4</v>
      </c>
      <c r="L2277" s="16">
        <f t="shared" si="84"/>
        <v>-3.2930241188298243E-3</v>
      </c>
    </row>
    <row r="2278" spans="1:12" x14ac:dyDescent="0.35">
      <c r="A2278" s="18">
        <v>45560</v>
      </c>
      <c r="B2278" s="15">
        <v>564.75433349609375</v>
      </c>
      <c r="C2278" s="15">
        <v>72.248260498046875</v>
      </c>
      <c r="D2278" s="15">
        <v>245.72999572753909</v>
      </c>
      <c r="E2278" s="15">
        <v>483.77230834960938</v>
      </c>
      <c r="F2278" s="15">
        <v>278.34915161132813</v>
      </c>
      <c r="H2278" s="16">
        <f t="shared" si="85"/>
        <v>3.9569569446196665E-3</v>
      </c>
      <c r="I2278" s="16">
        <f t="shared" si="85"/>
        <v>0</v>
      </c>
      <c r="J2278" s="16">
        <f t="shared" si="85"/>
        <v>5.0739895820529311E-3</v>
      </c>
      <c r="K2278" s="16">
        <f t="shared" si="84"/>
        <v>7.4849829874779946E-3</v>
      </c>
      <c r="L2278" s="16">
        <f t="shared" si="84"/>
        <v>4.4592070468177048E-3</v>
      </c>
    </row>
    <row r="2279" spans="1:12" x14ac:dyDescent="0.35">
      <c r="A2279" s="18">
        <v>45561</v>
      </c>
      <c r="B2279" s="15">
        <v>566.99346923828125</v>
      </c>
      <c r="C2279" s="15">
        <v>72.248260498046875</v>
      </c>
      <c r="D2279" s="15">
        <v>246.97999572753909</v>
      </c>
      <c r="E2279" s="15">
        <v>487.40692138671881</v>
      </c>
      <c r="F2279" s="15">
        <v>279.5931396484375</v>
      </c>
      <c r="H2279" s="16">
        <f t="shared" si="85"/>
        <v>-1.451488822396894E-3</v>
      </c>
      <c r="I2279" s="16">
        <f t="shared" si="85"/>
        <v>2.9267381542038714E-3</v>
      </c>
      <c r="J2279" s="16">
        <f t="shared" si="85"/>
        <v>-7.9674870876459934E-3</v>
      </c>
      <c r="K2279" s="16">
        <f t="shared" si="84"/>
        <v>-5.5725106637199585E-3</v>
      </c>
      <c r="L2279" s="16">
        <f t="shared" si="84"/>
        <v>-9.8895082744713289E-4</v>
      </c>
    </row>
    <row r="2280" spans="1:12" x14ac:dyDescent="0.35">
      <c r="A2280" s="18">
        <v>45562</v>
      </c>
      <c r="B2280" s="15">
        <v>566.17108154296875</v>
      </c>
      <c r="C2280" s="15">
        <v>72.46002197265625</v>
      </c>
      <c r="D2280" s="15">
        <v>245.02000427246091</v>
      </c>
      <c r="E2280" s="15">
        <v>484.69839477539063</v>
      </c>
      <c r="F2280" s="15">
        <v>279.3167724609375</v>
      </c>
      <c r="H2280" s="16">
        <f t="shared" si="85"/>
        <v>3.999259531640811E-3</v>
      </c>
      <c r="I2280" s="16">
        <f t="shared" si="85"/>
        <v>-2.2611536052275427E-3</v>
      </c>
      <c r="J2280" s="16">
        <f t="shared" si="85"/>
        <v>-8.0315409050216377E-3</v>
      </c>
      <c r="K2280" s="16">
        <f t="shared" si="84"/>
        <v>2.7082285042491407E-3</v>
      </c>
      <c r="L2280" s="16">
        <f t="shared" si="84"/>
        <v>3.9278565001337092E-3</v>
      </c>
    </row>
    <row r="2281" spans="1:12" x14ac:dyDescent="0.35">
      <c r="A2281" s="18">
        <v>45565</v>
      </c>
      <c r="B2281" s="15">
        <v>568.43988037109375</v>
      </c>
      <c r="C2281" s="15">
        <v>72.296363830566406</v>
      </c>
      <c r="D2281" s="15">
        <v>243.05999755859381</v>
      </c>
      <c r="E2281" s="15">
        <v>486.01284790039063</v>
      </c>
      <c r="F2281" s="15">
        <v>280.41604614257813</v>
      </c>
      <c r="H2281" s="16">
        <f t="shared" si="85"/>
        <v>-8.9987203944249337E-3</v>
      </c>
      <c r="I2281" s="16">
        <f t="shared" si="85"/>
        <v>2.9466794331527409E-3</v>
      </c>
      <c r="J2281" s="16">
        <f t="shared" si="85"/>
        <v>1.0436598143314959E-2</v>
      </c>
      <c r="K2281" s="16">
        <f t="shared" si="84"/>
        <v>-1.4030507572904933E-2</v>
      </c>
      <c r="L2281" s="16">
        <f t="shared" si="84"/>
        <v>-9.1534180128523702E-3</v>
      </c>
    </row>
    <row r="2282" spans="1:12" x14ac:dyDescent="0.35">
      <c r="A2282" s="18">
        <v>45566</v>
      </c>
      <c r="B2282" s="15">
        <v>563.34759521484375</v>
      </c>
      <c r="C2282" s="15">
        <v>72.509712219238281</v>
      </c>
      <c r="D2282" s="15">
        <v>245.61000061035159</v>
      </c>
      <c r="E2282" s="15">
        <v>479.241455078125</v>
      </c>
      <c r="F2282" s="15">
        <v>277.86099243164063</v>
      </c>
      <c r="H2282" s="16">
        <f t="shared" si="85"/>
        <v>4.2190964946112126E-4</v>
      </c>
      <c r="I2282" s="16">
        <f t="shared" si="85"/>
        <v>-1.8654818850474657E-3</v>
      </c>
      <c r="J2282" s="16">
        <f t="shared" si="85"/>
        <v>2.0356647666494899E-4</v>
      </c>
      <c r="K2282" s="16">
        <f t="shared" si="84"/>
        <v>1.4120378328694322E-3</v>
      </c>
      <c r="L2282" s="16">
        <f t="shared" si="84"/>
        <v>2.1403650134311223E-4</v>
      </c>
    </row>
    <row r="2283" spans="1:12" x14ac:dyDescent="0.35">
      <c r="A2283" s="18">
        <v>45567</v>
      </c>
      <c r="B2283" s="15">
        <v>563.5853271484375</v>
      </c>
      <c r="C2283" s="15">
        <v>72.37457275390625</v>
      </c>
      <c r="D2283" s="15">
        <v>245.6600036621094</v>
      </c>
      <c r="E2283" s="15">
        <v>479.91864013671881</v>
      </c>
      <c r="F2283" s="15">
        <v>277.92047119140619</v>
      </c>
      <c r="H2283" s="16">
        <f t="shared" si="85"/>
        <v>-1.8298514705715875E-3</v>
      </c>
      <c r="I2283" s="16">
        <f t="shared" si="85"/>
        <v>-4.4114415549527551E-3</v>
      </c>
      <c r="J2283" s="16">
        <f t="shared" si="85"/>
        <v>-6.9224543445023021E-4</v>
      </c>
      <c r="K2283" s="16">
        <f t="shared" si="84"/>
        <v>-7.4725988848645315E-4</v>
      </c>
      <c r="L2283" s="16">
        <f t="shared" si="84"/>
        <v>-2.1403385322765873E-3</v>
      </c>
    </row>
    <row r="2284" spans="1:12" x14ac:dyDescent="0.35">
      <c r="A2284" s="18">
        <v>45568</v>
      </c>
      <c r="B2284" s="15">
        <v>562.55499267578125</v>
      </c>
      <c r="C2284" s="15">
        <v>72.055999755859375</v>
      </c>
      <c r="D2284" s="15">
        <v>245.49000549316409</v>
      </c>
      <c r="E2284" s="15">
        <v>479.56015014648438</v>
      </c>
      <c r="F2284" s="15">
        <v>277.32626342773438</v>
      </c>
      <c r="H2284" s="16">
        <f t="shared" si="85"/>
        <v>9.0462864127115253E-3</v>
      </c>
      <c r="I2284" s="16">
        <f t="shared" si="85"/>
        <v>-6.586612414064625E-3</v>
      </c>
      <c r="J2284" s="16">
        <f t="shared" si="85"/>
        <v>-1.9980250389980908E-3</v>
      </c>
      <c r="K2284" s="16">
        <f t="shared" si="84"/>
        <v>1.1827846156593795E-2</v>
      </c>
      <c r="L2284" s="16">
        <f t="shared" si="84"/>
        <v>9.6306923131221391E-3</v>
      </c>
    </row>
    <row r="2285" spans="1:12" x14ac:dyDescent="0.35">
      <c r="A2285" s="18">
        <v>45569</v>
      </c>
      <c r="B2285" s="15">
        <v>567.6671142578125</v>
      </c>
      <c r="C2285" s="15">
        <v>71.582954406738281</v>
      </c>
      <c r="D2285" s="15">
        <v>245</v>
      </c>
      <c r="E2285" s="15">
        <v>485.2659912109375</v>
      </c>
      <c r="F2285" s="15">
        <v>280.010009765625</v>
      </c>
      <c r="H2285" s="16">
        <f t="shared" si="85"/>
        <v>-9.0815483440370662E-3</v>
      </c>
      <c r="I2285" s="16">
        <f t="shared" si="85"/>
        <v>-2.9714167047058876E-3</v>
      </c>
      <c r="J2285" s="16">
        <f t="shared" si="85"/>
        <v>-3.3935140367649104E-3</v>
      </c>
      <c r="K2285" s="16">
        <f t="shared" si="84"/>
        <v>-1.0769366223584235E-2</v>
      </c>
      <c r="L2285" s="16">
        <f t="shared" si="84"/>
        <v>-9.1665322235787126E-3</v>
      </c>
    </row>
    <row r="2286" spans="1:12" x14ac:dyDescent="0.35">
      <c r="A2286" s="18">
        <v>45572</v>
      </c>
      <c r="B2286" s="15">
        <v>562.53515625</v>
      </c>
      <c r="C2286" s="15">
        <v>71.370567321777344</v>
      </c>
      <c r="D2286" s="15">
        <v>244.16999816894531</v>
      </c>
      <c r="E2286" s="15">
        <v>480.06802368164063</v>
      </c>
      <c r="F2286" s="15">
        <v>277.45501708984381</v>
      </c>
      <c r="H2286" s="16">
        <f t="shared" si="85"/>
        <v>9.4130828227893381E-3</v>
      </c>
      <c r="I2286" s="16">
        <f t="shared" si="85"/>
        <v>1.4868120166009662E-3</v>
      </c>
      <c r="J2286" s="16">
        <f t="shared" si="85"/>
        <v>-7.3992324943445032E-3</v>
      </c>
      <c r="K2286" s="16">
        <f t="shared" si="84"/>
        <v>1.4824162128209001E-2</v>
      </c>
      <c r="L2286" s="16">
        <f t="shared" si="84"/>
        <v>8.3880588685635513E-3</v>
      </c>
    </row>
    <row r="2287" spans="1:12" x14ac:dyDescent="0.35">
      <c r="A2287" s="18">
        <v>45573</v>
      </c>
      <c r="B2287" s="15">
        <v>567.8553466796875</v>
      </c>
      <c r="C2287" s="15">
        <v>71.476760864257813</v>
      </c>
      <c r="D2287" s="15">
        <v>242.3699951171875</v>
      </c>
      <c r="E2287" s="15">
        <v>487.23764038085938</v>
      </c>
      <c r="F2287" s="15">
        <v>279.7921142578125</v>
      </c>
      <c r="H2287" s="16">
        <f t="shared" si="85"/>
        <v>6.9026893557096727E-3</v>
      </c>
      <c r="I2287" s="16">
        <f t="shared" si="85"/>
        <v>-2.7049117927474432E-3</v>
      </c>
      <c r="J2287" s="16">
        <f t="shared" si="85"/>
        <v>-5.4610705017173605E-3</v>
      </c>
      <c r="K2287" s="16">
        <f t="shared" si="84"/>
        <v>7.8375854153497401E-3</v>
      </c>
      <c r="L2287" s="16">
        <f t="shared" si="84"/>
        <v>6.9484702797788173E-3</v>
      </c>
    </row>
    <row r="2288" spans="1:12" x14ac:dyDescent="0.35">
      <c r="A2288" s="18">
        <v>45574</v>
      </c>
      <c r="B2288" s="15">
        <v>571.78863525390625</v>
      </c>
      <c r="C2288" s="15">
        <v>71.283683776855469</v>
      </c>
      <c r="D2288" s="15">
        <v>241.05000305175781</v>
      </c>
      <c r="E2288" s="15">
        <v>491.0714111328125</v>
      </c>
      <c r="F2288" s="15">
        <v>281.74301147460938</v>
      </c>
      <c r="H2288" s="16">
        <f t="shared" si="85"/>
        <v>-1.7517122825692025E-3</v>
      </c>
      <c r="I2288" s="16">
        <f t="shared" si="85"/>
        <v>-4.0636320801234224E-4</v>
      </c>
      <c r="J2288" s="16">
        <f t="shared" si="85"/>
        <v>7.3160647670898783E-3</v>
      </c>
      <c r="K2288" s="16">
        <f t="shared" si="84"/>
        <v>-1.1362188010247351E-3</v>
      </c>
      <c r="L2288" s="16">
        <f t="shared" si="84"/>
        <v>-2.0758835039012121E-3</v>
      </c>
    </row>
    <row r="2289" spans="1:12" x14ac:dyDescent="0.35">
      <c r="A2289" s="18">
        <v>45575</v>
      </c>
      <c r="B2289" s="15">
        <v>570.78790283203125</v>
      </c>
      <c r="C2289" s="15">
        <v>71.254722595214844</v>
      </c>
      <c r="D2289" s="15">
        <v>242.82000732421881</v>
      </c>
      <c r="E2289" s="15">
        <v>490.51376342773438</v>
      </c>
      <c r="F2289" s="15">
        <v>281.15875244140619</v>
      </c>
      <c r="H2289" s="16">
        <f t="shared" si="85"/>
        <v>5.9703012872560045E-3</v>
      </c>
      <c r="I2289" s="16">
        <f t="shared" si="85"/>
        <v>1.3565118074535153E-4</v>
      </c>
      <c r="J2289" s="16">
        <f t="shared" si="85"/>
        <v>1.0854286868860519E-2</v>
      </c>
      <c r="K2289" s="16">
        <f t="shared" si="84"/>
        <v>1.5619449432743163E-3</v>
      </c>
      <c r="L2289" s="16">
        <f t="shared" si="84"/>
        <v>7.7190645198408374E-3</v>
      </c>
    </row>
    <row r="2290" spans="1:12" x14ac:dyDescent="0.35">
      <c r="A2290" s="18">
        <v>45576</v>
      </c>
      <c r="B2290" s="15">
        <v>574.20587158203125</v>
      </c>
      <c r="C2290" s="15">
        <v>71.264389038085938</v>
      </c>
      <c r="D2290" s="15">
        <v>245.4700012207031</v>
      </c>
      <c r="E2290" s="15">
        <v>491.280517578125</v>
      </c>
      <c r="F2290" s="15">
        <v>283.33743286132813</v>
      </c>
      <c r="H2290" s="16">
        <f t="shared" si="85"/>
        <v>8.1451737991900947E-3</v>
      </c>
      <c r="I2290" s="16">
        <f t="shared" si="85"/>
        <v>-6.7769007954989954E-4</v>
      </c>
      <c r="J2290" s="16">
        <f t="shared" si="85"/>
        <v>-1.6308312397315841E-3</v>
      </c>
      <c r="K2290" s="16">
        <f t="shared" si="84"/>
        <v>8.3563813549508668E-3</v>
      </c>
      <c r="L2290" s="16">
        <f t="shared" si="84"/>
        <v>7.7639310223229212E-3</v>
      </c>
    </row>
    <row r="2291" spans="1:12" x14ac:dyDescent="0.35">
      <c r="A2291" s="18">
        <v>45579</v>
      </c>
      <c r="B2291" s="15">
        <v>578.9019775390625</v>
      </c>
      <c r="C2291" s="15">
        <v>71.216110229492188</v>
      </c>
      <c r="D2291" s="15">
        <v>245.07000732421881</v>
      </c>
      <c r="E2291" s="15">
        <v>495.40304565429688</v>
      </c>
      <c r="F2291" s="15">
        <v>285.54580688476563</v>
      </c>
      <c r="H2291" s="16">
        <f t="shared" si="85"/>
        <v>-7.7999875445053804E-3</v>
      </c>
      <c r="I2291" s="16">
        <f t="shared" si="85"/>
        <v>3.9233284062133366E-3</v>
      </c>
      <c r="J2291" s="16">
        <f t="shared" si="85"/>
        <v>3.4623584364337021E-3</v>
      </c>
      <c r="K2291" s="16">
        <f t="shared" si="84"/>
        <v>-1.3456929211210665E-2</v>
      </c>
      <c r="L2291" s="16">
        <f t="shared" si="84"/>
        <v>-6.8904813116694962E-3</v>
      </c>
    </row>
    <row r="2292" spans="1:12" x14ac:dyDescent="0.35">
      <c r="A2292" s="18">
        <v>45580</v>
      </c>
      <c r="B2292" s="15">
        <v>574.40411376953125</v>
      </c>
      <c r="C2292" s="15">
        <v>71.496063232421875</v>
      </c>
      <c r="D2292" s="15">
        <v>245.91999816894531</v>
      </c>
      <c r="E2292" s="15">
        <v>488.78109741210938</v>
      </c>
      <c r="F2292" s="15">
        <v>283.58502197265619</v>
      </c>
      <c r="H2292" s="16">
        <f t="shared" si="85"/>
        <v>4.3369678016459672E-3</v>
      </c>
      <c r="I2292" s="16">
        <f t="shared" si="85"/>
        <v>1.3495128313367425E-3</v>
      </c>
      <c r="J2292" s="16">
        <f t="shared" si="85"/>
        <v>4.9891427128232555E-3</v>
      </c>
      <c r="K2292" s="16">
        <f t="shared" si="84"/>
        <v>1.2224238244778302E-4</v>
      </c>
      <c r="L2292" s="16">
        <f t="shared" si="84"/>
        <v>5.0855592252602184E-3</v>
      </c>
    </row>
    <row r="2293" spans="1:12" x14ac:dyDescent="0.35">
      <c r="A2293" s="18">
        <v>45581</v>
      </c>
      <c r="B2293" s="15">
        <v>576.90069580078125</v>
      </c>
      <c r="C2293" s="15">
        <v>71.592613220214844</v>
      </c>
      <c r="D2293" s="15">
        <v>247.1499938964844</v>
      </c>
      <c r="E2293" s="15">
        <v>488.84085083007813</v>
      </c>
      <c r="F2293" s="15">
        <v>285.0308837890625</v>
      </c>
      <c r="H2293" s="16">
        <f t="shared" si="85"/>
        <v>8.579880144009782E-5</v>
      </c>
      <c r="I2293" s="16">
        <f t="shared" si="85"/>
        <v>-4.866150663325919E-3</v>
      </c>
      <c r="J2293" s="16">
        <f t="shared" si="85"/>
        <v>5.9704521617615375E-3</v>
      </c>
      <c r="K2293" s="16">
        <f t="shared" si="84"/>
        <v>6.9234153487057162E-4</v>
      </c>
      <c r="L2293" s="16">
        <f t="shared" si="84"/>
        <v>-2.0848238551947294E-4</v>
      </c>
    </row>
    <row r="2294" spans="1:12" x14ac:dyDescent="0.35">
      <c r="A2294" s="18">
        <v>45582</v>
      </c>
      <c r="B2294" s="15">
        <v>576.9501953125</v>
      </c>
      <c r="C2294" s="15">
        <v>71.245079040527344</v>
      </c>
      <c r="D2294" s="15">
        <v>248.6300048828125</v>
      </c>
      <c r="E2294" s="15">
        <v>489.17941284179688</v>
      </c>
      <c r="F2294" s="15">
        <v>284.97146606445313</v>
      </c>
      <c r="H2294" s="16">
        <f t="shared" si="85"/>
        <v>3.839225404928326E-3</v>
      </c>
      <c r="I2294" s="16">
        <f t="shared" si="85"/>
        <v>5.4171153259273202E-4</v>
      </c>
      <c r="J2294" s="16">
        <f t="shared" si="85"/>
        <v>1.0562207979593495E-2</v>
      </c>
      <c r="K2294" s="16">
        <f t="shared" si="84"/>
        <v>6.5333044641744638E-3</v>
      </c>
      <c r="L2294" s="16">
        <f t="shared" si="84"/>
        <v>3.91908438521905E-3</v>
      </c>
    </row>
    <row r="2295" spans="1:12" x14ac:dyDescent="0.35">
      <c r="A2295" s="18">
        <v>45583</v>
      </c>
      <c r="B2295" s="15">
        <v>579.16949462890625</v>
      </c>
      <c r="C2295" s="15">
        <v>71.283683776855469</v>
      </c>
      <c r="D2295" s="15">
        <v>251.27000427246091</v>
      </c>
      <c r="E2295" s="15">
        <v>492.38583374023438</v>
      </c>
      <c r="F2295" s="15">
        <v>286.09048461914063</v>
      </c>
      <c r="H2295" s="16">
        <f t="shared" si="85"/>
        <v>-1.6435476328692123E-3</v>
      </c>
      <c r="I2295" s="16">
        <f t="shared" si="85"/>
        <v>-6.7941942016096421E-3</v>
      </c>
      <c r="J2295" s="16">
        <f t="shared" si="85"/>
        <v>-1.9902108052391329E-4</v>
      </c>
      <c r="K2295" s="16">
        <f t="shared" si="84"/>
        <v>1.9195053521856452E-3</v>
      </c>
      <c r="L2295" s="16">
        <f t="shared" si="84"/>
        <v>-3.1548613732594825E-3</v>
      </c>
    </row>
    <row r="2296" spans="1:12" x14ac:dyDescent="0.35">
      <c r="A2296" s="18">
        <v>45586</v>
      </c>
      <c r="B2296" s="15">
        <v>578.2183837890625</v>
      </c>
      <c r="C2296" s="15">
        <v>70.801010131835938</v>
      </c>
      <c r="D2296" s="15">
        <v>251.2200012207031</v>
      </c>
      <c r="E2296" s="15">
        <v>493.33187866210938</v>
      </c>
      <c r="F2296" s="15">
        <v>285.1893310546875</v>
      </c>
      <c r="H2296" s="16">
        <f t="shared" si="85"/>
        <v>-5.313053194063019E-4</v>
      </c>
      <c r="I2296" s="16">
        <f t="shared" si="85"/>
        <v>4.0896676346844881E-4</v>
      </c>
      <c r="J2296" s="16">
        <f t="shared" si="85"/>
        <v>1.0729555523637526E-2</v>
      </c>
      <c r="K2296" s="16">
        <f t="shared" si="84"/>
        <v>1.0893202477407268E-3</v>
      </c>
      <c r="L2296" s="16">
        <f t="shared" si="84"/>
        <v>-1.1466072088347973E-3</v>
      </c>
    </row>
    <row r="2297" spans="1:12" x14ac:dyDescent="0.35">
      <c r="A2297" s="18">
        <v>45587</v>
      </c>
      <c r="B2297" s="15">
        <v>577.9112548828125</v>
      </c>
      <c r="C2297" s="15">
        <v>70.829971313476563</v>
      </c>
      <c r="D2297" s="15">
        <v>253.92999267578119</v>
      </c>
      <c r="E2297" s="15">
        <v>493.86956787109381</v>
      </c>
      <c r="F2297" s="15">
        <v>284.86251831054688</v>
      </c>
      <c r="H2297" s="16">
        <f t="shared" si="85"/>
        <v>-9.1793537444370011E-3</v>
      </c>
      <c r="I2297" s="16">
        <f t="shared" si="85"/>
        <v>-2.4565291146817266E-3</v>
      </c>
      <c r="J2297" s="16">
        <f t="shared" si="85"/>
        <v>-1.2123752431614886E-2</v>
      </c>
      <c r="K2297" s="16">
        <f t="shared" si="84"/>
        <v>-1.5442494131987684E-2</v>
      </c>
      <c r="L2297" s="16">
        <f t="shared" si="84"/>
        <v>-9.0798384656647722E-3</v>
      </c>
    </row>
    <row r="2298" spans="1:12" x14ac:dyDescent="0.35">
      <c r="A2298" s="18">
        <v>45588</v>
      </c>
      <c r="B2298" s="15">
        <v>572.63067626953125</v>
      </c>
      <c r="C2298" s="15">
        <v>70.65618896484375</v>
      </c>
      <c r="D2298" s="15">
        <v>250.8699951171875</v>
      </c>
      <c r="E2298" s="15">
        <v>486.30157470703119</v>
      </c>
      <c r="F2298" s="15">
        <v>282.2877197265625</v>
      </c>
      <c r="H2298" s="16">
        <f t="shared" si="85"/>
        <v>2.1603210914225299E-3</v>
      </c>
      <c r="I2298" s="16">
        <f t="shared" si="85"/>
        <v>1.638212660738493E-3</v>
      </c>
      <c r="J2298" s="16">
        <f t="shared" si="85"/>
        <v>7.6638171342995392E-3</v>
      </c>
      <c r="K2298" s="16">
        <f t="shared" si="84"/>
        <v>8.0761138938494903E-3</v>
      </c>
      <c r="L2298" s="16">
        <f t="shared" si="84"/>
        <v>2.6626131067510454E-3</v>
      </c>
    </row>
    <row r="2299" spans="1:12" x14ac:dyDescent="0.35">
      <c r="A2299" s="18">
        <v>45589</v>
      </c>
      <c r="B2299" s="15">
        <v>573.86907958984375</v>
      </c>
      <c r="C2299" s="15">
        <v>70.77203369140625</v>
      </c>
      <c r="D2299" s="15">
        <v>252.80000305175781</v>
      </c>
      <c r="E2299" s="15">
        <v>490.24490356445313</v>
      </c>
      <c r="F2299" s="15">
        <v>283.04034423828119</v>
      </c>
      <c r="H2299" s="16">
        <f t="shared" si="85"/>
        <v>-3.4540174304815031E-4</v>
      </c>
      <c r="I2299" s="16">
        <f t="shared" si="85"/>
        <v>-2.0480774807482365E-3</v>
      </c>
      <c r="J2299" s="16">
        <f t="shared" si="85"/>
        <v>2.0548662166118528E-3</v>
      </c>
      <c r="K2299" s="16">
        <f t="shared" si="84"/>
        <v>6.0751281128899231E-3</v>
      </c>
      <c r="L2299" s="16">
        <f t="shared" si="84"/>
        <v>-9.4506265767841172E-4</v>
      </c>
    </row>
    <row r="2300" spans="1:12" x14ac:dyDescent="0.35">
      <c r="A2300" s="18">
        <v>45590</v>
      </c>
      <c r="B2300" s="15">
        <v>573.6708984375</v>
      </c>
      <c r="C2300" s="15">
        <v>70.627235412597656</v>
      </c>
      <c r="D2300" s="15">
        <v>253.32000732421881</v>
      </c>
      <c r="E2300" s="15">
        <v>493.23226928710938</v>
      </c>
      <c r="F2300" s="15">
        <v>282.77297973632813</v>
      </c>
      <c r="H2300" s="16">
        <f t="shared" si="85"/>
        <v>3.0866163025948909E-3</v>
      </c>
      <c r="I2300" s="16">
        <f t="shared" si="85"/>
        <v>-1.2309278293430469E-3</v>
      </c>
      <c r="J2300" s="16">
        <f t="shared" si="85"/>
        <v>3.9453297765955816E-5</v>
      </c>
      <c r="K2300" s="16">
        <f t="shared" si="84"/>
        <v>1.6147452882663498E-4</v>
      </c>
      <c r="L2300" s="16">
        <f t="shared" si="84"/>
        <v>4.0542983751366253E-3</v>
      </c>
    </row>
    <row r="2301" spans="1:12" x14ac:dyDescent="0.35">
      <c r="A2301" s="18">
        <v>45593</v>
      </c>
      <c r="B2301" s="15">
        <v>575.4443359375</v>
      </c>
      <c r="C2301" s="15">
        <v>70.540351867675781</v>
      </c>
      <c r="D2301" s="15">
        <v>253.33000183105469</v>
      </c>
      <c r="E2301" s="15">
        <v>493.31192016601563</v>
      </c>
      <c r="F2301" s="15">
        <v>283.9217529296875</v>
      </c>
      <c r="H2301" s="16">
        <f t="shared" si="85"/>
        <v>1.6170489493453281E-3</v>
      </c>
      <c r="I2301" s="16">
        <f t="shared" si="85"/>
        <v>8.2067881583913543E-4</v>
      </c>
      <c r="J2301" s="16">
        <f t="shared" si="85"/>
        <v>1.0835937036952448E-2</v>
      </c>
      <c r="K2301" s="16">
        <f t="shared" si="84"/>
        <v>9.562575991035601E-3</v>
      </c>
      <c r="L2301" s="16">
        <f t="shared" si="84"/>
        <v>1.3244234062141922E-3</v>
      </c>
    </row>
    <row r="2302" spans="1:12" x14ac:dyDescent="0.35">
      <c r="A2302" s="18">
        <v>45594</v>
      </c>
      <c r="B2302" s="15">
        <v>576.3756103515625</v>
      </c>
      <c r="C2302" s="15">
        <v>70.5982666015625</v>
      </c>
      <c r="D2302" s="15">
        <v>256.08999633789063</v>
      </c>
      <c r="E2302" s="15">
        <v>498.0518798828125</v>
      </c>
      <c r="F2302" s="15">
        <v>284.29803466796881</v>
      </c>
      <c r="H2302" s="16">
        <f t="shared" si="85"/>
        <v>-3.0297866417543875E-3</v>
      </c>
      <c r="I2302" s="16">
        <f t="shared" si="85"/>
        <v>-9.5761426559076495E-4</v>
      </c>
      <c r="J2302" s="16">
        <f t="shared" si="85"/>
        <v>5.4907892079315368E-3</v>
      </c>
      <c r="K2302" s="16">
        <f t="shared" si="84"/>
        <v>-7.5863483506537826E-3</v>
      </c>
      <c r="L2302" s="16">
        <f t="shared" si="84"/>
        <v>-2.4762602398982984E-3</v>
      </c>
    </row>
    <row r="2303" spans="1:12" x14ac:dyDescent="0.35">
      <c r="A2303" s="18">
        <v>45595</v>
      </c>
      <c r="B2303" s="15">
        <v>574.6319580078125</v>
      </c>
      <c r="C2303" s="15">
        <v>70.530693054199219</v>
      </c>
      <c r="D2303" s="15">
        <v>257.5</v>
      </c>
      <c r="E2303" s="15">
        <v>494.28778076171881</v>
      </c>
      <c r="F2303" s="15">
        <v>283.59490966796881</v>
      </c>
      <c r="H2303" s="16">
        <f t="shared" si="85"/>
        <v>-1.9797715876522331E-2</v>
      </c>
      <c r="I2303" s="16">
        <f t="shared" si="85"/>
        <v>-1.368460175590319E-4</v>
      </c>
      <c r="J2303" s="16">
        <f t="shared" si="85"/>
        <v>-1.5616471787270733E-2</v>
      </c>
      <c r="K2303" s="16">
        <f t="shared" si="84"/>
        <v>-2.5566729193615172E-2</v>
      </c>
      <c r="L2303" s="16">
        <f t="shared" si="84"/>
        <v>-1.8823206220036647E-2</v>
      </c>
    </row>
    <row r="2304" spans="1:12" x14ac:dyDescent="0.35">
      <c r="A2304" s="18">
        <v>45596</v>
      </c>
      <c r="B2304" s="15">
        <v>563.367431640625</v>
      </c>
      <c r="C2304" s="15">
        <v>70.521041870117188</v>
      </c>
      <c r="D2304" s="15">
        <v>253.50999450683591</v>
      </c>
      <c r="E2304" s="15">
        <v>481.81063842773438</v>
      </c>
      <c r="F2304" s="15">
        <v>278.30667114257813</v>
      </c>
      <c r="H2304" s="16">
        <f t="shared" si="85"/>
        <v>4.2114989457562053E-3</v>
      </c>
      <c r="I2304" s="16">
        <f t="shared" si="85"/>
        <v>-3.8798208647941755E-3</v>
      </c>
      <c r="J2304" s="16">
        <f t="shared" si="85"/>
        <v>-4.1108137059422479E-3</v>
      </c>
      <c r="K2304" s="16">
        <f t="shared" si="84"/>
        <v>7.3716863872226538E-3</v>
      </c>
      <c r="L2304" s="16">
        <f t="shared" si="84"/>
        <v>4.2609649616440082E-3</v>
      </c>
    </row>
    <row r="2305" spans="1:12" x14ac:dyDescent="0.35">
      <c r="A2305" s="18">
        <v>45597</v>
      </c>
      <c r="B2305" s="15">
        <v>565.74505615234375</v>
      </c>
      <c r="C2305" s="15">
        <v>70.247962951660156</v>
      </c>
      <c r="D2305" s="15">
        <v>252.4700012207031</v>
      </c>
      <c r="E2305" s="15">
        <v>485.37551879882813</v>
      </c>
      <c r="F2305" s="15">
        <v>279.49505615234381</v>
      </c>
      <c r="H2305" s="16">
        <f t="shared" si="85"/>
        <v>-2.156346362329619E-3</v>
      </c>
      <c r="I2305" s="16">
        <f t="shared" si="85"/>
        <v>3.9896236995808363E-3</v>
      </c>
      <c r="J2305" s="16">
        <f t="shared" si="85"/>
        <v>1.4248987496044922E-3</v>
      </c>
      <c r="K2305" s="16">
        <f t="shared" si="84"/>
        <v>-2.9174629980814855E-3</v>
      </c>
      <c r="L2305" s="16">
        <f t="shared" si="84"/>
        <v>-1.8087003722865684E-3</v>
      </c>
    </row>
    <row r="2306" spans="1:12" x14ac:dyDescent="0.35">
      <c r="A2306" s="18">
        <v>45600</v>
      </c>
      <c r="B2306" s="15">
        <v>564.52642822265625</v>
      </c>
      <c r="C2306" s="15">
        <v>70.528785705566406</v>
      </c>
      <c r="D2306" s="15">
        <v>252.83000183105469</v>
      </c>
      <c r="E2306" s="15">
        <v>483.96151733398438</v>
      </c>
      <c r="F2306" s="15">
        <v>278.989990234375</v>
      </c>
      <c r="H2306" s="16">
        <f t="shared" si="85"/>
        <v>1.2019439664552864E-2</v>
      </c>
      <c r="I2306" s="16">
        <f t="shared" si="85"/>
        <v>2.4685146883081741E-3</v>
      </c>
      <c r="J2306" s="16">
        <f t="shared" si="85"/>
        <v>2.2519104403699204E-3</v>
      </c>
      <c r="K2306" s="16">
        <f t="shared" si="84"/>
        <v>1.2676236535215098E-2</v>
      </c>
      <c r="L2306" s="16">
        <f t="shared" si="84"/>
        <v>1.2627517918103862E-2</v>
      </c>
    </row>
    <row r="2307" spans="1:12" x14ac:dyDescent="0.35">
      <c r="A2307" s="18">
        <v>45601</v>
      </c>
      <c r="B2307" s="15">
        <v>571.3526611328125</v>
      </c>
      <c r="C2307" s="15">
        <v>70.703102111816406</v>
      </c>
      <c r="D2307" s="15">
        <v>253.3999938964844</v>
      </c>
      <c r="E2307" s="15">
        <v>490.1353759765625</v>
      </c>
      <c r="F2307" s="15">
        <v>282.5352783203125</v>
      </c>
      <c r="H2307" s="16">
        <f t="shared" si="85"/>
        <v>2.4561489759893831E-2</v>
      </c>
      <c r="I2307" s="16">
        <f t="shared" si="85"/>
        <v>-8.2520817599151895E-3</v>
      </c>
      <c r="J2307" s="16">
        <f t="shared" si="85"/>
        <v>-3.0857976694085631E-2</v>
      </c>
      <c r="K2307" s="16">
        <f t="shared" si="84"/>
        <v>2.6800795798483455E-2</v>
      </c>
      <c r="L2307" s="16">
        <f t="shared" si="84"/>
        <v>2.7586561161894608E-2</v>
      </c>
    </row>
    <row r="2308" spans="1:12" x14ac:dyDescent="0.35">
      <c r="A2308" s="18">
        <v>45602</v>
      </c>
      <c r="B2308" s="15">
        <v>585.5596923828125</v>
      </c>
      <c r="C2308" s="15">
        <v>70.122055053710938</v>
      </c>
      <c r="D2308" s="15">
        <v>245.69999694824219</v>
      </c>
      <c r="E2308" s="15">
        <v>503.44900512695313</v>
      </c>
      <c r="F2308" s="15">
        <v>290.43795776367188</v>
      </c>
      <c r="H2308" s="16">
        <f t="shared" si="85"/>
        <v>7.7023296610354694E-3</v>
      </c>
      <c r="I2308" s="16">
        <f t="shared" si="85"/>
        <v>7.4299204074120039E-3</v>
      </c>
      <c r="J2308" s="16">
        <f t="shared" si="85"/>
        <v>1.5948645391861378E-2</v>
      </c>
      <c r="K2308" s="16">
        <f t="shared" si="84"/>
        <v>1.5621525807931204E-2</v>
      </c>
      <c r="L2308" s="16">
        <f t="shared" si="84"/>
        <v>6.96554480881925E-3</v>
      </c>
    </row>
    <row r="2309" spans="1:12" x14ac:dyDescent="0.35">
      <c r="A2309" s="18">
        <v>45603</v>
      </c>
      <c r="B2309" s="15">
        <v>590.0872802734375</v>
      </c>
      <c r="C2309" s="15">
        <v>70.644996643066406</v>
      </c>
      <c r="D2309" s="15">
        <v>249.6499938964844</v>
      </c>
      <c r="E2309" s="15">
        <v>511.37539672851563</v>
      </c>
      <c r="F2309" s="15">
        <v>292.46807861328119</v>
      </c>
      <c r="H2309" s="16">
        <f t="shared" si="85"/>
        <v>4.3224654534731143E-3</v>
      </c>
      <c r="I2309" s="16">
        <f t="shared" si="85"/>
        <v>1.9173619977219257E-3</v>
      </c>
      <c r="J2309" s="16">
        <f t="shared" si="85"/>
        <v>-6.7924425881974865E-3</v>
      </c>
      <c r="K2309" s="16">
        <f t="shared" si="84"/>
        <v>1.1678618730803297E-3</v>
      </c>
      <c r="L2309" s="16">
        <f t="shared" si="84"/>
        <v>4.6618937157251478E-3</v>
      </c>
    </row>
    <row r="2310" spans="1:12" x14ac:dyDescent="0.35">
      <c r="A2310" s="18">
        <v>45604</v>
      </c>
      <c r="B2310" s="15">
        <v>592.6434326171875</v>
      </c>
      <c r="C2310" s="15">
        <v>70.78057861328125</v>
      </c>
      <c r="D2310" s="15">
        <v>247.96000671386719</v>
      </c>
      <c r="E2310" s="15">
        <v>511.97296142578119</v>
      </c>
      <c r="F2310" s="15">
        <v>293.834716796875</v>
      </c>
      <c r="H2310" s="16">
        <f t="shared" si="85"/>
        <v>9.522883302696966E-4</v>
      </c>
      <c r="I2310" s="16">
        <f t="shared" si="85"/>
        <v>-1.917361997722035E-3</v>
      </c>
      <c r="J2310" s="16">
        <f t="shared" si="85"/>
        <v>-2.3751401151192061E-2</v>
      </c>
      <c r="K2310" s="16">
        <f t="shared" si="84"/>
        <v>-5.8361134239275623E-4</v>
      </c>
      <c r="L2310" s="16">
        <f t="shared" si="84"/>
        <v>2.7934511601839847E-3</v>
      </c>
    </row>
    <row r="2311" spans="1:12" x14ac:dyDescent="0.35">
      <c r="A2311" s="18">
        <v>45607</v>
      </c>
      <c r="B2311" s="15">
        <v>593.20806884765625</v>
      </c>
      <c r="C2311" s="15">
        <v>70.644996643066406</v>
      </c>
      <c r="D2311" s="15">
        <v>242.13999938964841</v>
      </c>
      <c r="E2311" s="15">
        <v>511.67425537109381</v>
      </c>
      <c r="F2311" s="15">
        <v>294.65667724609381</v>
      </c>
      <c r="H2311" s="16">
        <f t="shared" si="85"/>
        <v>-3.1110823848089493E-3</v>
      </c>
      <c r="I2311" s="16">
        <f t="shared" si="85"/>
        <v>-6.0497452799112934E-3</v>
      </c>
      <c r="J2311" s="16">
        <f t="shared" si="85"/>
        <v>-8.6688210689801325E-3</v>
      </c>
      <c r="K2311" s="16">
        <f t="shared" si="84"/>
        <v>-1.8116136779967504E-3</v>
      </c>
      <c r="L2311" s="16">
        <f t="shared" si="84"/>
        <v>-3.9399919788070279E-3</v>
      </c>
    </row>
    <row r="2312" spans="1:12" x14ac:dyDescent="0.35">
      <c r="A2312" s="18">
        <v>45608</v>
      </c>
      <c r="B2312" s="15">
        <v>591.36541748046875</v>
      </c>
      <c r="C2312" s="15">
        <v>70.218902587890625</v>
      </c>
      <c r="D2312" s="15">
        <v>240.05000305175781</v>
      </c>
      <c r="E2312" s="15">
        <v>510.74813842773438</v>
      </c>
      <c r="F2312" s="15">
        <v>293.49801635742188</v>
      </c>
      <c r="H2312" s="16">
        <f t="shared" si="85"/>
        <v>4.8569414018670101E-4</v>
      </c>
      <c r="I2312" s="16">
        <f t="shared" si="85"/>
        <v>-4.1404821612388992E-4</v>
      </c>
      <c r="J2312" s="16">
        <f t="shared" si="85"/>
        <v>-1.0132384997697268E-2</v>
      </c>
      <c r="K2312" s="16">
        <f t="shared" si="84"/>
        <v>-1.2876205178796027E-3</v>
      </c>
      <c r="L2312" s="16">
        <f t="shared" si="84"/>
        <v>-4.7248739486924348E-4</v>
      </c>
    </row>
    <row r="2313" spans="1:12" x14ac:dyDescent="0.35">
      <c r="A2313" s="18">
        <v>45609</v>
      </c>
      <c r="B2313" s="15">
        <v>591.6527099609375</v>
      </c>
      <c r="C2313" s="15">
        <v>70.189834594726563</v>
      </c>
      <c r="D2313" s="15">
        <v>237.6300048828125</v>
      </c>
      <c r="E2313" s="15">
        <v>510.09091186523438</v>
      </c>
      <c r="F2313" s="15">
        <v>293.359375</v>
      </c>
      <c r="H2313" s="16">
        <f t="shared" si="85"/>
        <v>-6.4510633922005576E-3</v>
      </c>
      <c r="I2313" s="16">
        <f t="shared" si="85"/>
        <v>-2.7569251067194398E-4</v>
      </c>
      <c r="J2313" s="16">
        <f t="shared" si="85"/>
        <v>-2.6125515313784047E-3</v>
      </c>
      <c r="K2313" s="16">
        <f t="shared" si="84"/>
        <v>-6.9739094853409865E-3</v>
      </c>
      <c r="L2313" s="16">
        <f t="shared" si="84"/>
        <v>-7.4203137576148749E-3</v>
      </c>
    </row>
    <row r="2314" spans="1:12" x14ac:dyDescent="0.35">
      <c r="A2314" s="18">
        <v>45610</v>
      </c>
      <c r="B2314" s="15">
        <v>587.84820556640625</v>
      </c>
      <c r="C2314" s="15">
        <v>70.170486450195313</v>
      </c>
      <c r="D2314" s="15">
        <v>237.00999450683591</v>
      </c>
      <c r="E2314" s="15">
        <v>506.54595947265619</v>
      </c>
      <c r="F2314" s="15">
        <v>291.19061279296881</v>
      </c>
      <c r="H2314" s="16">
        <f t="shared" si="85"/>
        <v>-1.2891386469635332E-2</v>
      </c>
      <c r="I2314" s="16">
        <f t="shared" si="85"/>
        <v>2.7569251067200475E-4</v>
      </c>
      <c r="J2314" s="16">
        <f t="shared" si="85"/>
        <v>-1.7736414154014318E-3</v>
      </c>
      <c r="K2314" s="16">
        <f t="shared" si="84"/>
        <v>-2.4114441289856049E-2</v>
      </c>
      <c r="L2314" s="16">
        <f t="shared" si="84"/>
        <v>-1.276657718861182E-2</v>
      </c>
    </row>
    <row r="2315" spans="1:12" x14ac:dyDescent="0.35">
      <c r="A2315" s="18">
        <v>45611</v>
      </c>
      <c r="B2315" s="15">
        <v>580.31866455078125</v>
      </c>
      <c r="C2315" s="15">
        <v>70.189834594726563</v>
      </c>
      <c r="D2315" s="15">
        <v>236.5899963378906</v>
      </c>
      <c r="E2315" s="15">
        <v>494.47698974609381</v>
      </c>
      <c r="F2315" s="15">
        <v>287.49673461914063</v>
      </c>
      <c r="H2315" s="16">
        <f t="shared" si="85"/>
        <v>4.0890455424886941E-3</v>
      </c>
      <c r="I2315" s="16">
        <f t="shared" si="85"/>
        <v>9.6573736941701872E-4</v>
      </c>
      <c r="J2315" s="16">
        <f t="shared" si="85"/>
        <v>1.884162282592499E-2</v>
      </c>
      <c r="K2315" s="16">
        <f t="shared" si="84"/>
        <v>6.9236921267338894E-3</v>
      </c>
      <c r="L2315" s="16">
        <f t="shared" si="84"/>
        <v>4.0564306771236703E-3</v>
      </c>
    </row>
    <row r="2316" spans="1:12" x14ac:dyDescent="0.35">
      <c r="A2316" s="18">
        <v>45614</v>
      </c>
      <c r="B2316" s="15">
        <v>582.69647216796875</v>
      </c>
      <c r="C2316" s="15">
        <v>70.257652282714844</v>
      </c>
      <c r="D2316" s="15">
        <v>241.0899963378906</v>
      </c>
      <c r="E2316" s="15">
        <v>497.9124755859375</v>
      </c>
      <c r="F2316" s="15">
        <v>288.66531372070313</v>
      </c>
      <c r="H2316" s="16">
        <f t="shared" si="85"/>
        <v>3.6487629598781512E-3</v>
      </c>
      <c r="I2316" s="16">
        <f t="shared" si="85"/>
        <v>1.7900505704198755E-3</v>
      </c>
      <c r="J2316" s="16">
        <f t="shared" si="85"/>
        <v>8.9194284947082397E-3</v>
      </c>
      <c r="K2316" s="16">
        <f t="shared" si="84"/>
        <v>6.8561181442994903E-3</v>
      </c>
      <c r="L2316" s="16">
        <f t="shared" si="84"/>
        <v>4.586470902271135E-3</v>
      </c>
    </row>
    <row r="2317" spans="1:12" x14ac:dyDescent="0.35">
      <c r="A2317" s="18">
        <v>45615</v>
      </c>
      <c r="B2317" s="15">
        <v>584.82647705078125</v>
      </c>
      <c r="C2317" s="15">
        <v>70.383529663085938</v>
      </c>
      <c r="D2317" s="15">
        <v>243.25</v>
      </c>
      <c r="E2317" s="15">
        <v>501.33795166015619</v>
      </c>
      <c r="F2317" s="15">
        <v>289.9923095703125</v>
      </c>
      <c r="H2317" s="16">
        <f t="shared" si="85"/>
        <v>3.3881431280844104E-4</v>
      </c>
      <c r="I2317" s="16">
        <f t="shared" si="85"/>
        <v>-1.1014908330767112E-3</v>
      </c>
      <c r="J2317" s="16">
        <f t="shared" si="85"/>
        <v>5.6162450322957656E-3</v>
      </c>
      <c r="K2317" s="16">
        <f t="shared" si="84"/>
        <v>-5.7613933570386535E-4</v>
      </c>
      <c r="L2317" s="16">
        <f t="shared" si="84"/>
        <v>5.8052271186835927E-4</v>
      </c>
    </row>
    <row r="2318" spans="1:12" x14ac:dyDescent="0.35">
      <c r="A2318" s="18">
        <v>45616</v>
      </c>
      <c r="B2318" s="15">
        <v>585.024658203125</v>
      </c>
      <c r="C2318" s="15">
        <v>70.306045532226563</v>
      </c>
      <c r="D2318" s="15">
        <v>244.6199951171875</v>
      </c>
      <c r="E2318" s="15">
        <v>501.0491943359375</v>
      </c>
      <c r="F2318" s="15">
        <v>290.16070556640619</v>
      </c>
      <c r="H2318" s="16">
        <f t="shared" si="85"/>
        <v>5.3539013917769489E-3</v>
      </c>
      <c r="I2318" s="16">
        <f t="shared" si="85"/>
        <v>-5.5098357821659158E-4</v>
      </c>
      <c r="J2318" s="16">
        <f t="shared" si="85"/>
        <v>8.3049188862224926E-3</v>
      </c>
      <c r="K2318" s="16">
        <f t="shared" si="84"/>
        <v>3.5907943115368072E-3</v>
      </c>
      <c r="L2318" s="16">
        <f t="shared" si="84"/>
        <v>6.9720728819002101E-3</v>
      </c>
    </row>
    <row r="2319" spans="1:12" x14ac:dyDescent="0.35">
      <c r="A2319" s="18">
        <v>45617</v>
      </c>
      <c r="B2319" s="15">
        <v>588.16522216796875</v>
      </c>
      <c r="C2319" s="15">
        <v>70.267318725585938</v>
      </c>
      <c r="D2319" s="15">
        <v>246.6600036621094</v>
      </c>
      <c r="E2319" s="15">
        <v>502.85159301757813</v>
      </c>
      <c r="F2319" s="15">
        <v>292.1907958984375</v>
      </c>
      <c r="H2319" s="16">
        <f t="shared" si="85"/>
        <v>3.0947759044845347E-3</v>
      </c>
      <c r="I2319" s="16">
        <f t="shared" si="85"/>
        <v>4.1337467379169848E-4</v>
      </c>
      <c r="J2319" s="16">
        <f t="shared" si="85"/>
        <v>1.2809813332371637E-2</v>
      </c>
      <c r="K2319" s="16">
        <f t="shared" si="84"/>
        <v>1.6026655615351143E-3</v>
      </c>
      <c r="L2319" s="16">
        <f t="shared" si="84"/>
        <v>4.9362493536126342E-3</v>
      </c>
    </row>
    <row r="2320" spans="1:12" x14ac:dyDescent="0.35">
      <c r="A2320" s="18">
        <v>45618</v>
      </c>
      <c r="B2320" s="15">
        <v>589.98828125</v>
      </c>
      <c r="C2320" s="15">
        <v>70.296371459960938</v>
      </c>
      <c r="D2320" s="15">
        <v>249.8399963378906</v>
      </c>
      <c r="E2320" s="15">
        <v>503.65814208984381</v>
      </c>
      <c r="F2320" s="15">
        <v>293.63668823242188</v>
      </c>
      <c r="H2320" s="16">
        <f t="shared" si="85"/>
        <v>3.3862271251104033E-3</v>
      </c>
      <c r="I2320" s="16">
        <f t="shared" si="85"/>
        <v>9.1876458160578788E-3</v>
      </c>
      <c r="J2320" s="16">
        <f t="shared" si="85"/>
        <v>-2.9901483187305549E-2</v>
      </c>
      <c r="K2320" s="16">
        <f t="shared" si="84"/>
        <v>1.5804400743387992E-3</v>
      </c>
      <c r="L2320" s="16">
        <f t="shared" si="84"/>
        <v>4.8781833713825639E-3</v>
      </c>
    </row>
    <row r="2321" spans="1:12" x14ac:dyDescent="0.35">
      <c r="A2321" s="18">
        <v>45621</v>
      </c>
      <c r="B2321" s="15">
        <v>591.989501953125</v>
      </c>
      <c r="C2321" s="15">
        <v>70.945205688476563</v>
      </c>
      <c r="D2321" s="15">
        <v>242.47999572753909</v>
      </c>
      <c r="E2321" s="15">
        <v>504.45477294921881</v>
      </c>
      <c r="F2321" s="15">
        <v>295.07260131835938</v>
      </c>
      <c r="H2321" s="16">
        <f t="shared" si="85"/>
        <v>5.2079005644099707E-3</v>
      </c>
      <c r="I2321" s="16">
        <f t="shared" si="85"/>
        <v>-1.7759738078228682E-3</v>
      </c>
      <c r="J2321" s="16">
        <f t="shared" si="85"/>
        <v>1.9364331609541994E-3</v>
      </c>
      <c r="K2321" s="16">
        <f t="shared" si="84"/>
        <v>5.3548530953614372E-3</v>
      </c>
      <c r="L2321" s="16">
        <f t="shared" si="84"/>
        <v>3.6515340614461118E-3</v>
      </c>
    </row>
    <row r="2322" spans="1:12" x14ac:dyDescent="0.35">
      <c r="A2322" s="18">
        <v>45622</v>
      </c>
      <c r="B2322" s="15">
        <v>595.08056640625</v>
      </c>
      <c r="C2322" s="15">
        <v>70.819320678710938</v>
      </c>
      <c r="D2322" s="15">
        <v>242.94999694824219</v>
      </c>
      <c r="E2322" s="15">
        <v>507.16329956054688</v>
      </c>
      <c r="F2322" s="15">
        <v>296.15203857421881</v>
      </c>
      <c r="H2322" s="16">
        <f t="shared" si="85"/>
        <v>-3.0347135268257094E-3</v>
      </c>
      <c r="I2322" s="16">
        <f t="shared" si="85"/>
        <v>2.731003897752258E-3</v>
      </c>
      <c r="J2322" s="16">
        <f t="shared" si="85"/>
        <v>2.2202481870022992E-3</v>
      </c>
      <c r="K2322" s="16">
        <f t="shared" si="84"/>
        <v>-7.9045658373917867E-3</v>
      </c>
      <c r="L2322" s="16">
        <f t="shared" si="84"/>
        <v>-2.846289101850915E-3</v>
      </c>
    </row>
    <row r="2323" spans="1:12" x14ac:dyDescent="0.35">
      <c r="A2323" s="18">
        <v>45623</v>
      </c>
      <c r="B2323" s="15">
        <v>593.27740478515625</v>
      </c>
      <c r="C2323" s="15">
        <v>71.012992858886719</v>
      </c>
      <c r="D2323" s="15">
        <v>243.49000549316409</v>
      </c>
      <c r="E2323" s="15">
        <v>503.17019653320313</v>
      </c>
      <c r="F2323" s="15">
        <v>295.310302734375</v>
      </c>
      <c r="H2323" s="16">
        <f t="shared" si="85"/>
        <v>6.1929653692119691E-3</v>
      </c>
      <c r="I2323" s="16">
        <f t="shared" si="85"/>
        <v>3.6750908660863678E-3</v>
      </c>
      <c r="J2323" s="16">
        <f t="shared" si="85"/>
        <v>8.5875674425340224E-3</v>
      </c>
      <c r="K2323" s="16">
        <f t="shared" si="85"/>
        <v>8.7484379985614553E-3</v>
      </c>
      <c r="L2323" s="16">
        <f t="shared" si="85"/>
        <v>5.5512177883029548E-3</v>
      </c>
    </row>
    <row r="2324" spans="1:12" x14ac:dyDescent="0.35">
      <c r="A2324" s="18">
        <v>45625</v>
      </c>
      <c r="B2324" s="15">
        <v>596.96295166015625</v>
      </c>
      <c r="C2324" s="15">
        <v>71.274452209472656</v>
      </c>
      <c r="D2324" s="15">
        <v>245.5899963378906</v>
      </c>
      <c r="E2324" s="15">
        <v>507.59146118164063</v>
      </c>
      <c r="F2324" s="15">
        <v>296.95419311523438</v>
      </c>
      <c r="H2324" s="16">
        <f t="shared" ref="H2324:K2387" si="86">LN(B2325/B2324)</f>
        <v>1.7908138440446821E-3</v>
      </c>
      <c r="I2324" s="16">
        <f t="shared" si="86"/>
        <v>5.8599292428545581E-4</v>
      </c>
      <c r="J2324" s="16">
        <f t="shared" si="86"/>
        <v>-8.7929483026941008E-3</v>
      </c>
      <c r="K2324" s="16">
        <f t="shared" si="86"/>
        <v>1.0829125244783307E-2</v>
      </c>
      <c r="L2324" s="16">
        <f t="shared" ref="L2324:L2387" si="87">LN(F2325/F2324)</f>
        <v>1.8991070605276976E-3</v>
      </c>
    </row>
    <row r="2325" spans="1:12" x14ac:dyDescent="0.35">
      <c r="A2325" s="18">
        <v>45628</v>
      </c>
      <c r="B2325" s="15">
        <v>598.032958984375</v>
      </c>
      <c r="C2325" s="15">
        <v>71.316230773925781</v>
      </c>
      <c r="D2325" s="15">
        <v>243.44000244140619</v>
      </c>
      <c r="E2325" s="15">
        <v>513.11810302734375</v>
      </c>
      <c r="F2325" s="15">
        <v>297.5186767578125</v>
      </c>
      <c r="H2325" s="16">
        <f t="shared" si="86"/>
        <v>4.6355045884907898E-4</v>
      </c>
      <c r="I2325" s="16">
        <f t="shared" si="86"/>
        <v>-2.3181551602354093E-3</v>
      </c>
      <c r="J2325" s="16">
        <f t="shared" si="86"/>
        <v>2.0107532444556663E-3</v>
      </c>
      <c r="K2325" s="16">
        <f t="shared" si="86"/>
        <v>3.0614708995856978E-3</v>
      </c>
      <c r="L2325" s="16">
        <f t="shared" si="87"/>
        <v>0</v>
      </c>
    </row>
    <row r="2326" spans="1:12" x14ac:dyDescent="0.35">
      <c r="A2326" s="18">
        <v>45629</v>
      </c>
      <c r="B2326" s="15">
        <v>598.31024169921875</v>
      </c>
      <c r="C2326" s="15">
        <v>71.151100158691406</v>
      </c>
      <c r="D2326" s="15">
        <v>243.92999267578119</v>
      </c>
      <c r="E2326" s="15">
        <v>514.69140625</v>
      </c>
      <c r="F2326" s="15">
        <v>297.5186767578125</v>
      </c>
      <c r="H2326" s="16">
        <f t="shared" si="86"/>
        <v>6.1904060541926424E-3</v>
      </c>
      <c r="I2326" s="16">
        <f t="shared" si="86"/>
        <v>3.4071510271883876E-3</v>
      </c>
      <c r="J2326" s="16">
        <f t="shared" si="86"/>
        <v>3.0290874860778817E-3</v>
      </c>
      <c r="K2326" s="16">
        <f t="shared" si="86"/>
        <v>1.2287141342387373E-2</v>
      </c>
      <c r="L2326" s="16">
        <f t="shared" si="87"/>
        <v>6.7013017003627953E-3</v>
      </c>
    </row>
    <row r="2327" spans="1:12" x14ac:dyDescent="0.35">
      <c r="A2327" s="18">
        <v>45630</v>
      </c>
      <c r="B2327" s="15">
        <v>602.0255126953125</v>
      </c>
      <c r="C2327" s="15">
        <v>71.393936157226563</v>
      </c>
      <c r="D2327" s="15">
        <v>244.66999816894531</v>
      </c>
      <c r="E2327" s="15">
        <v>521.05450439453125</v>
      </c>
      <c r="F2327" s="15">
        <v>299.51913452148438</v>
      </c>
      <c r="H2327" s="16">
        <f t="shared" si="86"/>
        <v>-1.6470045233028506E-3</v>
      </c>
      <c r="I2327" s="16">
        <f t="shared" si="86"/>
        <v>1.3613462945126148E-4</v>
      </c>
      <c r="J2327" s="16">
        <f t="shared" si="86"/>
        <v>-7.4252082091733696E-3</v>
      </c>
      <c r="K2327" s="16">
        <f t="shared" si="86"/>
        <v>-2.7749746154396558E-3</v>
      </c>
      <c r="L2327" s="16">
        <f t="shared" si="87"/>
        <v>-2.7813469458068218E-3</v>
      </c>
    </row>
    <row r="2328" spans="1:12" x14ac:dyDescent="0.35">
      <c r="A2328" s="18">
        <v>45631</v>
      </c>
      <c r="B2328" s="15">
        <v>601.0347900390625</v>
      </c>
      <c r="C2328" s="15">
        <v>71.403656005859375</v>
      </c>
      <c r="D2328" s="15">
        <v>242.86000061035159</v>
      </c>
      <c r="E2328" s="15">
        <v>519.610595703125</v>
      </c>
      <c r="F2328" s="15">
        <v>298.68722534179688</v>
      </c>
      <c r="H2328" s="16">
        <f t="shared" si="86"/>
        <v>1.8939430344358098E-3</v>
      </c>
      <c r="I2328" s="16">
        <f t="shared" si="86"/>
        <v>2.7167833437783816E-3</v>
      </c>
      <c r="J2328" s="16">
        <f t="shared" si="86"/>
        <v>3.7050015179735339E-4</v>
      </c>
      <c r="K2328" s="16">
        <f t="shared" si="86"/>
        <v>8.90983279107007E-3</v>
      </c>
      <c r="L2328" s="16">
        <f t="shared" si="87"/>
        <v>2.7813469458069086E-3</v>
      </c>
    </row>
    <row r="2329" spans="1:12" x14ac:dyDescent="0.35">
      <c r="A2329" s="18">
        <v>45632</v>
      </c>
      <c r="B2329" s="15">
        <v>602.1741943359375</v>
      </c>
      <c r="C2329" s="15">
        <v>71.597908020019531</v>
      </c>
      <c r="D2329" s="15">
        <v>242.94999694824219</v>
      </c>
      <c r="E2329" s="15">
        <v>524.26092529296875</v>
      </c>
      <c r="F2329" s="15">
        <v>299.51913452148438</v>
      </c>
      <c r="H2329" s="16">
        <f t="shared" si="86"/>
        <v>-5.1629999538789087E-3</v>
      </c>
      <c r="I2329" s="16">
        <f t="shared" si="86"/>
        <v>-2.9891780157388637E-3</v>
      </c>
      <c r="J2329" s="16">
        <f t="shared" si="86"/>
        <v>9.8708740029185924E-3</v>
      </c>
      <c r="K2329" s="16">
        <f t="shared" si="86"/>
        <v>-7.8180206855937868E-3</v>
      </c>
      <c r="L2329" s="16">
        <f t="shared" si="87"/>
        <v>-6.4018314732594951E-3</v>
      </c>
    </row>
    <row r="2330" spans="1:12" x14ac:dyDescent="0.35">
      <c r="A2330" s="18">
        <v>45635</v>
      </c>
      <c r="B2330" s="15">
        <v>599.07318115234375</v>
      </c>
      <c r="C2330" s="15">
        <v>71.384208679199219</v>
      </c>
      <c r="D2330" s="15">
        <v>245.36000061035159</v>
      </c>
      <c r="E2330" s="15">
        <v>520.17822265625</v>
      </c>
      <c r="F2330" s="15">
        <v>297.6077880859375</v>
      </c>
      <c r="H2330" s="16">
        <f t="shared" si="86"/>
        <v>-3.1138937301229308E-3</v>
      </c>
      <c r="I2330" s="16">
        <f t="shared" si="86"/>
        <v>-1.0890373501620224E-3</v>
      </c>
      <c r="J2330" s="16">
        <f t="shared" si="86"/>
        <v>1.3078415980993706E-2</v>
      </c>
      <c r="K2330" s="16">
        <f t="shared" si="86"/>
        <v>-3.4133470657198113E-3</v>
      </c>
      <c r="L2330" s="16">
        <f t="shared" si="87"/>
        <v>-3.7671313314254213E-3</v>
      </c>
    </row>
    <row r="2331" spans="1:12" x14ac:dyDescent="0.35">
      <c r="A2331" s="18">
        <v>45636</v>
      </c>
      <c r="B2331" s="15">
        <v>597.21063232421875</v>
      </c>
      <c r="C2331" s="15">
        <v>71.306510925292969</v>
      </c>
      <c r="D2331" s="15">
        <v>248.5899963378906</v>
      </c>
      <c r="E2331" s="15">
        <v>518.40570068359375</v>
      </c>
      <c r="F2331" s="15">
        <v>296.48876953125</v>
      </c>
      <c r="H2331" s="16">
        <f t="shared" si="86"/>
        <v>7.7008117731922265E-3</v>
      </c>
      <c r="I2331" s="16">
        <f t="shared" si="86"/>
        <v>-2.1818536345171377E-3</v>
      </c>
      <c r="J2331" s="16">
        <f t="shared" si="86"/>
        <v>9.4886523605950904E-3</v>
      </c>
      <c r="K2331" s="16">
        <f t="shared" si="86"/>
        <v>1.7744144450303406E-2</v>
      </c>
      <c r="L2331" s="16">
        <f t="shared" si="87"/>
        <v>8.0173101470311509E-3</v>
      </c>
    </row>
    <row r="2332" spans="1:12" x14ac:dyDescent="0.35">
      <c r="A2332" s="18">
        <v>45637</v>
      </c>
      <c r="B2332" s="15">
        <v>601.827392578125</v>
      </c>
      <c r="C2332" s="15">
        <v>71.151100158691406</v>
      </c>
      <c r="D2332" s="15">
        <v>250.96000671386719</v>
      </c>
      <c r="E2332" s="15">
        <v>527.68646240234375</v>
      </c>
      <c r="F2332" s="15">
        <v>298.8753662109375</v>
      </c>
      <c r="H2332" s="16">
        <f t="shared" si="86"/>
        <v>-5.1658808780781027E-3</v>
      </c>
      <c r="I2332" s="16">
        <f t="shared" si="86"/>
        <v>-3.9670400167560295E-3</v>
      </c>
      <c r="J2332" s="16">
        <f t="shared" si="86"/>
        <v>-1.4772297747821468E-2</v>
      </c>
      <c r="K2332" s="16">
        <f t="shared" si="86"/>
        <v>-6.4748240643389401E-3</v>
      </c>
      <c r="L2332" s="16">
        <f t="shared" si="87"/>
        <v>-5.7153597937753663E-3</v>
      </c>
    </row>
    <row r="2333" spans="1:12" x14ac:dyDescent="0.35">
      <c r="A2333" s="18">
        <v>45638</v>
      </c>
      <c r="B2333" s="15">
        <v>598.7264404296875</v>
      </c>
      <c r="C2333" s="15">
        <v>70.869400024414063</v>
      </c>
      <c r="D2333" s="15">
        <v>247.2799987792969</v>
      </c>
      <c r="E2333" s="15">
        <v>524.28082275390625</v>
      </c>
      <c r="F2333" s="15">
        <v>297.17205810546881</v>
      </c>
      <c r="H2333" s="16">
        <f t="shared" si="86"/>
        <v>-1.9850007617258896E-4</v>
      </c>
      <c r="I2333" s="16">
        <f t="shared" si="86"/>
        <v>-3.9827320398075506E-3</v>
      </c>
      <c r="J2333" s="16">
        <f t="shared" si="86"/>
        <v>-1.2165276223374532E-2</v>
      </c>
      <c r="K2333" s="16">
        <f t="shared" si="86"/>
        <v>7.6252658200104502E-3</v>
      </c>
      <c r="L2333" s="16">
        <f t="shared" si="87"/>
        <v>-4.9993321740510145E-4</v>
      </c>
    </row>
    <row r="2334" spans="1:12" x14ac:dyDescent="0.35">
      <c r="A2334" s="18">
        <v>45639</v>
      </c>
      <c r="B2334" s="15">
        <v>598.60760498046875</v>
      </c>
      <c r="C2334" s="15">
        <v>70.58770751953125</v>
      </c>
      <c r="D2334" s="15">
        <v>244.28999328613281</v>
      </c>
      <c r="E2334" s="15">
        <v>528.29388427734375</v>
      </c>
      <c r="F2334" s="15">
        <v>297.02352905273438</v>
      </c>
      <c r="H2334" s="16">
        <f t="shared" si="86"/>
        <v>4.2608691636900941E-3</v>
      </c>
      <c r="I2334" s="16">
        <f t="shared" si="86"/>
        <v>1.1003369852128333E-3</v>
      </c>
      <c r="J2334" s="16">
        <f t="shared" si="86"/>
        <v>2.4122979128055199E-3</v>
      </c>
      <c r="K2334" s="16">
        <f t="shared" si="86"/>
        <v>1.4297969286289375E-2</v>
      </c>
      <c r="L2334" s="16">
        <f t="shared" si="87"/>
        <v>4.0593077450921129E-3</v>
      </c>
    </row>
    <row r="2335" spans="1:12" x14ac:dyDescent="0.35">
      <c r="A2335" s="18">
        <v>45642</v>
      </c>
      <c r="B2335" s="15">
        <v>601.16363525390625</v>
      </c>
      <c r="C2335" s="15">
        <v>70.665420532226563</v>
      </c>
      <c r="D2335" s="15">
        <v>244.8800048828125</v>
      </c>
      <c r="E2335" s="15">
        <v>535.90167236328125</v>
      </c>
      <c r="F2335" s="15">
        <v>298.231689453125</v>
      </c>
      <c r="H2335" s="16">
        <f t="shared" si="86"/>
        <v>-4.1286333500322649E-3</v>
      </c>
      <c r="I2335" s="16">
        <f t="shared" si="86"/>
        <v>1.3753799454799558E-4</v>
      </c>
      <c r="J2335" s="16">
        <f t="shared" si="86"/>
        <v>-3.8460111534538511E-3</v>
      </c>
      <c r="K2335" s="16">
        <f t="shared" si="86"/>
        <v>-4.4136051373746535E-3</v>
      </c>
      <c r="L2335" s="16">
        <f t="shared" si="87"/>
        <v>-4.9599618234652193E-3</v>
      </c>
    </row>
    <row r="2336" spans="1:12" x14ac:dyDescent="0.35">
      <c r="A2336" s="18">
        <v>45643</v>
      </c>
      <c r="B2336" s="15">
        <v>598.686767578125</v>
      </c>
      <c r="C2336" s="15">
        <v>70.675140380859375</v>
      </c>
      <c r="D2336" s="15">
        <v>243.94000244140619</v>
      </c>
      <c r="E2336" s="15">
        <v>533.5416259765625</v>
      </c>
      <c r="F2336" s="15">
        <v>296.75613403320313</v>
      </c>
      <c r="H2336" s="16">
        <f t="shared" si="86"/>
        <v>-3.0256642874310565E-2</v>
      </c>
      <c r="I2336" s="16">
        <f t="shared" si="86"/>
        <v>-7.8649003343417134E-3</v>
      </c>
      <c r="J2336" s="16">
        <f t="shared" si="86"/>
        <v>-1.937149963953233E-2</v>
      </c>
      <c r="K2336" s="16">
        <f t="shared" si="86"/>
        <v>-3.674377347377919E-2</v>
      </c>
      <c r="L2336" s="16">
        <f t="shared" si="87"/>
        <v>-3.1423676028647665E-2</v>
      </c>
    </row>
    <row r="2337" spans="1:12" x14ac:dyDescent="0.35">
      <c r="A2337" s="18">
        <v>45644</v>
      </c>
      <c r="B2337" s="15">
        <v>580.84381103515625</v>
      </c>
      <c r="C2337" s="15">
        <v>70.121467590332031</v>
      </c>
      <c r="D2337" s="15">
        <v>239.25999450683591</v>
      </c>
      <c r="E2337" s="15">
        <v>514.2930908203125</v>
      </c>
      <c r="F2337" s="15">
        <v>287.57595825195313</v>
      </c>
      <c r="H2337" s="16">
        <f t="shared" si="86"/>
        <v>-3.0719646579944804E-4</v>
      </c>
      <c r="I2337" s="16">
        <f t="shared" si="86"/>
        <v>-2.7741750130174793E-3</v>
      </c>
      <c r="J2337" s="16">
        <f t="shared" si="86"/>
        <v>1.4200879312812307E-3</v>
      </c>
      <c r="K2337" s="16">
        <f t="shared" si="86"/>
        <v>-4.4632098959511736E-3</v>
      </c>
      <c r="L2337" s="16">
        <f t="shared" si="87"/>
        <v>-1.4128188453013816E-3</v>
      </c>
    </row>
    <row r="2338" spans="1:12" x14ac:dyDescent="0.35">
      <c r="A2338" s="18">
        <v>45645</v>
      </c>
      <c r="B2338" s="15">
        <v>580.6654052734375</v>
      </c>
      <c r="C2338" s="15">
        <v>69.927207946777344</v>
      </c>
      <c r="D2338" s="15">
        <v>239.6000061035156</v>
      </c>
      <c r="E2338" s="15">
        <v>512.0028076171875</v>
      </c>
      <c r="F2338" s="15">
        <v>287.16995239257813</v>
      </c>
      <c r="H2338" s="16">
        <f t="shared" si="86"/>
        <v>1.1939532412140109E-2</v>
      </c>
      <c r="I2338" s="16">
        <f t="shared" si="86"/>
        <v>3.0513654913193987E-3</v>
      </c>
      <c r="J2338" s="16">
        <f t="shared" si="86"/>
        <v>1.037999743966833E-2</v>
      </c>
      <c r="K2338" s="16">
        <f t="shared" si="86"/>
        <v>8.6946015777742015E-3</v>
      </c>
      <c r="L2338" s="16">
        <f t="shared" si="87"/>
        <v>1.1315773849383471E-2</v>
      </c>
    </row>
    <row r="2339" spans="1:12" x14ac:dyDescent="0.35">
      <c r="A2339" s="18">
        <v>45646</v>
      </c>
      <c r="B2339" s="15">
        <v>587.63983154296875</v>
      </c>
      <c r="C2339" s="15">
        <v>70.140907287597656</v>
      </c>
      <c r="D2339" s="15">
        <v>242.1000061035156</v>
      </c>
      <c r="E2339" s="15">
        <v>516.473876953125</v>
      </c>
      <c r="F2339" s="15">
        <v>290.43795776367188</v>
      </c>
      <c r="H2339" s="16">
        <f t="shared" si="86"/>
        <v>5.9704723987422641E-3</v>
      </c>
      <c r="I2339" s="16">
        <f t="shared" si="86"/>
        <v>-3.1902655568738481E-3</v>
      </c>
      <c r="J2339" s="16">
        <f t="shared" si="86"/>
        <v>-4.7199166802106857E-3</v>
      </c>
      <c r="K2339" s="16">
        <f t="shared" si="86"/>
        <v>9.6955656937694409E-3</v>
      </c>
      <c r="L2339" s="16">
        <f t="shared" si="87"/>
        <v>5.665709634579694E-3</v>
      </c>
    </row>
    <row r="2340" spans="1:12" x14ac:dyDescent="0.35">
      <c r="A2340" s="18">
        <v>45649</v>
      </c>
      <c r="B2340" s="15">
        <v>591.1588134765625</v>
      </c>
      <c r="C2340" s="15">
        <v>69.917495727539063</v>
      </c>
      <c r="D2340" s="15">
        <v>240.96000671386719</v>
      </c>
      <c r="E2340" s="15">
        <v>521.5057373046875</v>
      </c>
      <c r="F2340" s="15">
        <v>292.08816528320313</v>
      </c>
      <c r="H2340" s="16">
        <f t="shared" si="86"/>
        <v>1.105359617223292E-2</v>
      </c>
      <c r="I2340" s="16">
        <f t="shared" si="86"/>
        <v>1.4343348401618901E-3</v>
      </c>
      <c r="J2340" s="16">
        <f t="shared" si="86"/>
        <v>1.9900326568704145E-3</v>
      </c>
      <c r="K2340" s="16">
        <f t="shared" si="86"/>
        <v>1.3468725904668391E-2</v>
      </c>
      <c r="L2340" s="16">
        <f t="shared" si="87"/>
        <v>1.0556295663863676E-2</v>
      </c>
    </row>
    <row r="2341" spans="1:12" x14ac:dyDescent="0.35">
      <c r="A2341" s="18">
        <v>45650</v>
      </c>
      <c r="B2341" s="15">
        <v>597.7294921875</v>
      </c>
      <c r="C2341" s="15">
        <v>70.017852783203125</v>
      </c>
      <c r="D2341" s="15">
        <v>241.44000244140619</v>
      </c>
      <c r="E2341" s="15">
        <v>528.5772705078125</v>
      </c>
      <c r="F2341" s="15">
        <v>295.1878662109375</v>
      </c>
      <c r="H2341" s="16">
        <f t="shared" si="86"/>
        <v>6.6676697126578059E-5</v>
      </c>
      <c r="I2341" s="16">
        <f t="shared" si="86"/>
        <v>6.9592597476939347E-4</v>
      </c>
      <c r="J2341" s="16">
        <f t="shared" si="86"/>
        <v>6.7284927019153591E-3</v>
      </c>
      <c r="K2341" s="16">
        <f t="shared" si="86"/>
        <v>-6.7954461922807813E-4</v>
      </c>
      <c r="L2341" s="16">
        <f t="shared" si="87"/>
        <v>5.7206445041713724E-4</v>
      </c>
    </row>
    <row r="2342" spans="1:12" x14ac:dyDescent="0.35">
      <c r="A2342" s="18">
        <v>45652</v>
      </c>
      <c r="B2342" s="15">
        <v>597.76934814453125</v>
      </c>
      <c r="C2342" s="15">
        <v>70.066596984863281</v>
      </c>
      <c r="D2342" s="15">
        <v>243.07000732421881</v>
      </c>
      <c r="E2342" s="15">
        <v>528.21820068359375</v>
      </c>
      <c r="F2342" s="15">
        <v>295.35678100585938</v>
      </c>
      <c r="H2342" s="16">
        <f t="shared" si="86"/>
        <v>-1.0582399351833379E-2</v>
      </c>
      <c r="I2342" s="16">
        <f t="shared" si="86"/>
        <v>-2.0885778578970753E-3</v>
      </c>
      <c r="J2342" s="16">
        <f t="shared" si="86"/>
        <v>-6.8942144537039261E-3</v>
      </c>
      <c r="K2342" s="16">
        <f t="shared" si="86"/>
        <v>-1.3382263547504112E-2</v>
      </c>
      <c r="L2342" s="16">
        <f t="shared" si="87"/>
        <v>-1.0890276926222077E-2</v>
      </c>
    </row>
    <row r="2343" spans="1:12" x14ac:dyDescent="0.35">
      <c r="A2343" s="18">
        <v>45653</v>
      </c>
      <c r="B2343" s="15">
        <v>591.47686767578125</v>
      </c>
      <c r="C2343" s="15">
        <v>69.92041015625</v>
      </c>
      <c r="D2343" s="15">
        <v>241.3999938964844</v>
      </c>
      <c r="E2343" s="15">
        <v>521.196533203125</v>
      </c>
      <c r="F2343" s="15">
        <v>292.15771484375</v>
      </c>
      <c r="H2343" s="16">
        <f t="shared" si="86"/>
        <v>-1.147720749831657E-2</v>
      </c>
      <c r="I2343" s="16">
        <f t="shared" si="86"/>
        <v>3.8949177474296788E-3</v>
      </c>
      <c r="J2343" s="16">
        <f t="shared" si="86"/>
        <v>-3.194779040875952E-3</v>
      </c>
      <c r="K2343" s="16">
        <f t="shared" si="86"/>
        <v>-1.3389180482851228E-2</v>
      </c>
      <c r="L2343" s="16">
        <f t="shared" si="87"/>
        <v>-1.1113264941922425E-2</v>
      </c>
    </row>
    <row r="2344" spans="1:12" x14ac:dyDescent="0.35">
      <c r="A2344" s="18">
        <v>45656</v>
      </c>
      <c r="B2344" s="15">
        <v>584.7271728515625</v>
      </c>
      <c r="C2344" s="15">
        <v>70.193275451660156</v>
      </c>
      <c r="D2344" s="15">
        <v>240.6300048828125</v>
      </c>
      <c r="E2344" s="15">
        <v>514.2646484375</v>
      </c>
      <c r="F2344" s="15">
        <v>288.92886352539063</v>
      </c>
      <c r="H2344" s="16">
        <f t="shared" si="86"/>
        <v>-3.6446693965120668E-3</v>
      </c>
      <c r="I2344" s="16">
        <f t="shared" si="86"/>
        <v>-1.6672998913555203E-3</v>
      </c>
      <c r="J2344" s="16">
        <f t="shared" si="86"/>
        <v>6.2142878317398486E-3</v>
      </c>
      <c r="K2344" s="16">
        <f t="shared" si="86"/>
        <v>-8.5309980820361241E-3</v>
      </c>
      <c r="L2344" s="16">
        <f t="shared" si="87"/>
        <v>-3.4790398051533084E-3</v>
      </c>
    </row>
    <row r="2345" spans="1:12" x14ac:dyDescent="0.35">
      <c r="A2345" s="18">
        <v>45657</v>
      </c>
      <c r="B2345" s="15">
        <v>582.59991455078125</v>
      </c>
      <c r="C2345" s="15">
        <v>70.076339721679688</v>
      </c>
      <c r="D2345" s="15">
        <v>242.1300048828125</v>
      </c>
      <c r="E2345" s="15">
        <v>509.8961181640625</v>
      </c>
      <c r="F2345" s="15">
        <v>287.9254150390625</v>
      </c>
      <c r="H2345" s="16">
        <f t="shared" si="86"/>
        <v>-2.4600397749125927E-3</v>
      </c>
      <c r="I2345" s="16">
        <f t="shared" si="86"/>
        <v>4.1689521218949522E-4</v>
      </c>
      <c r="J2345" s="16">
        <f t="shared" si="86"/>
        <v>1.3496228917030742E-2</v>
      </c>
      <c r="K2345" s="16">
        <f t="shared" si="86"/>
        <v>-1.9580121430325739E-3</v>
      </c>
      <c r="L2345" s="16">
        <f t="shared" si="87"/>
        <v>-1.8995766013205743E-3</v>
      </c>
    </row>
    <row r="2346" spans="1:12" x14ac:dyDescent="0.35">
      <c r="A2346" s="18">
        <v>45659</v>
      </c>
      <c r="B2346" s="15">
        <v>581.16845703125</v>
      </c>
      <c r="C2346" s="15">
        <v>70.105560302734375</v>
      </c>
      <c r="D2346" s="15">
        <v>245.41999816894531</v>
      </c>
      <c r="E2346" s="15">
        <v>508.89871215820313</v>
      </c>
      <c r="F2346" s="15">
        <v>287.37899780273438</v>
      </c>
      <c r="H2346" s="16">
        <f t="shared" si="86"/>
        <v>1.2425911796793794E-2</v>
      </c>
      <c r="I2346" s="16">
        <f t="shared" si="86"/>
        <v>-1.2518611851359881E-3</v>
      </c>
      <c r="J2346" s="16">
        <f t="shared" si="86"/>
        <v>-7.8951246098437049E-3</v>
      </c>
      <c r="K2346" s="16">
        <f t="shared" si="86"/>
        <v>1.6232708928732301E-2</v>
      </c>
      <c r="L2346" s="16">
        <f t="shared" si="87"/>
        <v>1.3051357208648062E-2</v>
      </c>
    </row>
    <row r="2347" spans="1:12" x14ac:dyDescent="0.35">
      <c r="A2347" s="18">
        <v>45660</v>
      </c>
      <c r="B2347" s="15">
        <v>588.43505859375</v>
      </c>
      <c r="C2347" s="15">
        <v>70.017852783203125</v>
      </c>
      <c r="D2347" s="15">
        <v>243.49000549316409</v>
      </c>
      <c r="E2347" s="15">
        <v>517.2269287109375</v>
      </c>
      <c r="F2347" s="15">
        <v>291.15426635742188</v>
      </c>
      <c r="H2347" s="16">
        <f t="shared" si="86"/>
        <v>5.7440213011188609E-3</v>
      </c>
      <c r="I2347" s="16">
        <f t="shared" si="86"/>
        <v>-9.7471807695095501E-4</v>
      </c>
      <c r="J2347" s="16">
        <f t="shared" si="86"/>
        <v>-1.2328556129921409E-3</v>
      </c>
      <c r="K2347" s="16">
        <f t="shared" si="86"/>
        <v>1.1427281108396942E-2</v>
      </c>
      <c r="L2347" s="16">
        <f t="shared" si="87"/>
        <v>5.5805174447060412E-3</v>
      </c>
    </row>
    <row r="2348" spans="1:12" x14ac:dyDescent="0.35">
      <c r="A2348" s="18">
        <v>45663</v>
      </c>
      <c r="B2348" s="15">
        <v>591.82476806640625</v>
      </c>
      <c r="C2348" s="15">
        <v>69.949638366699219</v>
      </c>
      <c r="D2348" s="15">
        <v>243.19000244140619</v>
      </c>
      <c r="E2348" s="15">
        <v>523.17132568359375</v>
      </c>
      <c r="F2348" s="15">
        <v>292.78359985351563</v>
      </c>
      <c r="H2348" s="16">
        <f t="shared" si="86"/>
        <v>-1.1368401888733873E-2</v>
      </c>
      <c r="I2348" s="16">
        <f t="shared" si="86"/>
        <v>-3.4888966502003454E-3</v>
      </c>
      <c r="J2348" s="16">
        <f t="shared" si="86"/>
        <v>5.617626735063992E-3</v>
      </c>
      <c r="K2348" s="16">
        <f t="shared" si="86"/>
        <v>-1.8005322579882927E-2</v>
      </c>
      <c r="L2348" s="16">
        <f t="shared" si="87"/>
        <v>-1.1226609350456473E-2</v>
      </c>
    </row>
    <row r="2349" spans="1:12" x14ac:dyDescent="0.35">
      <c r="A2349" s="18">
        <v>45664</v>
      </c>
      <c r="B2349" s="15">
        <v>585.134765625</v>
      </c>
      <c r="C2349" s="15">
        <v>69.706016540527344</v>
      </c>
      <c r="D2349" s="15">
        <v>244.55999755859381</v>
      </c>
      <c r="E2349" s="15">
        <v>513.83575439453125</v>
      </c>
      <c r="F2349" s="15">
        <v>289.5150146484375</v>
      </c>
      <c r="H2349" s="16">
        <f t="shared" si="86"/>
        <v>1.4599978421702834E-3</v>
      </c>
      <c r="I2349" s="16">
        <f t="shared" si="86"/>
        <v>1.1178549290641398E-3</v>
      </c>
      <c r="J2349" s="16">
        <f t="shared" si="86"/>
        <v>5.3016031219844254E-3</v>
      </c>
      <c r="K2349" s="16">
        <f t="shared" si="86"/>
        <v>1.7471511296310706E-4</v>
      </c>
      <c r="L2349" s="16">
        <f t="shared" si="87"/>
        <v>9.2601354862856527E-4</v>
      </c>
    </row>
    <row r="2350" spans="1:12" x14ac:dyDescent="0.35">
      <c r="A2350" s="18">
        <v>45665</v>
      </c>
      <c r="B2350" s="15">
        <v>585.98968505859375</v>
      </c>
      <c r="C2350" s="15">
        <v>69.783981323242188</v>
      </c>
      <c r="D2350" s="15">
        <v>245.86000061035159</v>
      </c>
      <c r="E2350" s="15">
        <v>513.925537109375</v>
      </c>
      <c r="F2350" s="15">
        <v>289.78323364257813</v>
      </c>
      <c r="H2350" s="16">
        <f t="shared" si="86"/>
        <v>-1.5385242615605086E-2</v>
      </c>
      <c r="I2350" s="16">
        <f t="shared" si="86"/>
        <v>-5.1802705666944768E-3</v>
      </c>
      <c r="J2350" s="16">
        <f t="shared" si="86"/>
        <v>9.512918374949551E-3</v>
      </c>
      <c r="K2350" s="16">
        <f t="shared" si="86"/>
        <v>-1.580525154904518E-2</v>
      </c>
      <c r="L2350" s="16">
        <f t="shared" si="87"/>
        <v>-1.5130289499741226E-2</v>
      </c>
    </row>
    <row r="2351" spans="1:12" x14ac:dyDescent="0.35">
      <c r="A2351" s="18">
        <v>45667</v>
      </c>
      <c r="B2351" s="15">
        <v>577.0430908203125</v>
      </c>
      <c r="C2351" s="15">
        <v>69.423416137695313</v>
      </c>
      <c r="D2351" s="15">
        <v>248.21000671386719</v>
      </c>
      <c r="E2351" s="15">
        <v>505.86666870117188</v>
      </c>
      <c r="F2351" s="15">
        <v>285.43173217773438</v>
      </c>
      <c r="H2351" s="16">
        <f t="shared" si="86"/>
        <v>1.5492092546750074E-3</v>
      </c>
      <c r="I2351" s="16">
        <f t="shared" si="86"/>
        <v>-9.8295818050104546E-4</v>
      </c>
      <c r="J2351" s="16">
        <f t="shared" si="86"/>
        <v>-1.0001100303675396E-2</v>
      </c>
      <c r="K2351" s="16">
        <f t="shared" si="86"/>
        <v>-3.2190530022071407E-3</v>
      </c>
      <c r="L2351" s="16">
        <f t="shared" si="87"/>
        <v>1.6344975268632975E-3</v>
      </c>
    </row>
    <row r="2352" spans="1:12" x14ac:dyDescent="0.35">
      <c r="A2352" s="18">
        <v>45670</v>
      </c>
      <c r="B2352" s="15">
        <v>577.937744140625</v>
      </c>
      <c r="C2352" s="15">
        <v>69.355209350585938</v>
      </c>
      <c r="D2352" s="15">
        <v>245.74000549316409</v>
      </c>
      <c r="E2352" s="15">
        <v>504.24087524414063</v>
      </c>
      <c r="F2352" s="15">
        <v>285.89865112304688</v>
      </c>
      <c r="H2352" s="16">
        <f t="shared" si="86"/>
        <v>1.3750277681192629E-3</v>
      </c>
      <c r="I2352" s="16">
        <f t="shared" si="86"/>
        <v>7.0213304516880421E-4</v>
      </c>
      <c r="J2352" s="16">
        <f t="shared" si="86"/>
        <v>5.235693007988435E-3</v>
      </c>
      <c r="K2352" s="16">
        <f t="shared" si="86"/>
        <v>-9.4985684358634326E-4</v>
      </c>
      <c r="L2352" s="16">
        <f t="shared" si="87"/>
        <v>2.2562338925758425E-3</v>
      </c>
    </row>
    <row r="2353" spans="1:12" x14ac:dyDescent="0.35">
      <c r="A2353" s="18">
        <v>45671</v>
      </c>
      <c r="B2353" s="15">
        <v>578.73297119140625</v>
      </c>
      <c r="C2353" s="15">
        <v>69.403923034667969</v>
      </c>
      <c r="D2353" s="15">
        <v>247.0299987792969</v>
      </c>
      <c r="E2353" s="15">
        <v>503.76214599609381</v>
      </c>
      <c r="F2353" s="15">
        <v>286.54443359375</v>
      </c>
      <c r="H2353" s="16">
        <f t="shared" si="86"/>
        <v>1.8026554588876035E-2</v>
      </c>
      <c r="I2353" s="16">
        <f t="shared" si="86"/>
        <v>7.9715189402653486E-3</v>
      </c>
      <c r="J2353" s="16">
        <f t="shared" si="86"/>
        <v>7.4610904075506756E-3</v>
      </c>
      <c r="K2353" s="16">
        <f t="shared" si="86"/>
        <v>2.2745563005497408E-2</v>
      </c>
      <c r="L2353" s="16">
        <f t="shared" si="87"/>
        <v>1.8175083631937448E-2</v>
      </c>
    </row>
    <row r="2354" spans="1:12" x14ac:dyDescent="0.35">
      <c r="A2354" s="18">
        <v>45672</v>
      </c>
      <c r="B2354" s="15">
        <v>589.2601318359375</v>
      </c>
      <c r="C2354" s="15">
        <v>69.959388732910156</v>
      </c>
      <c r="D2354" s="15">
        <v>248.8800048828125</v>
      </c>
      <c r="E2354" s="15">
        <v>515.351806640625</v>
      </c>
      <c r="F2354" s="15">
        <v>291.80001831054688</v>
      </c>
      <c r="H2354" s="16">
        <f t="shared" si="86"/>
        <v>-1.92500863864641E-3</v>
      </c>
      <c r="I2354" s="16">
        <f t="shared" si="86"/>
        <v>1.9483245462223375E-3</v>
      </c>
      <c r="J2354" s="16">
        <f t="shared" si="86"/>
        <v>6.8871946090514665E-3</v>
      </c>
      <c r="K2354" s="16">
        <f t="shared" si="86"/>
        <v>-7.0305583596528397E-3</v>
      </c>
      <c r="L2354" s="16">
        <f t="shared" si="87"/>
        <v>-7.4931041213970972E-4</v>
      </c>
    </row>
    <row r="2355" spans="1:12" x14ac:dyDescent="0.35">
      <c r="A2355" s="18">
        <v>45673</v>
      </c>
      <c r="B2355" s="15">
        <v>588.12689208984375</v>
      </c>
      <c r="C2355" s="15">
        <v>70.0958251953125</v>
      </c>
      <c r="D2355" s="15">
        <v>250.6000061035156</v>
      </c>
      <c r="E2355" s="15">
        <v>511.74130249023438</v>
      </c>
      <c r="F2355" s="15">
        <v>291.58145141601563</v>
      </c>
      <c r="H2355" s="16">
        <f t="shared" si="86"/>
        <v>9.9898164001135711E-3</v>
      </c>
      <c r="I2355" s="16">
        <f t="shared" si="86"/>
        <v>2.7805355076961785E-4</v>
      </c>
      <c r="J2355" s="16">
        <f t="shared" si="86"/>
        <v>-5.3214033326849618E-3</v>
      </c>
      <c r="K2355" s="16">
        <f t="shared" si="86"/>
        <v>1.6737514158759723E-2</v>
      </c>
      <c r="L2355" s="16">
        <f t="shared" si="87"/>
        <v>9.1914580648689362E-3</v>
      </c>
    </row>
    <row r="2356" spans="1:12" x14ac:dyDescent="0.35">
      <c r="A2356" s="18">
        <v>45674</v>
      </c>
      <c r="B2356" s="15">
        <v>594.0316162109375</v>
      </c>
      <c r="C2356" s="15">
        <v>70.115318298339844</v>
      </c>
      <c r="D2356" s="15">
        <v>249.27000427246091</v>
      </c>
      <c r="E2356" s="15">
        <v>520.378662109375</v>
      </c>
      <c r="F2356" s="15">
        <v>294.27386474609381</v>
      </c>
      <c r="H2356" s="16">
        <f t="shared" si="86"/>
        <v>9.1119133383475992E-3</v>
      </c>
      <c r="I2356" s="16">
        <f t="shared" si="86"/>
        <v>2.9143072352265892E-3</v>
      </c>
      <c r="J2356" s="16">
        <f t="shared" si="86"/>
        <v>1.5366546556984287E-2</v>
      </c>
      <c r="K2356" s="16">
        <f t="shared" si="86"/>
        <v>5.8479483393818659E-3</v>
      </c>
      <c r="L2356" s="16">
        <f t="shared" si="87"/>
        <v>9.8768456838095441E-3</v>
      </c>
    </row>
    <row r="2357" spans="1:12" x14ac:dyDescent="0.35">
      <c r="A2357" s="18">
        <v>45678</v>
      </c>
      <c r="B2357" s="15">
        <v>599.4691162109375</v>
      </c>
      <c r="C2357" s="15">
        <v>70.319953918457031</v>
      </c>
      <c r="D2357" s="15">
        <v>253.1300048828125</v>
      </c>
      <c r="E2357" s="15">
        <v>523.43072509765625</v>
      </c>
      <c r="F2357" s="15">
        <v>297.19476318359381</v>
      </c>
      <c r="H2357" s="16">
        <f t="shared" si="86"/>
        <v>5.6056876869447136E-3</v>
      </c>
      <c r="I2357" s="16">
        <f t="shared" si="86"/>
        <v>-2.0809363291318102E-3</v>
      </c>
      <c r="J2357" s="16">
        <f t="shared" si="86"/>
        <v>5.1225102130683479E-3</v>
      </c>
      <c r="K2357" s="16">
        <f t="shared" si="86"/>
        <v>1.2704682510540103E-2</v>
      </c>
      <c r="L2357" s="16">
        <f t="shared" si="87"/>
        <v>4.8686655637985646E-3</v>
      </c>
    </row>
    <row r="2358" spans="1:12" x14ac:dyDescent="0.35">
      <c r="A2358" s="18">
        <v>45679</v>
      </c>
      <c r="B2358" s="15">
        <v>602.8389892578125</v>
      </c>
      <c r="C2358" s="15">
        <v>70.173774719238281</v>
      </c>
      <c r="D2358" s="15">
        <v>254.42999267578119</v>
      </c>
      <c r="E2358" s="15">
        <v>530.1231689453125</v>
      </c>
      <c r="F2358" s="15">
        <v>298.64523315429688</v>
      </c>
      <c r="H2358" s="16">
        <f t="shared" si="86"/>
        <v>5.4432399930518949E-3</v>
      </c>
      <c r="I2358" s="16">
        <f t="shared" si="86"/>
        <v>-1.5284864684684146E-3</v>
      </c>
      <c r="J2358" s="16">
        <f t="shared" si="86"/>
        <v>-1.4158718257649601E-3</v>
      </c>
      <c r="K2358" s="16">
        <f t="shared" si="86"/>
        <v>2.1238060140959707E-3</v>
      </c>
      <c r="L2358" s="16">
        <f t="shared" si="87"/>
        <v>5.2424130498842847E-3</v>
      </c>
    </row>
    <row r="2359" spans="1:12" x14ac:dyDescent="0.35">
      <c r="A2359" s="18">
        <v>45680</v>
      </c>
      <c r="B2359" s="15">
        <v>606.12933349609375</v>
      </c>
      <c r="C2359" s="15">
        <v>70.066596984863281</v>
      </c>
      <c r="D2359" s="15">
        <v>254.07000732421881</v>
      </c>
      <c r="E2359" s="15">
        <v>531.250244140625</v>
      </c>
      <c r="F2359" s="15">
        <v>300.2149658203125</v>
      </c>
      <c r="H2359" s="16">
        <f t="shared" si="86"/>
        <v>-2.9235642579762836E-3</v>
      </c>
      <c r="I2359" s="16">
        <f t="shared" si="86"/>
        <v>1.9451289783246537E-3</v>
      </c>
      <c r="J2359" s="16">
        <f t="shared" si="86"/>
        <v>6.1994492223298716E-3</v>
      </c>
      <c r="K2359" s="16">
        <f t="shared" si="86"/>
        <v>-5.6671051151534636E-3</v>
      </c>
      <c r="L2359" s="16">
        <f t="shared" si="87"/>
        <v>-2.9164890345825482E-3</v>
      </c>
    </row>
    <row r="2360" spans="1:12" x14ac:dyDescent="0.35">
      <c r="A2360" s="18">
        <v>45681</v>
      </c>
      <c r="B2360" s="15">
        <v>604.35986328125</v>
      </c>
      <c r="C2360" s="15">
        <v>70.203018188476563</v>
      </c>
      <c r="D2360" s="15">
        <v>255.6499938964844</v>
      </c>
      <c r="E2360" s="15">
        <v>528.24810791015625</v>
      </c>
      <c r="F2360" s="15">
        <v>299.34066772460938</v>
      </c>
      <c r="H2360" s="16">
        <f t="shared" si="86"/>
        <v>-1.4246258965111898E-2</v>
      </c>
      <c r="I2360" s="16">
        <f t="shared" si="86"/>
        <v>5.2608436300937448E-3</v>
      </c>
      <c r="J2360" s="16">
        <f t="shared" si="86"/>
        <v>-1.0459313683880304E-2</v>
      </c>
      <c r="K2360" s="16">
        <f t="shared" si="86"/>
        <v>-2.9546895648197128E-2</v>
      </c>
      <c r="L2360" s="16">
        <f t="shared" si="87"/>
        <v>-1.4037598469542964E-2</v>
      </c>
    </row>
    <row r="2361" spans="1:12" x14ac:dyDescent="0.35">
      <c r="A2361" s="18">
        <v>45684</v>
      </c>
      <c r="B2361" s="15">
        <v>595.81103515625</v>
      </c>
      <c r="C2361" s="15">
        <v>70.573318481445313</v>
      </c>
      <c r="D2361" s="15">
        <v>252.99000549316409</v>
      </c>
      <c r="E2361" s="15">
        <v>512.86834716796875</v>
      </c>
      <c r="F2361" s="15">
        <v>295.16799926757813</v>
      </c>
      <c r="H2361" s="16">
        <f t="shared" si="86"/>
        <v>8.5555923066351694E-3</v>
      </c>
      <c r="I2361" s="16">
        <f t="shared" si="86"/>
        <v>-5.5246579948036085E-4</v>
      </c>
      <c r="J2361" s="16">
        <f t="shared" si="86"/>
        <v>8.6191658238015164E-3</v>
      </c>
      <c r="K2361" s="16">
        <f t="shared" si="86"/>
        <v>1.4671734532678553E-2</v>
      </c>
      <c r="L2361" s="16">
        <f t="shared" si="87"/>
        <v>8.5463412440338234E-3</v>
      </c>
    </row>
    <row r="2362" spans="1:12" x14ac:dyDescent="0.35">
      <c r="A2362" s="18">
        <v>45685</v>
      </c>
      <c r="B2362" s="15">
        <v>600.930419921875</v>
      </c>
      <c r="C2362" s="15">
        <v>70.534339904785156</v>
      </c>
      <c r="D2362" s="15">
        <v>255.17999267578119</v>
      </c>
      <c r="E2362" s="15">
        <v>520.448486328125</v>
      </c>
      <c r="F2362" s="15">
        <v>297.701416015625</v>
      </c>
      <c r="H2362" s="16">
        <f t="shared" si="86"/>
        <v>-4.4929745028966864E-3</v>
      </c>
      <c r="I2362" s="16">
        <f t="shared" si="86"/>
        <v>-5.5266296118644238E-4</v>
      </c>
      <c r="J2362" s="16">
        <f t="shared" si="86"/>
        <v>-3.8478030414183235E-3</v>
      </c>
      <c r="K2362" s="16">
        <f t="shared" si="86"/>
        <v>-1.8797940180712513E-3</v>
      </c>
      <c r="L2362" s="16">
        <f t="shared" si="87"/>
        <v>-4.2808729160338059E-3</v>
      </c>
    </row>
    <row r="2363" spans="1:12" x14ac:dyDescent="0.35">
      <c r="A2363" s="18">
        <v>45686</v>
      </c>
      <c r="B2363" s="15">
        <v>598.23651123046875</v>
      </c>
      <c r="C2363" s="15">
        <v>70.495368957519531</v>
      </c>
      <c r="D2363" s="15">
        <v>254.19999694824219</v>
      </c>
      <c r="E2363" s="15">
        <v>519.4710693359375</v>
      </c>
      <c r="F2363" s="15">
        <v>296.42971801757813</v>
      </c>
      <c r="H2363" s="16">
        <f t="shared" si="86"/>
        <v>5.352782115928505E-3</v>
      </c>
      <c r="I2363" s="16">
        <f t="shared" si="86"/>
        <v>1.3811932075785576E-3</v>
      </c>
      <c r="J2363" s="16">
        <f t="shared" si="86"/>
        <v>1.5031970539816187E-2</v>
      </c>
      <c r="K2363" s="16">
        <f t="shared" si="86"/>
        <v>4.2533012147792822E-3</v>
      </c>
      <c r="L2363" s="16">
        <f t="shared" si="87"/>
        <v>6.247859986604886E-3</v>
      </c>
    </row>
    <row r="2364" spans="1:12" x14ac:dyDescent="0.35">
      <c r="A2364" s="18">
        <v>45687</v>
      </c>
      <c r="B2364" s="15">
        <v>601.44732666015625</v>
      </c>
      <c r="C2364" s="15">
        <v>70.592803955078125</v>
      </c>
      <c r="D2364" s="15">
        <v>258.04998779296881</v>
      </c>
      <c r="E2364" s="15">
        <v>521.68524169921875</v>
      </c>
      <c r="F2364" s="15">
        <v>298.28756713867188</v>
      </c>
      <c r="H2364" s="16">
        <f t="shared" si="86"/>
        <v>-5.336152158447331E-3</v>
      </c>
      <c r="I2364" s="16">
        <f t="shared" si="86"/>
        <v>-1.3811932075786192E-3</v>
      </c>
      <c r="J2364" s="16">
        <f t="shared" si="86"/>
        <v>1.9744486005825435E-3</v>
      </c>
      <c r="K2364" s="16">
        <f t="shared" si="86"/>
        <v>-1.4540315752786825E-3</v>
      </c>
      <c r="L2364" s="16">
        <f t="shared" si="87"/>
        <v>-5.4771609983991221E-3</v>
      </c>
    </row>
    <row r="2365" spans="1:12" x14ac:dyDescent="0.35">
      <c r="A2365" s="18">
        <v>45688</v>
      </c>
      <c r="B2365" s="15">
        <v>598.2464599609375</v>
      </c>
      <c r="C2365" s="15">
        <v>70.495368957519531</v>
      </c>
      <c r="D2365" s="15">
        <v>258.55999755859381</v>
      </c>
      <c r="E2365" s="15">
        <v>520.92724609375</v>
      </c>
      <c r="F2365" s="15">
        <v>296.65826416015619</v>
      </c>
      <c r="H2365" s="16">
        <f t="shared" si="86"/>
        <v>-6.7523131549181532E-3</v>
      </c>
      <c r="I2365" s="16">
        <f t="shared" si="86"/>
        <v>9.0100392464709277E-4</v>
      </c>
      <c r="J2365" s="16">
        <f t="shared" si="86"/>
        <v>5.3230786552228414E-3</v>
      </c>
      <c r="K2365" s="16">
        <f t="shared" si="86"/>
        <v>-8.0354816527917605E-3</v>
      </c>
      <c r="L2365" s="16">
        <f t="shared" si="87"/>
        <v>-7.3275468530590582E-3</v>
      </c>
    </row>
    <row r="2366" spans="1:12" x14ac:dyDescent="0.35">
      <c r="A2366" s="18">
        <v>45691</v>
      </c>
      <c r="B2366" s="15">
        <v>594.22052001953125</v>
      </c>
      <c r="C2366" s="15">
        <v>70.558914184570313</v>
      </c>
      <c r="D2366" s="15">
        <v>259.94000244140619</v>
      </c>
      <c r="E2366" s="15">
        <v>516.75811767578125</v>
      </c>
      <c r="F2366" s="15">
        <v>294.492431640625</v>
      </c>
      <c r="H2366" s="16">
        <f t="shared" si="86"/>
        <v>6.6857916655959524E-3</v>
      </c>
      <c r="I2366" s="16">
        <f t="shared" si="86"/>
        <v>1.3847012255139293E-3</v>
      </c>
      <c r="J2366" s="16">
        <f t="shared" si="86"/>
        <v>9.8002374860449003E-3</v>
      </c>
      <c r="K2366" s="16">
        <f t="shared" si="86"/>
        <v>1.2200729837367606E-2</v>
      </c>
      <c r="L2366" s="16">
        <f t="shared" si="87"/>
        <v>7.2270366841385037E-3</v>
      </c>
    </row>
    <row r="2367" spans="1:12" x14ac:dyDescent="0.35">
      <c r="A2367" s="18">
        <v>45692</v>
      </c>
      <c r="B2367" s="15">
        <v>598.2066650390625</v>
      </c>
      <c r="C2367" s="15">
        <v>70.656684875488281</v>
      </c>
      <c r="D2367" s="15">
        <v>262.5</v>
      </c>
      <c r="E2367" s="15">
        <v>523.1015625</v>
      </c>
      <c r="F2367" s="15">
        <v>296.62844848632813</v>
      </c>
      <c r="H2367" s="16">
        <f t="shared" si="86"/>
        <v>4.0463811667940421E-3</v>
      </c>
      <c r="I2367" s="16">
        <f t="shared" si="86"/>
        <v>5.1065185521921809E-3</v>
      </c>
      <c r="J2367" s="16">
        <f t="shared" si="86"/>
        <v>6.1903426424298304E-3</v>
      </c>
      <c r="K2367" s="16">
        <f t="shared" si="86"/>
        <v>4.5276285263157866E-3</v>
      </c>
      <c r="L2367" s="16">
        <f t="shared" si="87"/>
        <v>4.611405135827383E-3</v>
      </c>
    </row>
    <row r="2368" spans="1:12" x14ac:dyDescent="0.35">
      <c r="A2368" s="18">
        <v>45693</v>
      </c>
      <c r="B2368" s="15">
        <v>600.63214111328125</v>
      </c>
      <c r="C2368" s="15">
        <v>71.018417358398438</v>
      </c>
      <c r="D2368" s="15">
        <v>264.1300048828125</v>
      </c>
      <c r="E2368" s="15">
        <v>525.475341796875</v>
      </c>
      <c r="F2368" s="15">
        <v>297.99948120117188</v>
      </c>
      <c r="H2368" s="16">
        <f t="shared" si="86"/>
        <v>3.4696211466289221E-3</v>
      </c>
      <c r="I2368" s="16">
        <f t="shared" si="86"/>
        <v>-1.101855287981252E-3</v>
      </c>
      <c r="J2368" s="16">
        <f t="shared" si="86"/>
        <v>-2.6537744373777059E-3</v>
      </c>
      <c r="K2368" s="16">
        <f t="shared" si="86"/>
        <v>5.2061913097821927E-3</v>
      </c>
      <c r="L2368" s="16">
        <f t="shared" si="87"/>
        <v>2.4639744601733862E-3</v>
      </c>
    </row>
    <row r="2369" spans="1:12" x14ac:dyDescent="0.35">
      <c r="A2369" s="18">
        <v>45694</v>
      </c>
      <c r="B2369" s="15">
        <v>602.7197265625</v>
      </c>
      <c r="C2369" s="15">
        <v>70.940208435058594</v>
      </c>
      <c r="D2369" s="15">
        <v>263.42999267578119</v>
      </c>
      <c r="E2369" s="15">
        <v>528.21820068359375</v>
      </c>
      <c r="F2369" s="15">
        <v>298.73464965820313</v>
      </c>
      <c r="H2369" s="16">
        <f t="shared" si="86"/>
        <v>-9.1957072788595388E-3</v>
      </c>
      <c r="I2369" s="16">
        <f t="shared" si="86"/>
        <v>-3.0365659324934576E-3</v>
      </c>
      <c r="J2369" s="16">
        <f t="shared" si="86"/>
        <v>1.7825701444093977E-3</v>
      </c>
      <c r="K2369" s="16">
        <f t="shared" si="86"/>
        <v>-1.2693567114410938E-2</v>
      </c>
      <c r="L2369" s="16">
        <f t="shared" si="87"/>
        <v>-8.9862732048439035E-3</v>
      </c>
    </row>
    <row r="2370" spans="1:12" x14ac:dyDescent="0.35">
      <c r="A2370" s="18">
        <v>45695</v>
      </c>
      <c r="B2370" s="15">
        <v>597.20269775390625</v>
      </c>
      <c r="C2370" s="15">
        <v>70.725120544433594</v>
      </c>
      <c r="D2370" s="15">
        <v>263.89999389648438</v>
      </c>
      <c r="E2370" s="15">
        <v>521.55560302734375</v>
      </c>
      <c r="F2370" s="15">
        <v>296.06216430664063</v>
      </c>
      <c r="H2370" s="16">
        <f t="shared" si="86"/>
        <v>6.7682472303243011E-3</v>
      </c>
      <c r="I2370" s="16">
        <f t="shared" si="86"/>
        <v>2.7644259011949093E-4</v>
      </c>
      <c r="J2370" s="16">
        <f t="shared" si="86"/>
        <v>1.6796386802506561E-2</v>
      </c>
      <c r="K2370" s="16">
        <f t="shared" si="86"/>
        <v>1.203240754362764E-2</v>
      </c>
      <c r="L2370" s="16">
        <f t="shared" si="87"/>
        <v>6.3888520104328356E-3</v>
      </c>
    </row>
    <row r="2371" spans="1:12" x14ac:dyDescent="0.35">
      <c r="A2371" s="18">
        <v>45698</v>
      </c>
      <c r="B2371" s="15">
        <v>601.2584228515625</v>
      </c>
      <c r="C2371" s="15">
        <v>70.744674682617188</v>
      </c>
      <c r="D2371" s="15">
        <v>268.3699951171875</v>
      </c>
      <c r="E2371" s="15">
        <v>527.86907958984375</v>
      </c>
      <c r="F2371" s="15">
        <v>297.959716796875</v>
      </c>
      <c r="H2371" s="16">
        <f t="shared" si="86"/>
        <v>7.6034291443384267E-4</v>
      </c>
      <c r="I2371" s="16">
        <f t="shared" si="86"/>
        <v>-1.6598030115480623E-3</v>
      </c>
      <c r="J2371" s="16">
        <f t="shared" si="86"/>
        <v>-3.6582855898708551E-3</v>
      </c>
      <c r="K2371" s="16">
        <f t="shared" si="86"/>
        <v>-2.3835686588229393E-3</v>
      </c>
      <c r="L2371" s="16">
        <f t="shared" si="87"/>
        <v>-5.3355518254918682E-4</v>
      </c>
    </row>
    <row r="2372" spans="1:12" x14ac:dyDescent="0.35">
      <c r="A2372" s="18">
        <v>45699</v>
      </c>
      <c r="B2372" s="15">
        <v>601.71575927734375</v>
      </c>
      <c r="C2372" s="15">
        <v>70.627349853515625</v>
      </c>
      <c r="D2372" s="15">
        <v>267.3900146484375</v>
      </c>
      <c r="E2372" s="15">
        <v>526.61236572265625</v>
      </c>
      <c r="F2372" s="15">
        <v>297.80078125</v>
      </c>
      <c r="H2372" s="16">
        <f t="shared" si="86"/>
        <v>-3.2267823062164043E-3</v>
      </c>
      <c r="I2372" s="16">
        <f t="shared" si="86"/>
        <v>-5.1349749229130676E-3</v>
      </c>
      <c r="J2372" s="16">
        <f t="shared" si="86"/>
        <v>1.046607072714827E-3</v>
      </c>
      <c r="K2372" s="16">
        <f t="shared" si="86"/>
        <v>5.8686879037902768E-4</v>
      </c>
      <c r="L2372" s="16">
        <f t="shared" si="87"/>
        <v>-3.3082835418888055E-3</v>
      </c>
    </row>
    <row r="2373" spans="1:12" x14ac:dyDescent="0.35">
      <c r="A2373" s="18">
        <v>45700</v>
      </c>
      <c r="B2373" s="15">
        <v>599.77728271484375</v>
      </c>
      <c r="C2373" s="15">
        <v>70.265609741210938</v>
      </c>
      <c r="D2373" s="15">
        <v>267.67001342773438</v>
      </c>
      <c r="E2373" s="15">
        <v>526.9215087890625</v>
      </c>
      <c r="F2373" s="15">
        <v>296.81719970703119</v>
      </c>
      <c r="H2373" s="16">
        <f t="shared" si="86"/>
        <v>1.0502166451318804E-2</v>
      </c>
      <c r="I2373" s="16">
        <f t="shared" si="86"/>
        <v>5.9653287304788161E-3</v>
      </c>
      <c r="J2373" s="16">
        <f t="shared" si="86"/>
        <v>9.8145108301511148E-3</v>
      </c>
      <c r="K2373" s="16">
        <f t="shared" si="86"/>
        <v>1.428344423268982E-2</v>
      </c>
      <c r="L2373" s="16">
        <f t="shared" si="87"/>
        <v>1.03889782915382E-2</v>
      </c>
    </row>
    <row r="2374" spans="1:12" x14ac:dyDescent="0.35">
      <c r="A2374" s="18">
        <v>45701</v>
      </c>
      <c r="B2374" s="15">
        <v>606.10943603515625</v>
      </c>
      <c r="C2374" s="15">
        <v>70.686019897460938</v>
      </c>
      <c r="D2374" s="15">
        <v>270.30999755859381</v>
      </c>
      <c r="E2374" s="15">
        <v>534.50177001953125</v>
      </c>
      <c r="F2374" s="15">
        <v>299.91690063476563</v>
      </c>
      <c r="H2374" s="16">
        <f t="shared" si="86"/>
        <v>-4.9142755990003229E-5</v>
      </c>
      <c r="I2374" s="16">
        <f t="shared" si="86"/>
        <v>3.1761846459578214E-3</v>
      </c>
      <c r="J2374" s="16">
        <f t="shared" si="86"/>
        <v>-1.4983466926549534E-2</v>
      </c>
      <c r="K2374" s="16">
        <f t="shared" si="86"/>
        <v>4.189775993639986E-3</v>
      </c>
      <c r="L2374" s="16">
        <f t="shared" si="87"/>
        <v>-1.3249176321547117E-4</v>
      </c>
    </row>
    <row r="2375" spans="1:12" x14ac:dyDescent="0.35">
      <c r="A2375" s="18">
        <v>45702</v>
      </c>
      <c r="B2375" s="15">
        <v>606.07965087890625</v>
      </c>
      <c r="C2375" s="15">
        <v>70.910888671875</v>
      </c>
      <c r="D2375" s="15">
        <v>266.29000854492188</v>
      </c>
      <c r="E2375" s="15">
        <v>536.74591064453125</v>
      </c>
      <c r="F2375" s="15">
        <v>299.87716674804688</v>
      </c>
      <c r="H2375" s="16">
        <f t="shared" si="86"/>
        <v>2.9315471095631108E-3</v>
      </c>
      <c r="I2375" s="16">
        <f t="shared" si="86"/>
        <v>-3.7297132319952342E-3</v>
      </c>
      <c r="J2375" s="16">
        <f t="shared" si="86"/>
        <v>1.64252691444777E-2</v>
      </c>
      <c r="K2375" s="16">
        <f t="shared" si="86"/>
        <v>2.2643094290688008E-3</v>
      </c>
      <c r="L2375" s="16">
        <f t="shared" si="87"/>
        <v>2.8121366743158486E-3</v>
      </c>
    </row>
    <row r="2376" spans="1:12" x14ac:dyDescent="0.35">
      <c r="A2376" s="18">
        <v>45706</v>
      </c>
      <c r="B2376" s="15">
        <v>607.8590087890625</v>
      </c>
      <c r="C2376" s="15">
        <v>70.646903991699219</v>
      </c>
      <c r="D2376" s="15">
        <v>270.70001220703119</v>
      </c>
      <c r="E2376" s="15">
        <v>537.962646484375</v>
      </c>
      <c r="F2376" s="15">
        <v>300.72164916992188</v>
      </c>
      <c r="H2376" s="16">
        <f t="shared" si="86"/>
        <v>2.3521485385189561E-3</v>
      </c>
      <c r="I2376" s="16">
        <f t="shared" si="86"/>
        <v>1.3829777900197897E-3</v>
      </c>
      <c r="J2376" s="16">
        <f t="shared" si="86"/>
        <v>5.5394292400856126E-4</v>
      </c>
      <c r="K2376" s="16">
        <f t="shared" si="86"/>
        <v>2.7815572498356687E-4</v>
      </c>
      <c r="L2376" s="16">
        <f t="shared" si="87"/>
        <v>1.4196264413786116E-3</v>
      </c>
    </row>
    <row r="2377" spans="1:12" x14ac:dyDescent="0.35">
      <c r="A2377" s="18">
        <v>45707</v>
      </c>
      <c r="B2377" s="15">
        <v>609.29046630859375</v>
      </c>
      <c r="C2377" s="15">
        <v>70.744674682617188</v>
      </c>
      <c r="D2377" s="15">
        <v>270.85000610351563</v>
      </c>
      <c r="E2377" s="15">
        <v>538.1123046875</v>
      </c>
      <c r="F2377" s="15">
        <v>301.14886474609381</v>
      </c>
      <c r="H2377" s="16">
        <f t="shared" si="86"/>
        <v>-4.169011000715617E-3</v>
      </c>
      <c r="I2377" s="16">
        <f t="shared" si="86"/>
        <v>1.2428852571450516E-3</v>
      </c>
      <c r="J2377" s="16">
        <f t="shared" si="86"/>
        <v>5.1669915443636205E-4</v>
      </c>
      <c r="K2377" s="16">
        <f t="shared" si="86"/>
        <v>-4.2537219076347792E-3</v>
      </c>
      <c r="L2377" s="16">
        <f t="shared" si="87"/>
        <v>-5.3919682744520562E-3</v>
      </c>
    </row>
    <row r="2378" spans="1:12" x14ac:dyDescent="0.35">
      <c r="A2378" s="18">
        <v>45708</v>
      </c>
      <c r="B2378" s="15">
        <v>606.755615234375</v>
      </c>
      <c r="C2378" s="15">
        <v>70.832656860351563</v>
      </c>
      <c r="D2378" s="15">
        <v>270.989990234375</v>
      </c>
      <c r="E2378" s="15">
        <v>535.82818603515625</v>
      </c>
      <c r="F2378" s="15">
        <v>299.52944946289063</v>
      </c>
      <c r="H2378" s="16">
        <f t="shared" si="86"/>
        <v>-1.7252034572690974E-2</v>
      </c>
      <c r="I2378" s="16">
        <f t="shared" si="86"/>
        <v>4.4072507128968454E-3</v>
      </c>
      <c r="J2378" s="16">
        <f t="shared" si="86"/>
        <v>-9.2296910549793444E-4</v>
      </c>
      <c r="K2378" s="16">
        <f t="shared" si="86"/>
        <v>-2.0972908513242801E-2</v>
      </c>
      <c r="L2378" s="16">
        <f t="shared" si="87"/>
        <v>-1.8647714031695409E-2</v>
      </c>
    </row>
    <row r="2379" spans="1:12" x14ac:dyDescent="0.35">
      <c r="A2379" s="18">
        <v>45709</v>
      </c>
      <c r="B2379" s="15">
        <v>596.37762451171875</v>
      </c>
      <c r="C2379" s="15">
        <v>71.145523071289063</v>
      </c>
      <c r="D2379" s="15">
        <v>270.739990234375</v>
      </c>
      <c r="E2379" s="15">
        <v>524.70733642578125</v>
      </c>
      <c r="F2379" s="15">
        <v>293.99566650390619</v>
      </c>
      <c r="H2379" s="16">
        <f t="shared" si="86"/>
        <v>-4.5608678132555225E-3</v>
      </c>
      <c r="I2379" s="16">
        <f t="shared" si="86"/>
        <v>1.3733990156973247E-3</v>
      </c>
      <c r="J2379" s="16">
        <f t="shared" si="86"/>
        <v>5.4148811569904014E-3</v>
      </c>
      <c r="K2379" s="16">
        <f t="shared" si="86"/>
        <v>-1.1874492701430381E-2</v>
      </c>
      <c r="L2379" s="16">
        <f t="shared" si="87"/>
        <v>-5.1156979323831514E-3</v>
      </c>
    </row>
    <row r="2380" spans="1:12" x14ac:dyDescent="0.35">
      <c r="A2380" s="18">
        <v>45712</v>
      </c>
      <c r="B2380" s="15">
        <v>593.663818359375</v>
      </c>
      <c r="C2380" s="15">
        <v>71.243301391601563</v>
      </c>
      <c r="D2380" s="15">
        <v>272.20999145507813</v>
      </c>
      <c r="E2380" s="15">
        <v>518.5135498046875</v>
      </c>
      <c r="F2380" s="15">
        <v>292.49551391601563</v>
      </c>
      <c r="H2380" s="16">
        <f t="shared" si="86"/>
        <v>-4.9855798795516723E-3</v>
      </c>
      <c r="I2380" s="16">
        <f t="shared" si="86"/>
        <v>6.292644977307792E-3</v>
      </c>
      <c r="J2380" s="16">
        <f t="shared" si="86"/>
        <v>-1.3276072540975698E-2</v>
      </c>
      <c r="K2380" s="16">
        <f t="shared" si="86"/>
        <v>-1.2679265440042284E-2</v>
      </c>
      <c r="L2380" s="16">
        <f t="shared" si="87"/>
        <v>-4.9714938425963768E-3</v>
      </c>
    </row>
    <row r="2381" spans="1:12" x14ac:dyDescent="0.35">
      <c r="A2381" s="18">
        <v>45713</v>
      </c>
      <c r="B2381" s="15">
        <v>590.71142578125</v>
      </c>
      <c r="C2381" s="15">
        <v>71.693023681640625</v>
      </c>
      <c r="D2381" s="15">
        <v>268.6199951171875</v>
      </c>
      <c r="E2381" s="15">
        <v>511.98068237304688</v>
      </c>
      <c r="F2381" s="15">
        <v>291.04498291015619</v>
      </c>
      <c r="H2381" s="16">
        <f t="shared" si="86"/>
        <v>5.0471771639938471E-4</v>
      </c>
      <c r="I2381" s="16">
        <f t="shared" si="86"/>
        <v>1.4990437990719477E-3</v>
      </c>
      <c r="J2381" s="16">
        <f t="shared" si="86"/>
        <v>1.5251697060953886E-3</v>
      </c>
      <c r="K2381" s="16">
        <f t="shared" si="86"/>
        <v>2.4127754969130778E-3</v>
      </c>
      <c r="L2381" s="16">
        <f t="shared" si="87"/>
        <v>3.4124542539419931E-4</v>
      </c>
    </row>
    <row r="2382" spans="1:12" x14ac:dyDescent="0.35">
      <c r="A2382" s="18">
        <v>45714</v>
      </c>
      <c r="B2382" s="15">
        <v>591.0096435546875</v>
      </c>
      <c r="C2382" s="15">
        <v>71.800575256347656</v>
      </c>
      <c r="D2382" s="15">
        <v>269.02999877929688</v>
      </c>
      <c r="E2382" s="15">
        <v>513.21746826171875</v>
      </c>
      <c r="F2382" s="15">
        <v>291.14431762695313</v>
      </c>
      <c r="H2382" s="16">
        <f t="shared" si="86"/>
        <v>-1.6090694041481505E-2</v>
      </c>
      <c r="I2382" s="16">
        <f t="shared" si="86"/>
        <v>-1.2264392460367933E-3</v>
      </c>
      <c r="J2382" s="16">
        <f t="shared" si="86"/>
        <v>-1.5357280506670869E-2</v>
      </c>
      <c r="K2382" s="16">
        <f t="shared" si="86"/>
        <v>-2.8164336030694299E-2</v>
      </c>
      <c r="L2382" s="16">
        <f t="shared" si="87"/>
        <v>-1.5613357005986796E-2</v>
      </c>
    </row>
    <row r="2383" spans="1:12" x14ac:dyDescent="0.35">
      <c r="A2383" s="18">
        <v>45715</v>
      </c>
      <c r="B2383" s="15">
        <v>581.57598876953125</v>
      </c>
      <c r="C2383" s="15">
        <v>71.712570190429688</v>
      </c>
      <c r="D2383" s="15">
        <v>264.92999267578119</v>
      </c>
      <c r="E2383" s="15">
        <v>498.96469116210938</v>
      </c>
      <c r="F2383" s="15">
        <v>286.63388061523438</v>
      </c>
      <c r="H2383" s="16">
        <f t="shared" si="86"/>
        <v>1.5485022872855856E-2</v>
      </c>
      <c r="I2383" s="16">
        <f t="shared" si="86"/>
        <v>4.2175903619136841E-3</v>
      </c>
      <c r="J2383" s="16">
        <f t="shared" si="86"/>
        <v>-6.2855326956683085E-3</v>
      </c>
      <c r="K2383" s="16">
        <f t="shared" si="86"/>
        <v>1.5668159166118072E-2</v>
      </c>
      <c r="L2383" s="16">
        <f t="shared" si="87"/>
        <v>1.5306188937979866E-2</v>
      </c>
    </row>
    <row r="2384" spans="1:12" x14ac:dyDescent="0.35">
      <c r="A2384" s="18">
        <v>45716</v>
      </c>
      <c r="B2384" s="15">
        <v>590.65179443359375</v>
      </c>
      <c r="C2384" s="15">
        <v>72.015663146972656</v>
      </c>
      <c r="D2384" s="15">
        <v>263.26998901367188</v>
      </c>
      <c r="E2384" s="15">
        <v>506.8441162109375</v>
      </c>
      <c r="F2384" s="15">
        <v>291.05490112304688</v>
      </c>
      <c r="H2384" s="16">
        <f t="shared" si="86"/>
        <v>-1.7675162597188758E-2</v>
      </c>
      <c r="I2384" s="16">
        <f t="shared" si="86"/>
        <v>2.2984958158176927E-3</v>
      </c>
      <c r="J2384" s="16">
        <f t="shared" si="86"/>
        <v>1.309428477593445E-2</v>
      </c>
      <c r="K2384" s="16">
        <f t="shared" si="86"/>
        <v>-2.2125508440669892E-2</v>
      </c>
      <c r="L2384" s="16">
        <f t="shared" si="87"/>
        <v>-1.8083021832894453E-2</v>
      </c>
    </row>
    <row r="2385" spans="1:12" x14ac:dyDescent="0.35">
      <c r="A2385" s="18">
        <v>45719</v>
      </c>
      <c r="B2385" s="15">
        <v>580.30364990234375</v>
      </c>
      <c r="C2385" s="15">
        <v>72.181381225585938</v>
      </c>
      <c r="D2385" s="15">
        <v>266.739990234375</v>
      </c>
      <c r="E2385" s="15">
        <v>495.75308227539063</v>
      </c>
      <c r="F2385" s="15">
        <v>285.83905029296881</v>
      </c>
      <c r="H2385" s="16">
        <f t="shared" si="86"/>
        <v>-1.1907552742593358E-2</v>
      </c>
      <c r="I2385" s="16">
        <f t="shared" si="86"/>
        <v>-2.8570655654300337E-3</v>
      </c>
      <c r="J2385" s="16">
        <f t="shared" si="86"/>
        <v>8.6600294003391729E-3</v>
      </c>
      <c r="K2385" s="16">
        <f t="shared" si="86"/>
        <v>-3.0223214272987048E-3</v>
      </c>
      <c r="L2385" s="16">
        <f t="shared" si="87"/>
        <v>-1.2556329394648973E-2</v>
      </c>
    </row>
    <row r="2386" spans="1:12" x14ac:dyDescent="0.35">
      <c r="A2386" s="18">
        <v>45720</v>
      </c>
      <c r="B2386" s="15">
        <v>573.43463134765625</v>
      </c>
      <c r="C2386" s="15">
        <v>71.975448608398438</v>
      </c>
      <c r="D2386" s="15">
        <v>269.05999755859381</v>
      </c>
      <c r="E2386" s="15">
        <v>494.25701904296881</v>
      </c>
      <c r="F2386" s="15">
        <v>282.27239990234381</v>
      </c>
      <c r="H2386" s="16">
        <f t="shared" si="86"/>
        <v>1.0690534503495684E-2</v>
      </c>
      <c r="I2386" s="16">
        <f t="shared" si="86"/>
        <v>-3.5483826674160756E-3</v>
      </c>
      <c r="J2386" s="16">
        <f t="shared" si="86"/>
        <v>2.0791481693778241E-3</v>
      </c>
      <c r="K2386" s="16">
        <f t="shared" si="86"/>
        <v>1.2951785112959224E-2</v>
      </c>
      <c r="L2386" s="16">
        <f t="shared" si="87"/>
        <v>1.1304368134324559E-2</v>
      </c>
    </row>
    <row r="2387" spans="1:12" x14ac:dyDescent="0.35">
      <c r="A2387" s="18">
        <v>45721</v>
      </c>
      <c r="B2387" s="15">
        <v>579.59783935546875</v>
      </c>
      <c r="C2387" s="15">
        <v>71.720504760742188</v>
      </c>
      <c r="D2387" s="15">
        <v>269.6199951171875</v>
      </c>
      <c r="E2387" s="15">
        <v>500.70016479492188</v>
      </c>
      <c r="F2387" s="15">
        <v>285.48141479492188</v>
      </c>
      <c r="H2387" s="16">
        <f t="shared" si="86"/>
        <v>-1.7910564973548981E-2</v>
      </c>
      <c r="I2387" s="16">
        <f t="shared" si="86"/>
        <v>-8.2082068900629786E-4</v>
      </c>
      <c r="J2387" s="16">
        <f t="shared" si="86"/>
        <v>-5.094160642131142E-3</v>
      </c>
      <c r="K2387" s="16">
        <f t="shared" ref="K2387:L2450" si="88">LN(E2388/E2387)</f>
        <v>-2.789485945831631E-2</v>
      </c>
      <c r="L2387" s="16">
        <f t="shared" si="87"/>
        <v>-1.8758535414654994E-2</v>
      </c>
    </row>
    <row r="2388" spans="1:12" x14ac:dyDescent="0.35">
      <c r="A2388" s="18">
        <v>45722</v>
      </c>
      <c r="B2388" s="15">
        <v>569.309326171875</v>
      </c>
      <c r="C2388" s="15">
        <v>71.661659240722656</v>
      </c>
      <c r="D2388" s="15">
        <v>268.25</v>
      </c>
      <c r="E2388" s="15">
        <v>486.92620849609381</v>
      </c>
      <c r="F2388" s="15">
        <v>280.17611694335938</v>
      </c>
      <c r="H2388" s="16">
        <f t="shared" ref="H2388:L2451" si="89">LN(B2389/B2388)</f>
        <v>5.5891376172957892E-3</v>
      </c>
      <c r="I2388" s="16">
        <f t="shared" si="89"/>
        <v>-1.0953701074091515E-3</v>
      </c>
      <c r="J2388" s="16">
        <f t="shared" si="89"/>
        <v>5.2181964740867948E-4</v>
      </c>
      <c r="K2388" s="16">
        <f t="shared" si="88"/>
        <v>7.3266265734750445E-3</v>
      </c>
      <c r="L2388" s="16">
        <f t="shared" si="88"/>
        <v>4.7050549392132169E-3</v>
      </c>
    </row>
    <row r="2389" spans="1:12" x14ac:dyDescent="0.35">
      <c r="A2389" s="18">
        <v>45723</v>
      </c>
      <c r="B2389" s="15">
        <v>572.50018310546875</v>
      </c>
      <c r="C2389" s="15">
        <v>71.583206176757813</v>
      </c>
      <c r="D2389" s="15">
        <v>268.3900146484375</v>
      </c>
      <c r="E2389" s="15">
        <v>490.5068359375</v>
      </c>
      <c r="F2389" s="15">
        <v>281.49746704101563</v>
      </c>
      <c r="H2389" s="16">
        <f t="shared" si="89"/>
        <v>-2.6996673357371437E-2</v>
      </c>
      <c r="I2389" s="16">
        <f t="shared" si="89"/>
        <v>4.6466613886866235E-3</v>
      </c>
      <c r="J2389" s="16">
        <f t="shared" si="89"/>
        <v>-8.7944956230600665E-3</v>
      </c>
      <c r="K2389" s="16">
        <f t="shared" si="88"/>
        <v>-3.9527427396139042E-2</v>
      </c>
      <c r="L2389" s="16">
        <f t="shared" si="88"/>
        <v>-2.7624381190304654E-2</v>
      </c>
    </row>
    <row r="2390" spans="1:12" x14ac:dyDescent="0.35">
      <c r="A2390" s="18">
        <v>45726</v>
      </c>
      <c r="B2390" s="15">
        <v>557.2513427734375</v>
      </c>
      <c r="C2390" s="15">
        <v>71.916603088378906</v>
      </c>
      <c r="D2390" s="15">
        <v>266.04000854492188</v>
      </c>
      <c r="E2390" s="15">
        <v>471.49655151367188</v>
      </c>
      <c r="F2390" s="15">
        <v>273.82769775390619</v>
      </c>
      <c r="H2390" s="16">
        <f t="shared" si="89"/>
        <v>-8.3476639616681704E-3</v>
      </c>
      <c r="I2390" s="16">
        <f t="shared" si="89"/>
        <v>-3.8249414741357425E-3</v>
      </c>
      <c r="J2390" s="16">
        <f t="shared" si="89"/>
        <v>1.1659306390657541E-2</v>
      </c>
      <c r="K2390" s="16">
        <f t="shared" si="88"/>
        <v>-2.3932176038646944E-3</v>
      </c>
      <c r="L2390" s="16">
        <f t="shared" si="88"/>
        <v>-7.0271399748710033E-3</v>
      </c>
    </row>
    <row r="2391" spans="1:12" x14ac:dyDescent="0.35">
      <c r="A2391" s="18">
        <v>45727</v>
      </c>
      <c r="B2391" s="15">
        <v>552.61895751953125</v>
      </c>
      <c r="C2391" s="15">
        <v>71.642051696777344</v>
      </c>
      <c r="D2391" s="15">
        <v>269.16000366210938</v>
      </c>
      <c r="E2391" s="15">
        <v>470.3695068359375</v>
      </c>
      <c r="F2391" s="15">
        <v>271.91021728515619</v>
      </c>
      <c r="H2391" s="16">
        <f t="shared" si="89"/>
        <v>5.2926207187431965E-3</v>
      </c>
      <c r="I2391" s="16">
        <f t="shared" si="89"/>
        <v>-2.0550870138826374E-3</v>
      </c>
      <c r="J2391" s="16">
        <f t="shared" si="89"/>
        <v>4.3373733176007021E-3</v>
      </c>
      <c r="K2391" s="16">
        <f t="shared" si="88"/>
        <v>1.1217663122888997E-2</v>
      </c>
      <c r="L2391" s="16">
        <f t="shared" si="88"/>
        <v>4.9205595651368953E-3</v>
      </c>
    </row>
    <row r="2392" spans="1:12" x14ac:dyDescent="0.35">
      <c r="A2392" s="18">
        <v>45728</v>
      </c>
      <c r="B2392" s="15">
        <v>555.551513671875</v>
      </c>
      <c r="C2392" s="15">
        <v>71.494972229003906</v>
      </c>
      <c r="D2392" s="15">
        <v>270.32998657226563</v>
      </c>
      <c r="E2392" s="15">
        <v>475.6756591796875</v>
      </c>
      <c r="F2392" s="15">
        <v>273.25146484375</v>
      </c>
      <c r="H2392" s="16">
        <f t="shared" si="89"/>
        <v>-1.3420227709884373E-2</v>
      </c>
      <c r="I2392" s="16">
        <f t="shared" si="89"/>
        <v>3.012748031350901E-3</v>
      </c>
      <c r="J2392" s="16">
        <f t="shared" si="89"/>
        <v>1.7600345742839831E-2</v>
      </c>
      <c r="K2392" s="16">
        <f t="shared" si="88"/>
        <v>-1.8154306727205752E-2</v>
      </c>
      <c r="L2392" s="16">
        <f t="shared" si="88"/>
        <v>-1.4133850772580305E-2</v>
      </c>
    </row>
    <row r="2393" spans="1:12" x14ac:dyDescent="0.35">
      <c r="A2393" s="18">
        <v>45729</v>
      </c>
      <c r="B2393" s="15">
        <v>548.14569091796875</v>
      </c>
      <c r="C2393" s="15">
        <v>71.710693359375</v>
      </c>
      <c r="D2393" s="15">
        <v>275.1300048828125</v>
      </c>
      <c r="E2393" s="15">
        <v>467.11801147460938</v>
      </c>
      <c r="F2393" s="15">
        <v>269.41653442382813</v>
      </c>
      <c r="H2393" s="16">
        <f t="shared" si="89"/>
        <v>2.0445361754494778E-2</v>
      </c>
      <c r="I2393" s="16">
        <f t="shared" si="89"/>
        <v>-2.4643970657471231E-3</v>
      </c>
      <c r="J2393" s="16">
        <f t="shared" si="89"/>
        <v>3.9967786762496409E-4</v>
      </c>
      <c r="K2393" s="16">
        <f t="shared" si="88"/>
        <v>2.3882996622394133E-2</v>
      </c>
      <c r="L2393" s="16">
        <f t="shared" si="88"/>
        <v>2.1198593210469862E-2</v>
      </c>
    </row>
    <row r="2394" spans="1:12" x14ac:dyDescent="0.35">
      <c r="A2394" s="18">
        <v>45730</v>
      </c>
      <c r="B2394" s="15">
        <v>559.46807861328125</v>
      </c>
      <c r="C2394" s="15">
        <v>71.534187316894531</v>
      </c>
      <c r="D2394" s="15">
        <v>275.239990234375</v>
      </c>
      <c r="E2394" s="15">
        <v>478.40847778320313</v>
      </c>
      <c r="F2394" s="15">
        <v>275.18875122070313</v>
      </c>
      <c r="H2394" s="16">
        <f t="shared" si="89"/>
        <v>7.6817976299656974E-3</v>
      </c>
      <c r="I2394" s="16">
        <f t="shared" si="89"/>
        <v>1.3698828650652165E-3</v>
      </c>
      <c r="J2394" s="16">
        <f t="shared" si="89"/>
        <v>5.3989324346434154E-3</v>
      </c>
      <c r="K2394" s="16">
        <f t="shared" si="88"/>
        <v>6.4627933053465541E-3</v>
      </c>
      <c r="L2394" s="16">
        <f t="shared" si="88"/>
        <v>8.2335960638690933E-3</v>
      </c>
    </row>
    <row r="2395" spans="1:12" x14ac:dyDescent="0.35">
      <c r="A2395" s="18">
        <v>45733</v>
      </c>
      <c r="B2395" s="15">
        <v>563.7823486328125</v>
      </c>
      <c r="C2395" s="15">
        <v>71.632247924804688</v>
      </c>
      <c r="D2395" s="15">
        <v>276.73001098632813</v>
      </c>
      <c r="E2395" s="15">
        <v>481.51034545898438</v>
      </c>
      <c r="F2395" s="15">
        <v>277.46389770507813</v>
      </c>
      <c r="H2395" s="16">
        <f t="shared" si="89"/>
        <v>-1.0867311813676478E-2</v>
      </c>
      <c r="I2395" s="16">
        <f t="shared" si="89"/>
        <v>1.0945142006818895E-3</v>
      </c>
      <c r="J2395" s="16">
        <f t="shared" si="89"/>
        <v>1.1604364010877142E-2</v>
      </c>
      <c r="K2395" s="16">
        <f t="shared" si="88"/>
        <v>-1.7194372614100551E-2</v>
      </c>
      <c r="L2395" s="16">
        <f t="shared" si="88"/>
        <v>-1.0836292469967292E-2</v>
      </c>
    </row>
    <row r="2396" spans="1:12" x14ac:dyDescent="0.35">
      <c r="A2396" s="18">
        <v>45734</v>
      </c>
      <c r="B2396" s="15">
        <v>557.688720703125</v>
      </c>
      <c r="C2396" s="15">
        <v>71.710693359375</v>
      </c>
      <c r="D2396" s="15">
        <v>279.95999145507813</v>
      </c>
      <c r="E2396" s="15">
        <v>473.30184936523438</v>
      </c>
      <c r="F2396" s="15">
        <v>274.47344970703119</v>
      </c>
      <c r="H2396" s="16">
        <f t="shared" si="89"/>
        <v>1.0832018385081838E-2</v>
      </c>
      <c r="I2396" s="16">
        <f t="shared" si="89"/>
        <v>3.0038047095854877E-3</v>
      </c>
      <c r="J2396" s="16">
        <f t="shared" si="89"/>
        <v>4.0992943996915297E-3</v>
      </c>
      <c r="K2396" s="16">
        <f t="shared" si="88"/>
        <v>1.3292646682873865E-2</v>
      </c>
      <c r="L2396" s="16">
        <f t="shared" si="88"/>
        <v>1.130165154323994E-2</v>
      </c>
    </row>
    <row r="2397" spans="1:12" x14ac:dyDescent="0.35">
      <c r="A2397" s="18">
        <v>45735</v>
      </c>
      <c r="B2397" s="15">
        <v>563.762451171875</v>
      </c>
      <c r="C2397" s="15">
        <v>71.926422119140625</v>
      </c>
      <c r="D2397" s="15">
        <v>281.1099853515625</v>
      </c>
      <c r="E2397" s="15">
        <v>479.63528442382813</v>
      </c>
      <c r="F2397" s="15">
        <v>277.59304809570313</v>
      </c>
      <c r="H2397" s="16">
        <f t="shared" si="89"/>
        <v>-2.8960281170418221E-3</v>
      </c>
      <c r="I2397" s="16">
        <f t="shared" si="89"/>
        <v>4.0893081706560008E-4</v>
      </c>
      <c r="J2397" s="16">
        <f t="shared" si="89"/>
        <v>-1.2814060805390753E-3</v>
      </c>
      <c r="K2397" s="16">
        <f t="shared" si="88"/>
        <v>-3.3953392558147668E-3</v>
      </c>
      <c r="L2397" s="16">
        <f t="shared" si="88"/>
        <v>-2.400812224901616E-3</v>
      </c>
    </row>
    <row r="2398" spans="1:12" x14ac:dyDescent="0.35">
      <c r="A2398" s="18">
        <v>45736</v>
      </c>
      <c r="B2398" s="15">
        <v>562.13214111328125</v>
      </c>
      <c r="C2398" s="15">
        <v>71.955841064453125</v>
      </c>
      <c r="D2398" s="15">
        <v>280.75</v>
      </c>
      <c r="E2398" s="15">
        <v>478.009521484375</v>
      </c>
      <c r="F2398" s="15">
        <v>276.92739868164063</v>
      </c>
      <c r="H2398" s="16">
        <f t="shared" si="89"/>
        <v>3.2991396644615047E-4</v>
      </c>
      <c r="I2398" s="16">
        <f t="shared" si="89"/>
        <v>-8.1781669575545571E-4</v>
      </c>
      <c r="J2398" s="16">
        <f t="shared" si="89"/>
        <v>-8.0824766049421536E-3</v>
      </c>
      <c r="K2398" s="16">
        <f t="shared" si="88"/>
        <v>3.2913042997213143E-3</v>
      </c>
      <c r="L2398" s="16">
        <f t="shared" si="88"/>
        <v>3.9455066661856755E-4</v>
      </c>
    </row>
    <row r="2399" spans="1:12" x14ac:dyDescent="0.35">
      <c r="A2399" s="18">
        <v>45737</v>
      </c>
      <c r="B2399" s="15">
        <v>562.317626953125</v>
      </c>
      <c r="C2399" s="15">
        <v>71.897018432617188</v>
      </c>
      <c r="D2399" s="15">
        <v>278.489990234375</v>
      </c>
      <c r="E2399" s="15">
        <v>479.58538818359381</v>
      </c>
      <c r="F2399" s="15">
        <v>277.03668212890619</v>
      </c>
      <c r="H2399" s="16">
        <f t="shared" si="89"/>
        <v>1.7750007931702762E-2</v>
      </c>
      <c r="I2399" s="16">
        <f t="shared" si="89"/>
        <v>-4.374299762915047E-3</v>
      </c>
      <c r="J2399" s="16">
        <f t="shared" si="89"/>
        <v>-4.4624907831339843E-3</v>
      </c>
      <c r="K2399" s="16">
        <f t="shared" si="88"/>
        <v>2.1706998066784906E-2</v>
      </c>
      <c r="L2399" s="16">
        <f t="shared" si="88"/>
        <v>1.8335515137202604E-2</v>
      </c>
    </row>
    <row r="2400" spans="1:12" x14ac:dyDescent="0.35">
      <c r="A2400" s="18">
        <v>45740</v>
      </c>
      <c r="B2400" s="15">
        <v>572.38787841796875</v>
      </c>
      <c r="C2400" s="15">
        <v>71.583206176757813</v>
      </c>
      <c r="D2400" s="15">
        <v>277.25</v>
      </c>
      <c r="E2400" s="15">
        <v>490.10955810546881</v>
      </c>
      <c r="F2400" s="15">
        <v>282.16314697265619</v>
      </c>
      <c r="H2400" s="16">
        <f t="shared" si="89"/>
        <v>2.400932130490491E-3</v>
      </c>
      <c r="I2400" s="16">
        <f t="shared" si="89"/>
        <v>1.2321671272998117E-3</v>
      </c>
      <c r="J2400" s="16">
        <f t="shared" si="89"/>
        <v>4.3907117900746449E-3</v>
      </c>
      <c r="K2400" s="16">
        <f t="shared" si="88"/>
        <v>5.6904110860555952E-3</v>
      </c>
      <c r="L2400" s="16">
        <f t="shared" si="88"/>
        <v>1.6885078896869295E-3</v>
      </c>
    </row>
    <row r="2401" spans="1:12" x14ac:dyDescent="0.35">
      <c r="A2401" s="18">
        <v>45741</v>
      </c>
      <c r="B2401" s="15">
        <v>573.7637939453125</v>
      </c>
      <c r="C2401" s="15">
        <v>71.671463012695313</v>
      </c>
      <c r="D2401" s="15">
        <v>278.47000122070313</v>
      </c>
      <c r="E2401" s="15">
        <v>492.90643310546881</v>
      </c>
      <c r="F2401" s="15">
        <v>282.63998413085938</v>
      </c>
      <c r="H2401" s="16">
        <f t="shared" si="89"/>
        <v>-1.2010075835660459E-2</v>
      </c>
      <c r="I2401" s="16">
        <f t="shared" si="89"/>
        <v>-2.1915345238841875E-3</v>
      </c>
      <c r="J2401" s="16">
        <f t="shared" si="89"/>
        <v>-8.2632251242602934E-4</v>
      </c>
      <c r="K2401" s="16">
        <f t="shared" si="88"/>
        <v>-1.8572100391796433E-2</v>
      </c>
      <c r="L2401" s="16">
        <f t="shared" si="88"/>
        <v>-1.1774107522482709E-2</v>
      </c>
    </row>
    <row r="2402" spans="1:12" x14ac:dyDescent="0.35">
      <c r="A2402" s="18">
        <v>45742</v>
      </c>
      <c r="B2402" s="15">
        <v>566.9140625</v>
      </c>
      <c r="C2402" s="15">
        <v>71.514564514160156</v>
      </c>
      <c r="D2402" s="15">
        <v>278.239990234375</v>
      </c>
      <c r="E2402" s="15">
        <v>483.83660888671881</v>
      </c>
      <c r="F2402" s="15">
        <v>279.3316650390625</v>
      </c>
      <c r="H2402" s="16">
        <f t="shared" si="89"/>
        <v>-2.6592335527982139E-3</v>
      </c>
      <c r="I2402" s="16">
        <f t="shared" si="89"/>
        <v>-4.1134789359290221E-4</v>
      </c>
      <c r="J2402" s="16">
        <f t="shared" si="89"/>
        <v>1.3316671121389569E-2</v>
      </c>
      <c r="K2402" s="16">
        <f t="shared" si="88"/>
        <v>-5.7142871666395851E-3</v>
      </c>
      <c r="L2402" s="16">
        <f t="shared" si="88"/>
        <v>-4.2385567906793658E-3</v>
      </c>
    </row>
    <row r="2403" spans="1:12" x14ac:dyDescent="0.35">
      <c r="A2403" s="18">
        <v>45743</v>
      </c>
      <c r="B2403" s="15">
        <v>565.40850830078125</v>
      </c>
      <c r="C2403" s="15">
        <v>71.485153198242188</v>
      </c>
      <c r="D2403" s="15">
        <v>281.97000122070313</v>
      </c>
      <c r="E2403" s="15">
        <v>481.0797119140625</v>
      </c>
      <c r="F2403" s="15">
        <v>278.15020751953119</v>
      </c>
      <c r="H2403" s="16">
        <f t="shared" si="89"/>
        <v>-2.0343815134763906E-2</v>
      </c>
      <c r="I2403" s="16">
        <f t="shared" si="89"/>
        <v>5.7450150530922979E-3</v>
      </c>
      <c r="J2403" s="16">
        <f t="shared" si="89"/>
        <v>7.3847882287823496E-3</v>
      </c>
      <c r="K2403" s="16">
        <f t="shared" si="88"/>
        <v>-2.6680584524401474E-2</v>
      </c>
      <c r="L2403" s="16">
        <f t="shared" si="88"/>
        <v>-2.013032860586288E-2</v>
      </c>
    </row>
    <row r="2404" spans="1:12" x14ac:dyDescent="0.35">
      <c r="A2404" s="18">
        <v>45744</v>
      </c>
      <c r="B2404" s="15">
        <v>554.02215576171875</v>
      </c>
      <c r="C2404" s="15">
        <v>71.897018432617188</v>
      </c>
      <c r="D2404" s="15">
        <v>284.05999755859381</v>
      </c>
      <c r="E2404" s="15">
        <v>468.4139404296875</v>
      </c>
      <c r="F2404" s="15">
        <v>272.60693359375</v>
      </c>
      <c r="H2404" s="16">
        <f t="shared" si="89"/>
        <v>6.6902873903083365E-3</v>
      </c>
      <c r="I2404" s="16">
        <f t="shared" si="89"/>
        <v>1.771303477705633E-3</v>
      </c>
      <c r="J2404" s="16">
        <f t="shared" si="89"/>
        <v>1.4261049112945855E-2</v>
      </c>
      <c r="K2404" s="16">
        <f t="shared" si="88"/>
        <v>-4.2609580086359432E-5</v>
      </c>
      <c r="L2404" s="16">
        <f t="shared" si="88"/>
        <v>5.1434845862785511E-3</v>
      </c>
    </row>
    <row r="2405" spans="1:12" x14ac:dyDescent="0.35">
      <c r="A2405" s="18">
        <v>45747</v>
      </c>
      <c r="B2405" s="15">
        <v>557.74114990234375</v>
      </c>
      <c r="C2405" s="15">
        <v>72.024482727050781</v>
      </c>
      <c r="D2405" s="15">
        <v>288.1400146484375</v>
      </c>
      <c r="E2405" s="15">
        <v>468.39398193359381</v>
      </c>
      <c r="F2405" s="15">
        <v>274.0126953125</v>
      </c>
      <c r="H2405" s="16">
        <f t="shared" si="89"/>
        <v>2.8204783762107951E-3</v>
      </c>
      <c r="I2405" s="16">
        <f t="shared" si="89"/>
        <v>3.1366819643711529E-3</v>
      </c>
      <c r="J2405" s="16">
        <f t="shared" si="89"/>
        <v>-1.9801896396474642E-3</v>
      </c>
      <c r="K2405" s="16">
        <f t="shared" si="88"/>
        <v>8.028753470265073E-3</v>
      </c>
      <c r="L2405" s="16">
        <f t="shared" si="88"/>
        <v>3.3780183620247596E-3</v>
      </c>
    </row>
    <row r="2406" spans="1:12" x14ac:dyDescent="0.35">
      <c r="A2406" s="18">
        <v>45748</v>
      </c>
      <c r="B2406" s="15">
        <v>559.31646728515625</v>
      </c>
      <c r="C2406" s="15">
        <v>72.250755310058594</v>
      </c>
      <c r="D2406" s="15">
        <v>287.57000732421881</v>
      </c>
      <c r="E2406" s="15">
        <v>472.16973876953119</v>
      </c>
      <c r="F2406" s="15">
        <v>274.93988037109381</v>
      </c>
      <c r="H2406" s="16">
        <f t="shared" si="89"/>
        <v>6.30851924999545E-3</v>
      </c>
      <c r="I2406" s="16">
        <f t="shared" si="89"/>
        <v>-8.172248973577535E-4</v>
      </c>
      <c r="J2406" s="16">
        <f t="shared" si="89"/>
        <v>2.0495598046477046E-3</v>
      </c>
      <c r="K2406" s="16">
        <f t="shared" si="88"/>
        <v>7.2719425220126128E-3</v>
      </c>
      <c r="L2406" s="16">
        <f t="shared" si="88"/>
        <v>7.8741434875898315E-3</v>
      </c>
    </row>
    <row r="2407" spans="1:12" x14ac:dyDescent="0.35">
      <c r="A2407" s="18">
        <v>45749</v>
      </c>
      <c r="B2407" s="15">
        <v>562.8560791015625</v>
      </c>
      <c r="C2407" s="15">
        <v>72.191734313964844</v>
      </c>
      <c r="D2407" s="15">
        <v>288.16000366210938</v>
      </c>
      <c r="E2407" s="15">
        <v>475.6158447265625</v>
      </c>
      <c r="F2407" s="15">
        <v>277.11334228515619</v>
      </c>
      <c r="H2407" s="16">
        <f t="shared" si="89"/>
        <v>-5.0536601517315101E-2</v>
      </c>
      <c r="I2407" s="16">
        <f t="shared" si="89"/>
        <v>5.1651799217309413E-3</v>
      </c>
      <c r="J2407" s="16">
        <f t="shared" si="89"/>
        <v>-6.0565822044141146E-3</v>
      </c>
      <c r="K2407" s="16">
        <f t="shared" si="88"/>
        <v>-5.5019734592213564E-2</v>
      </c>
      <c r="L2407" s="16">
        <f t="shared" si="88"/>
        <v>-5.1643732576550978E-2</v>
      </c>
    </row>
    <row r="2408" spans="1:12" x14ac:dyDescent="0.35">
      <c r="A2408" s="18">
        <v>45750</v>
      </c>
      <c r="B2408" s="15">
        <v>535.1180419921875</v>
      </c>
      <c r="C2408" s="15">
        <v>72.565582275390625</v>
      </c>
      <c r="D2408" s="15">
        <v>286.42001342773438</v>
      </c>
      <c r="E2408" s="15">
        <v>450.15444946289063</v>
      </c>
      <c r="F2408" s="15">
        <v>263.16543579101563</v>
      </c>
      <c r="H2408" s="16">
        <f t="shared" si="89"/>
        <v>-6.0326558165215545E-2</v>
      </c>
      <c r="I2408" s="16">
        <f t="shared" si="89"/>
        <v>8.1301637741538308E-4</v>
      </c>
      <c r="J2408" s="16">
        <f t="shared" si="89"/>
        <v>-2.3670204732144842E-2</v>
      </c>
      <c r="K2408" s="16">
        <f t="shared" si="88"/>
        <v>-6.4121411016972774E-2</v>
      </c>
      <c r="L2408" s="16">
        <f t="shared" si="88"/>
        <v>-6.0475409701454867E-2</v>
      </c>
    </row>
    <row r="2409" spans="1:12" x14ac:dyDescent="0.35">
      <c r="A2409" s="18">
        <v>45751</v>
      </c>
      <c r="B2409" s="15">
        <v>503.7906494140625</v>
      </c>
      <c r="C2409" s="15">
        <v>72.624603271484375</v>
      </c>
      <c r="D2409" s="15">
        <v>279.72000122070313</v>
      </c>
      <c r="E2409" s="15">
        <v>422.19586181640619</v>
      </c>
      <c r="F2409" s="15">
        <v>247.7220764160156</v>
      </c>
      <c r="H2409" s="16">
        <f t="shared" si="89"/>
        <v>-1.7827622978826335E-3</v>
      </c>
      <c r="I2409" s="16">
        <f t="shared" si="89"/>
        <v>-1.2129508538217046E-2</v>
      </c>
      <c r="J2409" s="16">
        <f t="shared" si="89"/>
        <v>-2.1719986685703737E-2</v>
      </c>
      <c r="K2409" s="16">
        <f t="shared" si="88"/>
        <v>2.4102605186133576E-3</v>
      </c>
      <c r="L2409" s="16">
        <f t="shared" si="88"/>
        <v>-3.265253219312416E-3</v>
      </c>
    </row>
    <row r="2410" spans="1:12" x14ac:dyDescent="0.35">
      <c r="A2410" s="18">
        <v>45754</v>
      </c>
      <c r="B2410" s="15">
        <v>502.893310546875</v>
      </c>
      <c r="C2410" s="15">
        <v>71.7490234375</v>
      </c>
      <c r="D2410" s="15">
        <v>273.70999145507813</v>
      </c>
      <c r="E2410" s="15">
        <v>423.21469116210938</v>
      </c>
      <c r="F2410" s="15">
        <v>246.9145202636719</v>
      </c>
      <c r="H2410" s="16">
        <f t="shared" si="89"/>
        <v>-1.5786740816997092E-2</v>
      </c>
      <c r="I2410" s="16">
        <f t="shared" si="89"/>
        <v>-5.7758293786739148E-3</v>
      </c>
      <c r="J2410" s="16">
        <f t="shared" si="89"/>
        <v>5.4290299021519982E-3</v>
      </c>
      <c r="K2410" s="16">
        <f t="shared" si="88"/>
        <v>-1.81725486954104E-2</v>
      </c>
      <c r="L2410" s="16">
        <f t="shared" si="88"/>
        <v>-1.5913700512578545E-2</v>
      </c>
    </row>
    <row r="2411" spans="1:12" x14ac:dyDescent="0.35">
      <c r="A2411" s="18">
        <v>45755</v>
      </c>
      <c r="B2411" s="15">
        <v>495.0166015625</v>
      </c>
      <c r="C2411" s="15">
        <v>71.335807800292969</v>
      </c>
      <c r="D2411" s="15">
        <v>275.20001220703119</v>
      </c>
      <c r="E2411" s="15">
        <v>415.59326171875</v>
      </c>
      <c r="F2411" s="15">
        <v>243.01629638671881</v>
      </c>
      <c r="H2411" s="16">
        <f t="shared" si="89"/>
        <v>9.9862857809897496E-2</v>
      </c>
      <c r="I2411" s="16">
        <f t="shared" si="89"/>
        <v>2.3418228755673694E-3</v>
      </c>
      <c r="J2411" s="16">
        <f t="shared" si="89"/>
        <v>3.6323492196158949E-2</v>
      </c>
      <c r="K2411" s="16">
        <f t="shared" si="88"/>
        <v>0.11335614301331909</v>
      </c>
      <c r="L2411" s="16">
        <f t="shared" si="88"/>
        <v>9.6633378959051594E-2</v>
      </c>
    </row>
    <row r="2412" spans="1:12" x14ac:dyDescent="0.35">
      <c r="A2412" s="18">
        <v>45756</v>
      </c>
      <c r="B2412" s="15">
        <v>547.0029296875</v>
      </c>
      <c r="C2412" s="15">
        <v>71.503059387207031</v>
      </c>
      <c r="D2412" s="15">
        <v>285.3800048828125</v>
      </c>
      <c r="E2412" s="15">
        <v>465.47723388671881</v>
      </c>
      <c r="F2412" s="15">
        <v>267.671875</v>
      </c>
      <c r="H2412" s="16">
        <f t="shared" si="89"/>
        <v>-4.4808160126896673E-2</v>
      </c>
      <c r="I2412" s="16">
        <f t="shared" si="89"/>
        <v>-8.0122309955617359E-3</v>
      </c>
      <c r="J2412" s="16">
        <f t="shared" si="89"/>
        <v>2.4130092886814451E-2</v>
      </c>
      <c r="K2412" s="16">
        <f t="shared" si="88"/>
        <v>-4.3463163508913071E-2</v>
      </c>
      <c r="L2412" s="16">
        <f t="shared" si="88"/>
        <v>-4.2028760810795596E-2</v>
      </c>
    </row>
    <row r="2413" spans="1:12" x14ac:dyDescent="0.35">
      <c r="A2413" s="18">
        <v>45757</v>
      </c>
      <c r="B2413" s="15">
        <v>523.03375244140625</v>
      </c>
      <c r="C2413" s="15">
        <v>70.932449340820313</v>
      </c>
      <c r="D2413" s="15">
        <v>292.35000610351563</v>
      </c>
      <c r="E2413" s="15">
        <v>445.67947387695313</v>
      </c>
      <c r="F2413" s="15">
        <v>256.65509033203119</v>
      </c>
      <c r="H2413" s="16">
        <f t="shared" si="89"/>
        <v>1.7685506101808496E-2</v>
      </c>
      <c r="I2413" s="16">
        <f t="shared" si="89"/>
        <v>-1.1100828127343354E-3</v>
      </c>
      <c r="J2413" s="16">
        <f t="shared" si="89"/>
        <v>1.8906799500580711E-2</v>
      </c>
      <c r="K2413" s="16">
        <f t="shared" si="88"/>
        <v>1.8255355640873015E-2</v>
      </c>
      <c r="L2413" s="16">
        <f t="shared" si="88"/>
        <v>1.660381168703684E-2</v>
      </c>
    </row>
    <row r="2414" spans="1:12" x14ac:dyDescent="0.35">
      <c r="A2414" s="18">
        <v>45758</v>
      </c>
      <c r="B2414" s="15">
        <v>532.36614990234375</v>
      </c>
      <c r="C2414" s="15">
        <v>70.853752136230469</v>
      </c>
      <c r="D2414" s="15">
        <v>297.92999267578119</v>
      </c>
      <c r="E2414" s="15">
        <v>453.89022827148438</v>
      </c>
      <c r="F2414" s="15">
        <v>260.95211791992188</v>
      </c>
      <c r="H2414" s="16">
        <f t="shared" si="89"/>
        <v>9.6547122621700888E-3</v>
      </c>
      <c r="I2414" s="16">
        <f t="shared" si="89"/>
        <v>5.6767954637230141E-3</v>
      </c>
      <c r="J2414" s="16">
        <f t="shared" si="89"/>
        <v>-5.7223182906532997E-3</v>
      </c>
      <c r="K2414" s="16">
        <f t="shared" si="88"/>
        <v>6.7553528565972272E-3</v>
      </c>
      <c r="L2414" s="16">
        <f t="shared" si="88"/>
        <v>9.1655758389545781E-3</v>
      </c>
    </row>
    <row r="2415" spans="1:12" x14ac:dyDescent="0.35">
      <c r="A2415" s="18">
        <v>45761</v>
      </c>
      <c r="B2415" s="15">
        <v>537.5308837890625</v>
      </c>
      <c r="C2415" s="15">
        <v>71.257118225097656</v>
      </c>
      <c r="D2415" s="15">
        <v>296.23001098632813</v>
      </c>
      <c r="E2415" s="15">
        <v>456.966796875</v>
      </c>
      <c r="F2415" s="15">
        <v>263.35488891601563</v>
      </c>
      <c r="H2415" s="16">
        <f t="shared" si="89"/>
        <v>-2.804799911658227E-3</v>
      </c>
      <c r="I2415" s="16">
        <f t="shared" si="89"/>
        <v>2.4818710011973782E-3</v>
      </c>
      <c r="J2415" s="16">
        <f t="shared" si="89"/>
        <v>5.2187380190257988E-3</v>
      </c>
      <c r="K2415" s="16">
        <f t="shared" si="88"/>
        <v>1.1141196784536411E-3</v>
      </c>
      <c r="L2415" s="16">
        <f t="shared" si="88"/>
        <v>-1.7429634946769859E-3</v>
      </c>
    </row>
    <row r="2416" spans="1:12" x14ac:dyDescent="0.35">
      <c r="A2416" s="18">
        <v>45762</v>
      </c>
      <c r="B2416" s="15">
        <v>536.02532958984375</v>
      </c>
      <c r="C2416" s="15">
        <v>71.434188842773438</v>
      </c>
      <c r="D2416" s="15">
        <v>297.77999877929688</v>
      </c>
      <c r="E2416" s="15">
        <v>457.4761962890625</v>
      </c>
      <c r="F2416" s="15">
        <v>262.89627075195313</v>
      </c>
      <c r="H2416" s="16">
        <f t="shared" si="89"/>
        <v>-2.2478810553387896E-2</v>
      </c>
      <c r="I2416" s="16">
        <f t="shared" si="89"/>
        <v>2.7507725257645758E-3</v>
      </c>
      <c r="J2416" s="16">
        <f t="shared" si="89"/>
        <v>3.2022570753675997E-2</v>
      </c>
      <c r="K2416" s="16">
        <f t="shared" si="88"/>
        <v>-3.0617436200472199E-2</v>
      </c>
      <c r="L2416" s="16">
        <f t="shared" si="88"/>
        <v>-2.1000948827896122E-2</v>
      </c>
    </row>
    <row r="2417" spans="1:12" x14ac:dyDescent="0.35">
      <c r="A2417" s="18">
        <v>45763</v>
      </c>
      <c r="B2417" s="15">
        <v>524.11053466796875</v>
      </c>
      <c r="C2417" s="15">
        <v>71.630958557128906</v>
      </c>
      <c r="D2417" s="15">
        <v>307.47000122070313</v>
      </c>
      <c r="E2417" s="15">
        <v>443.68170166015619</v>
      </c>
      <c r="F2417" s="15">
        <v>257.43276977539063</v>
      </c>
      <c r="H2417" s="16">
        <f t="shared" si="89"/>
        <v>1.4257865623429928E-3</v>
      </c>
      <c r="I2417" s="16">
        <f t="shared" si="89"/>
        <v>-2.199926952156624E-3</v>
      </c>
      <c r="J2417" s="16">
        <f t="shared" si="89"/>
        <v>-4.4003594906631147E-3</v>
      </c>
      <c r="K2417" s="16">
        <f t="shared" si="88"/>
        <v>-1.8008904481981242E-4</v>
      </c>
      <c r="L2417" s="16">
        <f t="shared" si="88"/>
        <v>2.0890831107253332E-3</v>
      </c>
    </row>
    <row r="2418" spans="1:12" x14ac:dyDescent="0.35">
      <c r="A2418" s="18">
        <v>45764</v>
      </c>
      <c r="B2418" s="15">
        <v>524.85833740234375</v>
      </c>
      <c r="C2418" s="15">
        <v>71.473548889160156</v>
      </c>
      <c r="D2418" s="15">
        <v>306.1199951171875</v>
      </c>
      <c r="E2418" s="15">
        <v>443.601806640625</v>
      </c>
      <c r="F2418" s="15">
        <v>257.97113037109381</v>
      </c>
      <c r="H2418" s="16">
        <f t="shared" si="89"/>
        <v>-2.40905544202062E-2</v>
      </c>
      <c r="I2418" s="16">
        <f t="shared" si="89"/>
        <v>-5.5210845942267137E-3</v>
      </c>
      <c r="J2418" s="16">
        <f t="shared" si="89"/>
        <v>3.0466725196562627E-2</v>
      </c>
      <c r="K2418" s="16">
        <f t="shared" si="88"/>
        <v>-2.5058071868118804E-2</v>
      </c>
      <c r="L2418" s="16">
        <f t="shared" si="88"/>
        <v>-2.4055063150248433E-2</v>
      </c>
    </row>
    <row r="2419" spans="1:12" x14ac:dyDescent="0.35">
      <c r="A2419" s="18">
        <v>45768</v>
      </c>
      <c r="B2419" s="15">
        <v>512.36529541015625</v>
      </c>
      <c r="C2419" s="15">
        <v>71.080024719238281</v>
      </c>
      <c r="D2419" s="15">
        <v>315.58999633789063</v>
      </c>
      <c r="E2419" s="15">
        <v>432.62411499023438</v>
      </c>
      <c r="F2419" s="15">
        <v>251.83966064453119</v>
      </c>
      <c r="H2419" s="16">
        <f t="shared" si="89"/>
        <v>2.5685113898720129E-2</v>
      </c>
      <c r="I2419" s="16">
        <f t="shared" si="89"/>
        <v>1.7977517508588605E-3</v>
      </c>
      <c r="J2419" s="16">
        <f t="shared" si="89"/>
        <v>-1.4297390879940051E-2</v>
      </c>
      <c r="K2419" s="16">
        <f t="shared" si="88"/>
        <v>2.5913377970674015E-2</v>
      </c>
      <c r="L2419" s="16">
        <f t="shared" si="88"/>
        <v>2.513667198196359E-2</v>
      </c>
    </row>
    <row r="2420" spans="1:12" x14ac:dyDescent="0.35">
      <c r="A2420" s="18">
        <v>45769</v>
      </c>
      <c r="B2420" s="15">
        <v>525.6959228515625</v>
      </c>
      <c r="C2420" s="15">
        <v>71.207923889160156</v>
      </c>
      <c r="D2420" s="15">
        <v>311.1099853515625</v>
      </c>
      <c r="E2420" s="15">
        <v>443.98138427734381</v>
      </c>
      <c r="F2420" s="15">
        <v>258.25030517578119</v>
      </c>
      <c r="H2420" s="16">
        <f t="shared" si="89"/>
        <v>1.537658239348734E-2</v>
      </c>
      <c r="I2420" s="16">
        <f t="shared" si="89"/>
        <v>2.0703126771459629E-3</v>
      </c>
      <c r="J2420" s="16">
        <f t="shared" si="89"/>
        <v>-2.4270798064606143E-2</v>
      </c>
      <c r="K2420" s="16">
        <f t="shared" si="88"/>
        <v>2.2424797424953017E-2</v>
      </c>
      <c r="L2420" s="16">
        <f t="shared" si="88"/>
        <v>1.6881763860713439E-2</v>
      </c>
    </row>
    <row r="2421" spans="1:12" x14ac:dyDescent="0.35">
      <c r="A2421" s="18">
        <v>45770</v>
      </c>
      <c r="B2421" s="15">
        <v>533.841796875</v>
      </c>
      <c r="C2421" s="15">
        <v>71.355499267578125</v>
      </c>
      <c r="D2421" s="15">
        <v>303.64999389648438</v>
      </c>
      <c r="E2421" s="15">
        <v>454.050048828125</v>
      </c>
      <c r="F2421" s="15">
        <v>262.64703369140619</v>
      </c>
      <c r="H2421" s="16">
        <f t="shared" si="89"/>
        <v>2.0830494281085556E-2</v>
      </c>
      <c r="I2421" s="16">
        <f t="shared" si="89"/>
        <v>5.6369905009653739E-3</v>
      </c>
      <c r="J2421" s="16">
        <f t="shared" si="89"/>
        <v>1.4451351409752894E-2</v>
      </c>
      <c r="K2421" s="16">
        <f t="shared" si="88"/>
        <v>2.774855314859772E-2</v>
      </c>
      <c r="L2421" s="16">
        <f t="shared" si="88"/>
        <v>2.0848453924790265E-2</v>
      </c>
    </row>
    <row r="2422" spans="1:12" x14ac:dyDescent="0.35">
      <c r="A2422" s="18">
        <v>45771</v>
      </c>
      <c r="B2422" s="15">
        <v>545.07861328125</v>
      </c>
      <c r="C2422" s="15">
        <v>71.758865356445313</v>
      </c>
      <c r="D2422" s="15">
        <v>308.07000732421881</v>
      </c>
      <c r="E2422" s="15">
        <v>466.82571411132813</v>
      </c>
      <c r="F2422" s="15">
        <v>268.1802978515625</v>
      </c>
      <c r="H2422" s="16">
        <f t="shared" si="89"/>
        <v>7.1993189093204806E-3</v>
      </c>
      <c r="I2422" s="16">
        <f t="shared" si="89"/>
        <v>3.2847744720778758E-3</v>
      </c>
      <c r="J2422" s="16">
        <f t="shared" si="89"/>
        <v>-1.0900878955956752E-2</v>
      </c>
      <c r="K2422" s="16">
        <f t="shared" si="88"/>
        <v>1.1086296871047549E-2</v>
      </c>
      <c r="L2422" s="16">
        <f t="shared" si="88"/>
        <v>6.115382574883717E-3</v>
      </c>
    </row>
    <row r="2423" spans="1:12" x14ac:dyDescent="0.35">
      <c r="A2423" s="18">
        <v>45772</v>
      </c>
      <c r="B2423" s="15">
        <v>549.0169677734375</v>
      </c>
      <c r="C2423" s="15">
        <v>71.994964599609375</v>
      </c>
      <c r="D2423" s="15">
        <v>304.73001098632813</v>
      </c>
      <c r="E2423" s="15">
        <v>472.02987670898438</v>
      </c>
      <c r="F2423" s="15">
        <v>269.82534790039063</v>
      </c>
      <c r="H2423" s="16">
        <f t="shared" si="89"/>
        <v>3.8124628871703369E-4</v>
      </c>
      <c r="I2423" s="16">
        <f t="shared" si="89"/>
        <v>2.4566779777640273E-3</v>
      </c>
      <c r="J2423" s="16">
        <f t="shared" si="89"/>
        <v>1.4141637459613911E-2</v>
      </c>
      <c r="K2423" s="16">
        <f t="shared" si="88"/>
        <v>-3.1749070103003418E-4</v>
      </c>
      <c r="L2423" s="16">
        <f t="shared" si="88"/>
        <v>1.4399854658349014E-3</v>
      </c>
    </row>
    <row r="2424" spans="1:12" x14ac:dyDescent="0.35">
      <c r="A2424" s="18">
        <v>45775</v>
      </c>
      <c r="B2424" s="15">
        <v>549.226318359375</v>
      </c>
      <c r="C2424" s="15">
        <v>72.172050476074219</v>
      </c>
      <c r="D2424" s="15">
        <v>309.07000732421881</v>
      </c>
      <c r="E2424" s="15">
        <v>471.88003540039063</v>
      </c>
      <c r="F2424" s="15">
        <v>270.21417236328119</v>
      </c>
      <c r="H2424" s="16">
        <f t="shared" si="89"/>
        <v>6.2796083528856468E-3</v>
      </c>
      <c r="I2424" s="16">
        <f t="shared" si="89"/>
        <v>2.5865764841814078E-3</v>
      </c>
      <c r="J2424" s="16">
        <f t="shared" si="89"/>
        <v>-9.7866589704954116E-3</v>
      </c>
      <c r="K2424" s="16">
        <f t="shared" si="88"/>
        <v>6.5827530435309855E-3</v>
      </c>
      <c r="L2424" s="16">
        <f t="shared" si="88"/>
        <v>5.9960746039502437E-3</v>
      </c>
    </row>
    <row r="2425" spans="1:12" x14ac:dyDescent="0.35">
      <c r="A2425" s="18">
        <v>45776</v>
      </c>
      <c r="B2425" s="15">
        <v>552.68609619140625</v>
      </c>
      <c r="C2425" s="15">
        <v>72.358970642089844</v>
      </c>
      <c r="D2425" s="15">
        <v>306.05999755859381</v>
      </c>
      <c r="E2425" s="15">
        <v>474.99655151367188</v>
      </c>
      <c r="F2425" s="15">
        <v>271.83926391601563</v>
      </c>
      <c r="H2425" s="16">
        <f t="shared" si="89"/>
        <v>3.968198814443398E-4</v>
      </c>
      <c r="I2425" s="16">
        <f t="shared" si="89"/>
        <v>-6.7999076347685932E-4</v>
      </c>
      <c r="J2425" s="16">
        <f t="shared" si="89"/>
        <v>-7.5103532440421224E-3</v>
      </c>
      <c r="K2425" s="16">
        <f t="shared" si="88"/>
        <v>-1.2619103244410797E-4</v>
      </c>
      <c r="L2425" s="16">
        <f t="shared" si="88"/>
        <v>5.8662827076810396E-4</v>
      </c>
    </row>
    <row r="2426" spans="1:12" x14ac:dyDescent="0.35">
      <c r="A2426" s="18">
        <v>45777</v>
      </c>
      <c r="B2426" s="15">
        <v>552.90545654296875</v>
      </c>
      <c r="C2426" s="15">
        <v>72.309783935546875</v>
      </c>
      <c r="D2426" s="15">
        <v>303.76998901367188</v>
      </c>
      <c r="E2426" s="15">
        <v>474.93661499023438</v>
      </c>
      <c r="F2426" s="15">
        <v>271.998779296875</v>
      </c>
      <c r="H2426" s="16">
        <f t="shared" si="89"/>
        <v>7.061924468366035E-3</v>
      </c>
      <c r="I2426" s="16">
        <f t="shared" si="89"/>
        <v>-2.7882886350777849E-3</v>
      </c>
      <c r="J2426" s="16">
        <f t="shared" si="89"/>
        <v>-2.0991066503797819E-2</v>
      </c>
      <c r="K2426" s="16">
        <f t="shared" si="88"/>
        <v>1.297620435560466E-2</v>
      </c>
      <c r="L2426" s="16">
        <f t="shared" si="88"/>
        <v>6.2118899506040477E-3</v>
      </c>
    </row>
    <row r="2427" spans="1:12" x14ac:dyDescent="0.35">
      <c r="A2427" s="18">
        <v>45778</v>
      </c>
      <c r="B2427" s="15">
        <v>556.8238525390625</v>
      </c>
      <c r="C2427" s="15">
        <v>72.108444213867188</v>
      </c>
      <c r="D2427" s="15">
        <v>297.45999145507813</v>
      </c>
      <c r="E2427" s="15">
        <v>481.1396484375</v>
      </c>
      <c r="F2427" s="15">
        <v>273.69366455078119</v>
      </c>
      <c r="H2427" s="16">
        <f t="shared" si="89"/>
        <v>1.4735031209223506E-2</v>
      </c>
      <c r="I2427" s="16">
        <f t="shared" si="89"/>
        <v>-4.9397052876580692E-3</v>
      </c>
      <c r="J2427" s="16">
        <f t="shared" si="89"/>
        <v>1.7466735903771576E-3</v>
      </c>
      <c r="K2427" s="16">
        <f t="shared" si="88"/>
        <v>1.4734764444363753E-2</v>
      </c>
      <c r="L2427" s="16">
        <f t="shared" si="88"/>
        <v>1.547057391590519E-2</v>
      </c>
    </row>
    <row r="2428" spans="1:12" x14ac:dyDescent="0.35">
      <c r="A2428" s="18">
        <v>45779</v>
      </c>
      <c r="B2428" s="15">
        <v>565.08941650390625</v>
      </c>
      <c r="C2428" s="15">
        <v>71.753128051757813</v>
      </c>
      <c r="D2428" s="15">
        <v>297.98001098632813</v>
      </c>
      <c r="E2428" s="15">
        <v>488.2816162109375</v>
      </c>
      <c r="F2428" s="15">
        <v>277.96078491210938</v>
      </c>
      <c r="H2428" s="16">
        <f t="shared" si="89"/>
        <v>-5.7508491439788806E-3</v>
      </c>
      <c r="I2428" s="16">
        <f t="shared" si="89"/>
        <v>-1.3765173374977501E-3</v>
      </c>
      <c r="J2428" s="16">
        <f t="shared" si="89"/>
        <v>2.9430400577679455E-2</v>
      </c>
      <c r="K2428" s="16">
        <f t="shared" si="88"/>
        <v>-5.9502255835246478E-3</v>
      </c>
      <c r="L2428" s="16">
        <f t="shared" si="88"/>
        <v>-5.6833086084377054E-3</v>
      </c>
    </row>
    <row r="2429" spans="1:12" x14ac:dyDescent="0.35">
      <c r="A2429" s="18">
        <v>45782</v>
      </c>
      <c r="B2429" s="15">
        <v>561.8489990234375</v>
      </c>
      <c r="C2429" s="15">
        <v>71.654426574707031</v>
      </c>
      <c r="D2429" s="15">
        <v>306.8800048828125</v>
      </c>
      <c r="E2429" s="15">
        <v>485.38485717773438</v>
      </c>
      <c r="F2429" s="15">
        <v>276.38552856445313</v>
      </c>
      <c r="H2429" s="16">
        <f t="shared" si="89"/>
        <v>-8.3934326834267242E-3</v>
      </c>
      <c r="I2429" s="16">
        <f t="shared" si="89"/>
        <v>2.2016041456911013E-3</v>
      </c>
      <c r="J2429" s="16">
        <f t="shared" si="89"/>
        <v>2.7638515747736927E-2</v>
      </c>
      <c r="K2429" s="16">
        <f t="shared" si="88"/>
        <v>-9.3452699958228459E-3</v>
      </c>
      <c r="L2429" s="16">
        <f t="shared" si="88"/>
        <v>-8.1494063770591787E-3</v>
      </c>
    </row>
    <row r="2430" spans="1:12" x14ac:dyDescent="0.35">
      <c r="A2430" s="18">
        <v>45783</v>
      </c>
      <c r="B2430" s="15">
        <v>557.15289306640625</v>
      </c>
      <c r="C2430" s="15">
        <v>71.812355041503906</v>
      </c>
      <c r="D2430" s="15">
        <v>315.48001098632813</v>
      </c>
      <c r="E2430" s="15">
        <v>480.86993408203119</v>
      </c>
      <c r="F2430" s="15">
        <v>274.14230346679688</v>
      </c>
      <c r="H2430" s="16">
        <f t="shared" si="89"/>
        <v>4.1966317721845933E-3</v>
      </c>
      <c r="I2430" s="16">
        <f t="shared" si="89"/>
        <v>1.9221704381927344E-3</v>
      </c>
      <c r="J2430" s="16">
        <f t="shared" si="89"/>
        <v>-1.5106592963135799E-2</v>
      </c>
      <c r="K2430" s="16">
        <f t="shared" si="88"/>
        <v>3.9182782771304816E-3</v>
      </c>
      <c r="L2430" s="16">
        <f t="shared" si="88"/>
        <v>4.137327933568683E-3</v>
      </c>
    </row>
    <row r="2431" spans="1:12" x14ac:dyDescent="0.35">
      <c r="A2431" s="18">
        <v>45784</v>
      </c>
      <c r="B2431" s="15">
        <v>559.4959716796875</v>
      </c>
      <c r="C2431" s="15">
        <v>71.950523376464844</v>
      </c>
      <c r="D2431" s="15">
        <v>310.75</v>
      </c>
      <c r="E2431" s="15">
        <v>482.7578125</v>
      </c>
      <c r="F2431" s="15">
        <v>275.27886962890619</v>
      </c>
      <c r="H2431" s="16">
        <f t="shared" si="89"/>
        <v>6.9437125004910109E-3</v>
      </c>
      <c r="I2431" s="16">
        <f t="shared" si="89"/>
        <v>-5.3641237367527024E-3</v>
      </c>
      <c r="J2431" s="16">
        <f t="shared" si="89"/>
        <v>-1.9890788928179075E-2</v>
      </c>
      <c r="K2431" s="16">
        <f t="shared" si="88"/>
        <v>1.0271982583746854E-2</v>
      </c>
      <c r="L2431" s="16">
        <f t="shared" si="88"/>
        <v>7.8285169065242296E-3</v>
      </c>
    </row>
    <row r="2432" spans="1:12" x14ac:dyDescent="0.35">
      <c r="A2432" s="18">
        <v>45785</v>
      </c>
      <c r="B2432" s="15">
        <v>563.39447021484375</v>
      </c>
      <c r="C2432" s="15">
        <v>71.565605163574219</v>
      </c>
      <c r="D2432" s="15">
        <v>304.6300048828125</v>
      </c>
      <c r="E2432" s="15">
        <v>487.74224853515619</v>
      </c>
      <c r="F2432" s="15">
        <v>277.44235229492188</v>
      </c>
      <c r="H2432" s="16">
        <f t="shared" si="89"/>
        <v>-1.2750449597459374E-3</v>
      </c>
      <c r="I2432" s="16">
        <f t="shared" si="89"/>
        <v>8.2714136492366538E-4</v>
      </c>
      <c r="J2432" s="16">
        <f t="shared" si="89"/>
        <v>7.2284856935388017E-3</v>
      </c>
      <c r="K2432" s="16">
        <f t="shared" si="88"/>
        <v>-6.556258674855779E-4</v>
      </c>
      <c r="L2432" s="16">
        <f t="shared" si="88"/>
        <v>-1.1146615562585486E-3</v>
      </c>
    </row>
    <row r="2433" spans="1:12" x14ac:dyDescent="0.35">
      <c r="A2433" s="18">
        <v>45786</v>
      </c>
      <c r="B2433" s="15">
        <v>562.67657470703125</v>
      </c>
      <c r="C2433" s="15">
        <v>71.624824523925781</v>
      </c>
      <c r="D2433" s="15">
        <v>306.83999633789063</v>
      </c>
      <c r="E2433" s="15">
        <v>487.42257690429688</v>
      </c>
      <c r="F2433" s="15">
        <v>277.13327026367188</v>
      </c>
      <c r="H2433" s="16">
        <f t="shared" si="89"/>
        <v>3.2513133180490449E-2</v>
      </c>
      <c r="I2433" s="16">
        <f t="shared" si="89"/>
        <v>-3.4509807038336877E-3</v>
      </c>
      <c r="J2433" s="16">
        <f t="shared" si="89"/>
        <v>-2.8595551740996251E-2</v>
      </c>
      <c r="K2433" s="16">
        <f t="shared" si="88"/>
        <v>3.9932257358965967E-2</v>
      </c>
      <c r="L2433" s="16">
        <f t="shared" si="88"/>
        <v>3.2909337185771777E-2</v>
      </c>
    </row>
    <row r="2434" spans="1:12" x14ac:dyDescent="0.35">
      <c r="A2434" s="18">
        <v>45789</v>
      </c>
      <c r="B2434" s="15">
        <v>581.2716064453125</v>
      </c>
      <c r="C2434" s="15">
        <v>71.378074645996094</v>
      </c>
      <c r="D2434" s="15">
        <v>298.19000244140619</v>
      </c>
      <c r="E2434" s="15">
        <v>507.28030395507813</v>
      </c>
      <c r="F2434" s="15">
        <v>286.4052734375</v>
      </c>
      <c r="H2434" s="16">
        <f t="shared" si="89"/>
        <v>6.5822316884051602E-3</v>
      </c>
      <c r="I2434" s="16">
        <f t="shared" si="89"/>
        <v>-4.1480792155194158E-4</v>
      </c>
      <c r="J2434" s="16">
        <f t="shared" si="89"/>
        <v>4.2499487599534881E-3</v>
      </c>
      <c r="K2434" s="16">
        <f t="shared" si="88"/>
        <v>1.5125818169435879E-2</v>
      </c>
      <c r="L2434" s="16">
        <f t="shared" si="88"/>
        <v>6.7651826003897924E-3</v>
      </c>
    </row>
    <row r="2435" spans="1:12" x14ac:dyDescent="0.35">
      <c r="A2435" s="18">
        <v>45790</v>
      </c>
      <c r="B2435" s="15">
        <v>585.11029052734375</v>
      </c>
      <c r="C2435" s="15">
        <v>71.348472595214844</v>
      </c>
      <c r="D2435" s="15">
        <v>299.45999145507813</v>
      </c>
      <c r="E2435" s="15">
        <v>515.01165771484375</v>
      </c>
      <c r="F2435" s="15">
        <v>288.34942626953119</v>
      </c>
      <c r="H2435" s="16">
        <f t="shared" si="89"/>
        <v>1.2772383035912702E-3</v>
      </c>
      <c r="I2435" s="16">
        <f t="shared" si="89"/>
        <v>-3.4643704654319504E-3</v>
      </c>
      <c r="J2435" s="16">
        <f t="shared" si="89"/>
        <v>-2.1262276625642881E-2</v>
      </c>
      <c r="K2435" s="16">
        <f t="shared" si="88"/>
        <v>5.9751557726549697E-3</v>
      </c>
      <c r="L2435" s="16">
        <f t="shared" si="88"/>
        <v>6.5670467711070012E-4</v>
      </c>
    </row>
    <row r="2436" spans="1:12" x14ac:dyDescent="0.35">
      <c r="A2436" s="18">
        <v>45791</v>
      </c>
      <c r="B2436" s="15">
        <v>585.85809326171875</v>
      </c>
      <c r="C2436" s="15">
        <v>71.101722717285156</v>
      </c>
      <c r="D2436" s="15">
        <v>293.16000366210938</v>
      </c>
      <c r="E2436" s="15">
        <v>518.09814453125</v>
      </c>
      <c r="F2436" s="15">
        <v>288.53884887695313</v>
      </c>
      <c r="H2436" s="16">
        <f t="shared" si="89"/>
        <v>4.8724182266886651E-3</v>
      </c>
      <c r="I2436" s="16">
        <f t="shared" si="89"/>
        <v>5.3992395419156878E-3</v>
      </c>
      <c r="J2436" s="16">
        <f t="shared" si="89"/>
        <v>1.5837869719407486E-2</v>
      </c>
      <c r="K2436" s="16">
        <f t="shared" si="88"/>
        <v>1.0982925764536364E-3</v>
      </c>
      <c r="L2436" s="16">
        <f t="shared" si="88"/>
        <v>4.0689868256031068E-3</v>
      </c>
    </row>
    <row r="2437" spans="1:12" x14ac:dyDescent="0.35">
      <c r="A2437" s="18">
        <v>45792</v>
      </c>
      <c r="B2437" s="15">
        <v>588.7196044921875</v>
      </c>
      <c r="C2437" s="15">
        <v>71.486656188964844</v>
      </c>
      <c r="D2437" s="15">
        <v>297.83999633789063</v>
      </c>
      <c r="E2437" s="15">
        <v>518.66748046875</v>
      </c>
      <c r="F2437" s="15">
        <v>289.71530151367188</v>
      </c>
      <c r="H2437" s="16">
        <f t="shared" si="89"/>
        <v>6.3140125368804471E-3</v>
      </c>
      <c r="I2437" s="16">
        <f t="shared" si="89"/>
        <v>6.8995079889694593E-4</v>
      </c>
      <c r="J2437" s="16">
        <f t="shared" si="89"/>
        <v>-1.2160689602209927E-2</v>
      </c>
      <c r="K2437" s="16">
        <f t="shared" si="88"/>
        <v>4.3430689267386852E-3</v>
      </c>
      <c r="L2437" s="16">
        <f t="shared" si="88"/>
        <v>6.82468598425347E-3</v>
      </c>
    </row>
    <row r="2438" spans="1:12" x14ac:dyDescent="0.35">
      <c r="A2438" s="18">
        <v>45793</v>
      </c>
      <c r="B2438" s="15">
        <v>592.44854736328125</v>
      </c>
      <c r="C2438" s="15">
        <v>71.535995483398438</v>
      </c>
      <c r="D2438" s="15">
        <v>294.239990234375</v>
      </c>
      <c r="E2438" s="15">
        <v>520.92498779296875</v>
      </c>
      <c r="F2438" s="15">
        <v>291.69927978515619</v>
      </c>
      <c r="H2438" s="16">
        <f t="shared" si="89"/>
        <v>1.0932883405744703E-3</v>
      </c>
      <c r="I2438" s="16">
        <f t="shared" si="89"/>
        <v>-2.7594453444662988E-4</v>
      </c>
      <c r="J2438" s="16">
        <f t="shared" si="89"/>
        <v>1.2798420816745652E-2</v>
      </c>
      <c r="K2438" s="16">
        <f t="shared" si="88"/>
        <v>9.583172575912234E-4</v>
      </c>
      <c r="L2438" s="16">
        <f t="shared" si="88"/>
        <v>7.8591037796525384E-4</v>
      </c>
    </row>
    <row r="2439" spans="1:12" x14ac:dyDescent="0.35">
      <c r="A2439" s="18">
        <v>45796</v>
      </c>
      <c r="B2439" s="15">
        <v>593.09661865234375</v>
      </c>
      <c r="C2439" s="15">
        <v>71.516258239746094</v>
      </c>
      <c r="D2439" s="15">
        <v>298.02999877929688</v>
      </c>
      <c r="E2439" s="15">
        <v>521.4244384765625</v>
      </c>
      <c r="F2439" s="15">
        <v>291.92861938476563</v>
      </c>
      <c r="H2439" s="16">
        <f t="shared" si="89"/>
        <v>-3.3678143775373102E-3</v>
      </c>
      <c r="I2439" s="16">
        <f t="shared" si="89"/>
        <v>-1.7956582196840178E-3</v>
      </c>
      <c r="J2439" s="16">
        <f t="shared" si="89"/>
        <v>1.8450974483986242E-2</v>
      </c>
      <c r="K2439" s="16">
        <f t="shared" si="88"/>
        <v>-3.3389333674598504E-3</v>
      </c>
      <c r="L2439" s="16">
        <f t="shared" si="88"/>
        <v>-3.2840057385697171E-3</v>
      </c>
    </row>
    <row r="2440" spans="1:12" x14ac:dyDescent="0.35">
      <c r="A2440" s="18">
        <v>45797</v>
      </c>
      <c r="B2440" s="15">
        <v>591.1025390625</v>
      </c>
      <c r="C2440" s="15">
        <v>71.387954711914063</v>
      </c>
      <c r="D2440" s="15">
        <v>303.57998657226563</v>
      </c>
      <c r="E2440" s="15">
        <v>519.68634033203125</v>
      </c>
      <c r="F2440" s="15">
        <v>290.97149658203119</v>
      </c>
      <c r="H2440" s="16">
        <f t="shared" si="89"/>
        <v>-1.6994425576383216E-2</v>
      </c>
      <c r="I2440" s="16">
        <f t="shared" si="89"/>
        <v>-6.2410052554718242E-3</v>
      </c>
      <c r="J2440" s="16">
        <f t="shared" si="89"/>
        <v>7.3515945620242374E-3</v>
      </c>
      <c r="K2440" s="16">
        <f t="shared" si="88"/>
        <v>-1.3994160522804441E-2</v>
      </c>
      <c r="L2440" s="16">
        <f t="shared" si="88"/>
        <v>-1.7559431289661476E-2</v>
      </c>
    </row>
    <row r="2441" spans="1:12" x14ac:dyDescent="0.35">
      <c r="A2441" s="18">
        <v>45798</v>
      </c>
      <c r="B2441" s="15">
        <v>581.1419677734375</v>
      </c>
      <c r="C2441" s="15">
        <v>70.943809509277344</v>
      </c>
      <c r="D2441" s="15">
        <v>305.82000732421881</v>
      </c>
      <c r="E2441" s="15">
        <v>512.46441650390625</v>
      </c>
      <c r="F2441" s="15">
        <v>285.90679931640619</v>
      </c>
      <c r="H2441" s="16">
        <f t="shared" si="89"/>
        <v>3.9461074388808518E-4</v>
      </c>
      <c r="I2441" s="16">
        <f t="shared" si="89"/>
        <v>2.7786613729238324E-3</v>
      </c>
      <c r="J2441" s="16">
        <f t="shared" si="89"/>
        <v>-8.9009899253182784E-3</v>
      </c>
      <c r="K2441" s="16">
        <f t="shared" si="88"/>
        <v>1.8695702163109677E-3</v>
      </c>
      <c r="L2441" s="16">
        <f t="shared" si="88"/>
        <v>-1.7442772219506008E-4</v>
      </c>
    </row>
    <row r="2442" spans="1:12" x14ac:dyDescent="0.35">
      <c r="A2442" s="18">
        <v>45799</v>
      </c>
      <c r="B2442" s="15">
        <v>581.371337890625</v>
      </c>
      <c r="C2442" s="15">
        <v>71.141212463378906</v>
      </c>
      <c r="D2442" s="15">
        <v>303.1099853515625</v>
      </c>
      <c r="E2442" s="15">
        <v>513.42340087890625</v>
      </c>
      <c r="F2442" s="15">
        <v>285.85693359375</v>
      </c>
      <c r="H2442" s="16">
        <f t="shared" si="89"/>
        <v>-6.8491993404379932E-3</v>
      </c>
      <c r="I2442" s="16">
        <f t="shared" si="89"/>
        <v>1.524797049474345E-3</v>
      </c>
      <c r="J2442" s="16">
        <f t="shared" si="89"/>
        <v>2.1669792905121613E-2</v>
      </c>
      <c r="K2442" s="16">
        <f t="shared" si="88"/>
        <v>-9.3039247556466354E-3</v>
      </c>
      <c r="L2442" s="16">
        <f t="shared" si="88"/>
        <v>-5.8765514394061094E-3</v>
      </c>
    </row>
    <row r="2443" spans="1:12" x14ac:dyDescent="0.35">
      <c r="A2443" s="18">
        <v>45800</v>
      </c>
      <c r="B2443" s="15">
        <v>577.40301513671875</v>
      </c>
      <c r="C2443" s="15">
        <v>71.249771118164063</v>
      </c>
      <c r="D2443" s="15">
        <v>309.75</v>
      </c>
      <c r="E2443" s="15">
        <v>508.668701171875</v>
      </c>
      <c r="F2443" s="15">
        <v>284.1820068359375</v>
      </c>
      <c r="H2443" s="16">
        <f t="shared" si="89"/>
        <v>2.0577463293298785E-2</v>
      </c>
      <c r="I2443" s="16">
        <f t="shared" si="89"/>
        <v>4.6988378374047115E-3</v>
      </c>
      <c r="J2443" s="16">
        <f t="shared" si="89"/>
        <v>-1.7094433359300068E-2</v>
      </c>
      <c r="K2443" s="16">
        <f t="shared" si="88"/>
        <v>2.3252785254427862E-2</v>
      </c>
      <c r="L2443" s="16">
        <f t="shared" si="88"/>
        <v>2.0349993378195479E-2</v>
      </c>
    </row>
    <row r="2444" spans="1:12" x14ac:dyDescent="0.35">
      <c r="A2444" s="18">
        <v>45804</v>
      </c>
      <c r="B2444" s="15">
        <v>589.4075927734375</v>
      </c>
      <c r="C2444" s="15">
        <v>71.585350036621094</v>
      </c>
      <c r="D2444" s="15">
        <v>304.5</v>
      </c>
      <c r="E2444" s="15">
        <v>520.63525390625</v>
      </c>
      <c r="F2444" s="15">
        <v>290.02435302734381</v>
      </c>
      <c r="H2444" s="16">
        <f t="shared" si="89"/>
        <v>-5.8022249266416869E-3</v>
      </c>
      <c r="I2444" s="16">
        <f t="shared" si="89"/>
        <v>-2.2083797630542824E-3</v>
      </c>
      <c r="J2444" s="16">
        <f t="shared" si="89"/>
        <v>-2.2685891736122965E-3</v>
      </c>
      <c r="K2444" s="16">
        <f t="shared" si="88"/>
        <v>-4.4418092117318028E-3</v>
      </c>
      <c r="L2444" s="16">
        <f t="shared" si="88"/>
        <v>-5.8955891287196744E-3</v>
      </c>
    </row>
    <row r="2445" spans="1:12" x14ac:dyDescent="0.35">
      <c r="A2445" s="18">
        <v>45805</v>
      </c>
      <c r="B2445" s="15">
        <v>585.99761962890625</v>
      </c>
      <c r="C2445" s="15">
        <v>71.427436828613281</v>
      </c>
      <c r="D2445" s="15">
        <v>303.80999755859381</v>
      </c>
      <c r="E2445" s="15">
        <v>518.32781982421875</v>
      </c>
      <c r="F2445" s="15">
        <v>288.31951904296881</v>
      </c>
      <c r="H2445" s="16">
        <f t="shared" si="89"/>
        <v>3.9396369089999394E-3</v>
      </c>
      <c r="I2445" s="16">
        <f t="shared" si="89"/>
        <v>3.5860115994708792E-3</v>
      </c>
      <c r="J2445" s="16">
        <f t="shared" si="89"/>
        <v>5.9072333619438451E-3</v>
      </c>
      <c r="K2445" s="16">
        <f t="shared" si="88"/>
        <v>1.9638550749002991E-3</v>
      </c>
      <c r="L2445" s="16">
        <f t="shared" si="88"/>
        <v>3.2106650905800583E-3</v>
      </c>
    </row>
    <row r="2446" spans="1:12" x14ac:dyDescent="0.35">
      <c r="A2446" s="18">
        <v>45806</v>
      </c>
      <c r="B2446" s="15">
        <v>588.310791015625</v>
      </c>
      <c r="C2446" s="15">
        <v>71.684036254882813</v>
      </c>
      <c r="D2446" s="15">
        <v>305.6099853515625</v>
      </c>
      <c r="E2446" s="15">
        <v>519.34674072265625</v>
      </c>
      <c r="F2446" s="15">
        <v>289.2467041015625</v>
      </c>
      <c r="H2446" s="16">
        <f t="shared" si="89"/>
        <v>-1.1191164581360535E-3</v>
      </c>
      <c r="I2446" s="16">
        <f t="shared" si="89"/>
        <v>1.925714155660205E-3</v>
      </c>
      <c r="J2446" s="16">
        <f t="shared" si="89"/>
        <v>-6.5986657130021062E-3</v>
      </c>
      <c r="K2446" s="16">
        <f t="shared" si="88"/>
        <v>-1.5784028878611275E-3</v>
      </c>
      <c r="L2446" s="16">
        <f t="shared" si="88"/>
        <v>-8.2751788635406452E-4</v>
      </c>
    </row>
    <row r="2447" spans="1:12" x14ac:dyDescent="0.35">
      <c r="A2447" s="18">
        <v>45807</v>
      </c>
      <c r="B2447" s="15">
        <v>587.65277099609375</v>
      </c>
      <c r="C2447" s="15">
        <v>71.822212219238281</v>
      </c>
      <c r="D2447" s="15">
        <v>303.60000610351563</v>
      </c>
      <c r="E2447" s="15">
        <v>518.52764892578125</v>
      </c>
      <c r="F2447" s="15">
        <v>289.0074462890625</v>
      </c>
      <c r="H2447" s="16">
        <f t="shared" si="89"/>
        <v>5.6170799419715187E-3</v>
      </c>
      <c r="I2447" s="16">
        <f t="shared" si="89"/>
        <v>-2.2083280540018844E-3</v>
      </c>
      <c r="J2447" s="16">
        <f t="shared" si="89"/>
        <v>2.6233913208447007E-2</v>
      </c>
      <c r="K2447" s="16">
        <f t="shared" si="88"/>
        <v>7.8671014449077665E-3</v>
      </c>
      <c r="L2447" s="16">
        <f t="shared" si="88"/>
        <v>5.0925021247496113E-3</v>
      </c>
    </row>
    <row r="2448" spans="1:12" x14ac:dyDescent="0.35">
      <c r="A2448" s="18">
        <v>45810</v>
      </c>
      <c r="B2448" s="15">
        <v>590.96295166015625</v>
      </c>
      <c r="C2448" s="15">
        <v>71.663780212402344</v>
      </c>
      <c r="D2448" s="15">
        <v>311.67001342773438</v>
      </c>
      <c r="E2448" s="15">
        <v>522.623046875</v>
      </c>
      <c r="F2448" s="15">
        <v>290.48297119140619</v>
      </c>
      <c r="H2448" s="16">
        <f t="shared" si="89"/>
        <v>5.6864535924803523E-3</v>
      </c>
      <c r="I2448" s="16">
        <f t="shared" si="89"/>
        <v>-1.1059954907383339E-3</v>
      </c>
      <c r="J2448" s="16">
        <f t="shared" si="89"/>
        <v>-8.8949946420193455E-3</v>
      </c>
      <c r="K2448" s="16">
        <f t="shared" si="88"/>
        <v>7.7866887560203444E-3</v>
      </c>
      <c r="L2448" s="16">
        <f t="shared" si="88"/>
        <v>6.8750552825236006E-3</v>
      </c>
    </row>
    <row r="2449" spans="1:12" x14ac:dyDescent="0.35">
      <c r="A2449" s="18">
        <v>45811</v>
      </c>
      <c r="B2449" s="15">
        <v>594.3330078125</v>
      </c>
      <c r="C2449" s="15">
        <v>71.584564208984375</v>
      </c>
      <c r="D2449" s="15">
        <v>308.91000366210938</v>
      </c>
      <c r="E2449" s="15">
        <v>526.70843505859375</v>
      </c>
      <c r="F2449" s="15">
        <v>292.4869384765625</v>
      </c>
      <c r="H2449" s="16">
        <f t="shared" si="89"/>
        <v>-2.6848133091367276E-4</v>
      </c>
      <c r="I2449" s="16">
        <f t="shared" si="89"/>
        <v>6.2055451327045381E-3</v>
      </c>
      <c r="J2449" s="16">
        <f t="shared" si="89"/>
        <v>6.4213132412345815E-3</v>
      </c>
      <c r="K2449" s="16">
        <f t="shared" si="88"/>
        <v>2.7839705446943948E-3</v>
      </c>
      <c r="L2449" s="16">
        <f t="shared" si="88"/>
        <v>-1.0236107141229874E-4</v>
      </c>
    </row>
    <row r="2450" spans="1:12" x14ac:dyDescent="0.35">
      <c r="A2450" s="18">
        <v>45812</v>
      </c>
      <c r="B2450" s="15">
        <v>594.1734619140625</v>
      </c>
      <c r="C2450" s="15">
        <v>72.030166625976563</v>
      </c>
      <c r="D2450" s="15">
        <v>310.89999389648438</v>
      </c>
      <c r="E2450" s="15">
        <v>528.17681884765625</v>
      </c>
      <c r="F2450" s="15">
        <v>292.45700073242188</v>
      </c>
      <c r="H2450" s="16">
        <f t="shared" si="89"/>
        <v>-4.8445148761187707E-3</v>
      </c>
      <c r="I2450" s="16">
        <f t="shared" si="89"/>
        <v>-1.9265165901152063E-3</v>
      </c>
      <c r="J2450" s="16">
        <f t="shared" si="89"/>
        <v>-5.0626726440741246E-3</v>
      </c>
      <c r="K2450" s="16">
        <f t="shared" si="88"/>
        <v>-7.5554689554231886E-3</v>
      </c>
      <c r="L2450" s="16">
        <f t="shared" si="88"/>
        <v>-5.5378690492576795E-3</v>
      </c>
    </row>
    <row r="2451" spans="1:12" x14ac:dyDescent="0.35">
      <c r="A2451" s="18">
        <v>45813</v>
      </c>
      <c r="B2451" s="15">
        <v>591.30194091796875</v>
      </c>
      <c r="C2451" s="15">
        <v>71.891532897949219</v>
      </c>
      <c r="D2451" s="15">
        <v>309.32998657226563</v>
      </c>
      <c r="E2451" s="15">
        <v>524.20123291015625</v>
      </c>
      <c r="F2451" s="15">
        <v>290.84188842773438</v>
      </c>
      <c r="H2451" s="16">
        <f t="shared" si="89"/>
        <v>1.0216636860428199E-2</v>
      </c>
      <c r="I2451" s="16">
        <f t="shared" si="89"/>
        <v>-5.3863553107020186E-3</v>
      </c>
      <c r="J2451" s="16">
        <f t="shared" si="89"/>
        <v>-1.350688232494825E-2</v>
      </c>
      <c r="K2451" s="16">
        <f t="shared" si="89"/>
        <v>9.7279125924532757E-3</v>
      </c>
      <c r="L2451" s="16">
        <f t="shared" si="89"/>
        <v>1.1587631854554954E-2</v>
      </c>
    </row>
    <row r="2452" spans="1:12" x14ac:dyDescent="0.35">
      <c r="A2452" s="18">
        <v>45814</v>
      </c>
      <c r="B2452" s="15">
        <v>597.3740234375</v>
      </c>
      <c r="C2452" s="15">
        <v>71.505340576171875</v>
      </c>
      <c r="D2452" s="15">
        <v>305.17999267578119</v>
      </c>
      <c r="E2452" s="15">
        <v>529.32550048828125</v>
      </c>
      <c r="F2452" s="15">
        <v>294.23165893554688</v>
      </c>
      <c r="H2452" s="16">
        <f t="shared" ref="H2452:L2513" si="90">LN(B2453/B2452)</f>
        <v>9.0085712107305731E-4</v>
      </c>
      <c r="I2452" s="16">
        <f t="shared" si="90"/>
        <v>1.5221518530451608E-3</v>
      </c>
      <c r="J2452" s="16">
        <f t="shared" si="90"/>
        <v>4.7074374937491172E-3</v>
      </c>
      <c r="K2452" s="16">
        <f t="shared" si="90"/>
        <v>1.4709321350051367E-3</v>
      </c>
      <c r="L2452" s="16">
        <f t="shared" si="90"/>
        <v>8.1283091175614536E-4</v>
      </c>
    </row>
    <row r="2453" spans="1:12" x14ac:dyDescent="0.35">
      <c r="A2453" s="18">
        <v>45817</v>
      </c>
      <c r="B2453" s="15">
        <v>597.91241455078125</v>
      </c>
      <c r="C2453" s="15">
        <v>71.614265441894531</v>
      </c>
      <c r="D2453" s="15">
        <v>306.6199951171875</v>
      </c>
      <c r="E2453" s="15">
        <v>530.10467529296875</v>
      </c>
      <c r="F2453" s="15">
        <v>294.47091674804688</v>
      </c>
      <c r="H2453" s="16">
        <f t="shared" si="90"/>
        <v>5.6536371828227556E-3</v>
      </c>
      <c r="I2453" s="16">
        <f t="shared" si="90"/>
        <v>1.9339682362123597E-3</v>
      </c>
      <c r="J2453" s="16">
        <f t="shared" si="90"/>
        <v>2.9346792267399537E-4</v>
      </c>
      <c r="K2453" s="16">
        <f t="shared" si="90"/>
        <v>6.5920925837292688E-3</v>
      </c>
      <c r="L2453" s="16">
        <f t="shared" si="90"/>
        <v>5.2678727903979101E-3</v>
      </c>
    </row>
    <row r="2454" spans="1:12" x14ac:dyDescent="0.35">
      <c r="A2454" s="18">
        <v>45818</v>
      </c>
      <c r="B2454" s="15">
        <v>601.3023681640625</v>
      </c>
      <c r="C2454" s="15">
        <v>71.752899169921875</v>
      </c>
      <c r="D2454" s="15">
        <v>306.70999145507813</v>
      </c>
      <c r="E2454" s="15">
        <v>533.6107177734375</v>
      </c>
      <c r="F2454" s="15">
        <v>296.0262451171875</v>
      </c>
      <c r="H2454" s="16">
        <f t="shared" si="90"/>
        <v>-2.8560587421569386E-3</v>
      </c>
      <c r="I2454" s="16">
        <f t="shared" si="90"/>
        <v>3.1692042930774413E-3</v>
      </c>
      <c r="J2454" s="16">
        <f t="shared" si="90"/>
        <v>5.3976969783305611E-3</v>
      </c>
      <c r="K2454" s="16">
        <f t="shared" si="90"/>
        <v>-3.3752522677248271E-3</v>
      </c>
      <c r="L2454" s="16">
        <f t="shared" si="90"/>
        <v>-2.6642159554969309E-3</v>
      </c>
    </row>
    <row r="2455" spans="1:12" x14ac:dyDescent="0.35">
      <c r="A2455" s="18">
        <v>45819</v>
      </c>
      <c r="B2455" s="15">
        <v>599.58746337890625</v>
      </c>
      <c r="C2455" s="15">
        <v>71.980659484863281</v>
      </c>
      <c r="D2455" s="15">
        <v>308.3699951171875</v>
      </c>
      <c r="E2455" s="15">
        <v>531.81268310546875</v>
      </c>
      <c r="F2455" s="15">
        <v>295.23861694335938</v>
      </c>
      <c r="H2455" s="16">
        <f t="shared" si="90"/>
        <v>3.9664135554680633E-3</v>
      </c>
      <c r="I2455" s="16">
        <f t="shared" si="90"/>
        <v>3.7074066891229131E-3</v>
      </c>
      <c r="J2455" s="16">
        <f t="shared" si="90"/>
        <v>1.2343702322692239E-2</v>
      </c>
      <c r="K2455" s="16">
        <f t="shared" si="90"/>
        <v>2.3450601811889592E-3</v>
      </c>
      <c r="L2455" s="16">
        <f t="shared" si="90"/>
        <v>3.2029263605701697E-3</v>
      </c>
    </row>
    <row r="2456" spans="1:12" x14ac:dyDescent="0.35">
      <c r="A2456" s="18">
        <v>45820</v>
      </c>
      <c r="B2456" s="15">
        <v>601.97039794921875</v>
      </c>
      <c r="C2456" s="15">
        <v>72.248016357421875</v>
      </c>
      <c r="D2456" s="15">
        <v>312.20001220703119</v>
      </c>
      <c r="E2456" s="15">
        <v>533.061279296875</v>
      </c>
      <c r="F2456" s="15">
        <v>296.18576049804688</v>
      </c>
      <c r="H2456" s="16">
        <f t="shared" si="90"/>
        <v>-1.124308940876711E-2</v>
      </c>
      <c r="I2456" s="16">
        <f t="shared" si="90"/>
        <v>-3.5699441446677208E-3</v>
      </c>
      <c r="J2456" s="16">
        <f t="shared" si="90"/>
        <v>1.3015494091699688E-2</v>
      </c>
      <c r="K2456" s="16">
        <f t="shared" si="90"/>
        <v>-1.2634097055808625E-2</v>
      </c>
      <c r="L2456" s="16">
        <f t="shared" si="90"/>
        <v>-1.1885301936059901E-2</v>
      </c>
    </row>
    <row r="2457" spans="1:12" x14ac:dyDescent="0.35">
      <c r="A2457" s="18">
        <v>45821</v>
      </c>
      <c r="B2457" s="15">
        <v>595.24029541015625</v>
      </c>
      <c r="C2457" s="15">
        <v>71.990554809570313</v>
      </c>
      <c r="D2457" s="15">
        <v>316.29000854492188</v>
      </c>
      <c r="E2457" s="15">
        <v>526.368896484375</v>
      </c>
      <c r="F2457" s="15">
        <v>292.68634033203119</v>
      </c>
      <c r="H2457" s="16">
        <f t="shared" si="90"/>
        <v>9.4692813305104276E-3</v>
      </c>
      <c r="I2457" s="16">
        <f t="shared" si="90"/>
        <v>-1.9274714695963664E-3</v>
      </c>
      <c r="J2457" s="16">
        <f t="shared" si="90"/>
        <v>-1.4361734303802328E-2</v>
      </c>
      <c r="K2457" s="16">
        <f t="shared" si="90"/>
        <v>1.3814003224754607E-2</v>
      </c>
      <c r="L2457" s="16">
        <f t="shared" si="90"/>
        <v>9.8299043051759249E-3</v>
      </c>
    </row>
    <row r="2458" spans="1:12" x14ac:dyDescent="0.35">
      <c r="A2458" s="18">
        <v>45824</v>
      </c>
      <c r="B2458" s="15">
        <v>600.903564453125</v>
      </c>
      <c r="C2458" s="15">
        <v>71.8519287109375</v>
      </c>
      <c r="D2458" s="15">
        <v>311.77999877929688</v>
      </c>
      <c r="E2458" s="15">
        <v>533.69061279296875</v>
      </c>
      <c r="F2458" s="15">
        <v>295.57760620117188</v>
      </c>
      <c r="H2458" s="16">
        <f t="shared" si="90"/>
        <v>-8.5817928046636183E-3</v>
      </c>
      <c r="I2458" s="16">
        <f t="shared" si="90"/>
        <v>3.164737411971518E-3</v>
      </c>
      <c r="J2458" s="16">
        <f t="shared" si="90"/>
        <v>5.1306248094020964E-4</v>
      </c>
      <c r="K2458" s="16">
        <f t="shared" si="90"/>
        <v>-9.7990120225571863E-3</v>
      </c>
      <c r="L2458" s="16">
        <f t="shared" si="90"/>
        <v>-8.3663348260972423E-3</v>
      </c>
    </row>
    <row r="2459" spans="1:12" x14ac:dyDescent="0.35">
      <c r="A2459" s="18">
        <v>45825</v>
      </c>
      <c r="B2459" s="15">
        <v>595.768798828125</v>
      </c>
      <c r="C2459" s="15">
        <v>72.079681396484375</v>
      </c>
      <c r="D2459" s="15">
        <v>311.94000244140619</v>
      </c>
      <c r="E2459" s="15">
        <v>528.48651123046875</v>
      </c>
      <c r="F2459" s="15">
        <v>293.11502075195313</v>
      </c>
      <c r="H2459" s="16">
        <f t="shared" si="90"/>
        <v>-1.5071195546759449E-4</v>
      </c>
      <c r="I2459" s="16">
        <f t="shared" si="90"/>
        <v>5.4940498030510898E-4</v>
      </c>
      <c r="J2459" s="16">
        <f t="shared" si="90"/>
        <v>-5.4001823384025082E-3</v>
      </c>
      <c r="K2459" s="16">
        <f t="shared" si="90"/>
        <v>-1.7024744594882298E-4</v>
      </c>
      <c r="L2459" s="16">
        <f t="shared" ref="L2459:L2513" si="91">LN(F2460/F2459)</f>
        <v>3.7411818781897901E-4</v>
      </c>
    </row>
    <row r="2460" spans="1:12" x14ac:dyDescent="0.35">
      <c r="A2460" s="18">
        <v>45826</v>
      </c>
      <c r="B2460" s="15">
        <v>595.67901611328125</v>
      </c>
      <c r="C2460" s="15">
        <v>72.119293212890625</v>
      </c>
      <c r="D2460" s="15">
        <v>310.260009765625</v>
      </c>
      <c r="E2460" s="15">
        <v>528.39654541015625</v>
      </c>
      <c r="F2460" s="15">
        <v>293.22470092773438</v>
      </c>
      <c r="H2460" s="16">
        <f t="shared" si="90"/>
        <v>-2.3513203523286589E-3</v>
      </c>
      <c r="I2460" s="16">
        <f t="shared" si="90"/>
        <v>6.863320265628241E-4</v>
      </c>
      <c r="J2460" s="16">
        <f t="shared" si="90"/>
        <v>-4.1910695416048688E-4</v>
      </c>
      <c r="K2460" s="16">
        <f t="shared" si="90"/>
        <v>-4.0915266502511982E-3</v>
      </c>
      <c r="L2460" s="16">
        <f t="shared" si="91"/>
        <v>-2.314719490962036E-3</v>
      </c>
    </row>
    <row r="2461" spans="1:12" x14ac:dyDescent="0.35">
      <c r="A2461" s="18">
        <v>45828</v>
      </c>
      <c r="B2461" s="15">
        <v>594.280029296875</v>
      </c>
      <c r="C2461" s="15">
        <v>72.168807983398438</v>
      </c>
      <c r="D2461" s="15">
        <v>310.1300048828125</v>
      </c>
      <c r="E2461" s="15">
        <v>526.239013671875</v>
      </c>
      <c r="F2461" s="15">
        <v>292.5467529296875</v>
      </c>
      <c r="H2461" s="16">
        <f t="shared" si="90"/>
        <v>9.8290265840359388E-3</v>
      </c>
      <c r="I2461" s="16">
        <f t="shared" si="90"/>
        <v>2.4666913785089529E-3</v>
      </c>
      <c r="J2461" s="16">
        <f t="shared" si="90"/>
        <v>3.058490504208936E-3</v>
      </c>
      <c r="K2461" s="16">
        <f t="shared" si="90"/>
        <v>1.0229915872745752E-2</v>
      </c>
      <c r="L2461" s="16">
        <f t="shared" si="91"/>
        <v>9.5645192971023779E-3</v>
      </c>
    </row>
    <row r="2462" spans="1:12" x14ac:dyDescent="0.35">
      <c r="A2462" s="18">
        <v>45831</v>
      </c>
      <c r="B2462" s="15">
        <v>600.1500244140625</v>
      </c>
      <c r="C2462" s="15">
        <v>72.3470458984375</v>
      </c>
      <c r="D2462" s="15">
        <v>311.07998657226563</v>
      </c>
      <c r="E2462" s="15">
        <v>531.6500244140625</v>
      </c>
      <c r="F2462" s="15">
        <v>295.35824584960938</v>
      </c>
      <c r="H2462" s="16">
        <f t="shared" si="90"/>
        <v>1.0986670773378289E-2</v>
      </c>
      <c r="I2462" s="16">
        <f t="shared" si="90"/>
        <v>3.0066520848509625E-3</v>
      </c>
      <c r="J2462" s="16">
        <f t="shared" si="90"/>
        <v>-1.5844238391270242E-2</v>
      </c>
      <c r="K2462" s="16">
        <f t="shared" si="90"/>
        <v>1.5176279395150026E-2</v>
      </c>
      <c r="L2462" s="16">
        <f t="shared" si="91"/>
        <v>1.1611648175237368E-2</v>
      </c>
    </row>
    <row r="2463" spans="1:12" x14ac:dyDescent="0.35">
      <c r="A2463" s="18">
        <v>45832</v>
      </c>
      <c r="B2463" s="15">
        <v>606.780029296875</v>
      </c>
      <c r="C2463" s="15">
        <v>72.564895629882813</v>
      </c>
      <c r="D2463" s="15">
        <v>306.19000244140619</v>
      </c>
      <c r="E2463" s="15">
        <v>539.780029296875</v>
      </c>
      <c r="F2463" s="15">
        <v>298.80783081054688</v>
      </c>
      <c r="H2463" s="16">
        <f t="shared" si="90"/>
        <v>5.6012162840981682E-4</v>
      </c>
      <c r="I2463" s="16">
        <f t="shared" si="90"/>
        <v>2.7300849696957523E-4</v>
      </c>
      <c r="J2463" s="16">
        <f t="shared" si="90"/>
        <v>3.0327025232498727E-3</v>
      </c>
      <c r="K2463" s="16">
        <f t="shared" si="90"/>
        <v>2.5532306958618344E-3</v>
      </c>
      <c r="L2463" s="16">
        <f t="shared" si="91"/>
        <v>-1.1684495860025527E-3</v>
      </c>
    </row>
    <row r="2464" spans="1:12" x14ac:dyDescent="0.35">
      <c r="A2464" s="18">
        <v>45833</v>
      </c>
      <c r="B2464" s="15">
        <v>607.1199951171875</v>
      </c>
      <c r="C2464" s="15">
        <v>72.584709167480469</v>
      </c>
      <c r="D2464" s="15">
        <v>307.1199951171875</v>
      </c>
      <c r="E2464" s="15">
        <v>541.15997314453125</v>
      </c>
      <c r="F2464" s="15">
        <v>298.45889282226563</v>
      </c>
      <c r="H2464" s="16">
        <f t="shared" si="90"/>
        <v>7.7933766144878507E-3</v>
      </c>
      <c r="I2464" s="16">
        <f t="shared" si="90"/>
        <v>2.8608929251310918E-3</v>
      </c>
      <c r="J2464" s="16">
        <f t="shared" si="90"/>
        <v>-1.1076604529502278E-3</v>
      </c>
      <c r="K2464" s="16">
        <f t="shared" si="90"/>
        <v>9.3068372480973483E-3</v>
      </c>
      <c r="L2464" s="16">
        <f t="shared" si="91"/>
        <v>8.5814635895048261E-3</v>
      </c>
    </row>
    <row r="2465" spans="1:12" x14ac:dyDescent="0.35">
      <c r="A2465" s="18">
        <v>45834</v>
      </c>
      <c r="B2465" s="15">
        <v>611.8699951171875</v>
      </c>
      <c r="C2465" s="15">
        <v>72.79266357421875</v>
      </c>
      <c r="D2465" s="15">
        <v>306.77999877929688</v>
      </c>
      <c r="E2465" s="15">
        <v>546.219970703125</v>
      </c>
      <c r="F2465" s="15">
        <v>301.0311279296875</v>
      </c>
      <c r="H2465" s="16">
        <f t="shared" si="90"/>
        <v>4.9560382927624873E-3</v>
      </c>
      <c r="I2465" s="16">
        <f t="shared" si="90"/>
        <v>-2.3155196419652724E-3</v>
      </c>
      <c r="J2465" s="16">
        <f t="shared" si="90"/>
        <v>-1.8289975504647085E-2</v>
      </c>
      <c r="K2465" s="16">
        <f t="shared" si="90"/>
        <v>3.4177846805723815E-3</v>
      </c>
      <c r="L2465" s="16">
        <f t="shared" si="91"/>
        <v>4.5270596661109276E-3</v>
      </c>
    </row>
    <row r="2466" spans="1:12" x14ac:dyDescent="0.35">
      <c r="A2466" s="18">
        <v>45835</v>
      </c>
      <c r="B2466" s="15">
        <v>614.90997314453125</v>
      </c>
      <c r="C2466" s="15">
        <v>72.624305725097656</v>
      </c>
      <c r="D2466" s="15">
        <v>301.22000122070313</v>
      </c>
      <c r="E2466" s="15">
        <v>548.09002685546875</v>
      </c>
      <c r="F2466" s="15">
        <v>302.39700317382813</v>
      </c>
      <c r="H2466" s="16">
        <f t="shared" si="90"/>
        <v>4.7697980753268051E-3</v>
      </c>
      <c r="I2466" s="16">
        <f t="shared" si="90"/>
        <v>3.9464988411055018E-3</v>
      </c>
      <c r="J2466" s="16">
        <f t="shared" si="90"/>
        <v>1.1913301279755133E-2</v>
      </c>
      <c r="K2466" s="16">
        <f t="shared" si="90"/>
        <v>6.4561301223972564E-3</v>
      </c>
      <c r="L2466" s="16">
        <f t="shared" si="91"/>
        <v>5.0566535185065913E-3</v>
      </c>
    </row>
    <row r="2467" spans="1:12" x14ac:dyDescent="0.35">
      <c r="A2467" s="18">
        <v>45838</v>
      </c>
      <c r="B2467" s="15">
        <v>617.8499755859375</v>
      </c>
      <c r="C2467" s="15">
        <v>72.911483764648438</v>
      </c>
      <c r="D2467" s="15">
        <v>304.82998657226563</v>
      </c>
      <c r="E2467" s="15">
        <v>551.6400146484375</v>
      </c>
      <c r="F2467" s="15">
        <v>303.92999267578119</v>
      </c>
      <c r="H2467" s="16">
        <f t="shared" si="90"/>
        <v>-3.2367652548873321E-4</v>
      </c>
      <c r="I2467" s="16">
        <f t="shared" si="90"/>
        <v>-7.4970643848909155E-4</v>
      </c>
      <c r="J2467" s="16">
        <f t="shared" si="90"/>
        <v>8.8834358471801839E-3</v>
      </c>
      <c r="K2467" s="16">
        <f t="shared" si="90"/>
        <v>-8.4651832946448843E-3</v>
      </c>
      <c r="L2467" s="16">
        <f t="shared" si="91"/>
        <v>0</v>
      </c>
    </row>
    <row r="2468" spans="1:12" x14ac:dyDescent="0.35">
      <c r="A2468" s="18">
        <v>45839</v>
      </c>
      <c r="B2468" s="15">
        <v>617.6500244140625</v>
      </c>
      <c r="C2468" s="15">
        <v>72.856842041015625</v>
      </c>
      <c r="D2468" s="15">
        <v>307.54998779296881</v>
      </c>
      <c r="E2468" s="15">
        <v>546.989990234375</v>
      </c>
      <c r="F2468" s="15">
        <v>303.92999267578119</v>
      </c>
      <c r="H2468" s="16">
        <f t="shared" si="90"/>
        <v>4.523047384945118E-3</v>
      </c>
      <c r="I2468" s="16">
        <f t="shared" si="90"/>
        <v>-1.091229105073121E-3</v>
      </c>
      <c r="J2468" s="16">
        <f t="shared" si="90"/>
        <v>5.5123753094293189E-3</v>
      </c>
      <c r="K2468" s="16">
        <f t="shared" si="90"/>
        <v>6.9412418262992295E-3</v>
      </c>
      <c r="L2468" s="16">
        <f t="shared" si="91"/>
        <v>5.1851556298233925E-3</v>
      </c>
    </row>
    <row r="2469" spans="1:12" x14ac:dyDescent="0.35">
      <c r="A2469" s="18">
        <v>45840</v>
      </c>
      <c r="B2469" s="15">
        <v>620.45001220703125</v>
      </c>
      <c r="C2469" s="15">
        <v>72.777381896972656</v>
      </c>
      <c r="D2469" s="15">
        <v>309.25</v>
      </c>
      <c r="E2469" s="15">
        <v>550.79998779296875</v>
      </c>
      <c r="F2469" s="15">
        <v>305.510009765625</v>
      </c>
      <c r="H2469" s="16">
        <f t="shared" si="90"/>
        <v>7.8505038723208041E-3</v>
      </c>
      <c r="I2469" s="16">
        <f t="shared" si="90"/>
        <v>-2.4600746419416297E-3</v>
      </c>
      <c r="J2469" s="16">
        <f t="shared" si="90"/>
        <v>-6.8462938820206213E-3</v>
      </c>
      <c r="K2469" s="16">
        <f t="shared" si="90"/>
        <v>9.7921020782513746E-3</v>
      </c>
      <c r="L2469" s="16">
        <f t="shared" si="91"/>
        <v>8.2146335995714574E-3</v>
      </c>
    </row>
    <row r="2470" spans="1:12" x14ac:dyDescent="0.35">
      <c r="A2470" s="18">
        <v>45841</v>
      </c>
      <c r="B2470" s="15">
        <v>625.34002685546875</v>
      </c>
      <c r="C2470" s="15">
        <v>72.598564147949219</v>
      </c>
      <c r="D2470" s="15">
        <v>307.1400146484375</v>
      </c>
      <c r="E2470" s="15">
        <v>556.219970703125</v>
      </c>
      <c r="F2470" s="15">
        <v>308.02999877929688</v>
      </c>
      <c r="H2470" s="16">
        <f t="shared" si="90"/>
        <v>-7.4799053524600579E-3</v>
      </c>
      <c r="I2470" s="16">
        <f t="shared" si="90"/>
        <v>-3.2895772391705997E-3</v>
      </c>
      <c r="J2470" s="16">
        <f t="shared" si="90"/>
        <v>7.4850035258172817E-4</v>
      </c>
      <c r="K2470" s="16">
        <f t="shared" si="90"/>
        <v>-7.5614010728288477E-3</v>
      </c>
      <c r="L2470" s="16">
        <f t="shared" si="91"/>
        <v>-7.9200996001139931E-3</v>
      </c>
    </row>
    <row r="2471" spans="1:12" x14ac:dyDescent="0.35">
      <c r="A2471" s="18">
        <v>45845</v>
      </c>
      <c r="B2471" s="15">
        <v>620.67999267578125</v>
      </c>
      <c r="C2471" s="15">
        <v>72.360137939453125</v>
      </c>
      <c r="D2471" s="15">
        <v>307.3699951171875</v>
      </c>
      <c r="E2471" s="15">
        <v>552.030029296875</v>
      </c>
      <c r="F2471" s="15">
        <v>305.60000610351563</v>
      </c>
      <c r="H2471" s="16">
        <f t="shared" si="90"/>
        <v>-5.4788129678199878E-4</v>
      </c>
      <c r="I2471" s="16">
        <f t="shared" si="90"/>
        <v>-5.4915824451169865E-4</v>
      </c>
      <c r="J2471" s="16">
        <f t="shared" si="90"/>
        <v>-1.0498326962963742E-2</v>
      </c>
      <c r="K2471" s="16">
        <f t="shared" si="90"/>
        <v>5.6140161535287575E-4</v>
      </c>
      <c r="L2471" s="16">
        <f t="shared" si="91"/>
        <v>-6.5511081832143455E-5</v>
      </c>
    </row>
    <row r="2472" spans="1:12" x14ac:dyDescent="0.35">
      <c r="A2472" s="18">
        <v>45846</v>
      </c>
      <c r="B2472" s="15">
        <v>620.34002685546875</v>
      </c>
      <c r="C2472" s="15">
        <v>72.320411682128906</v>
      </c>
      <c r="D2472" s="15">
        <v>304.16000366210938</v>
      </c>
      <c r="E2472" s="15">
        <v>552.34002685546875</v>
      </c>
      <c r="F2472" s="15">
        <v>305.57998657226563</v>
      </c>
      <c r="H2472" s="16">
        <f t="shared" si="90"/>
        <v>5.9787555627755307E-3</v>
      </c>
      <c r="I2472" s="16">
        <f t="shared" si="90"/>
        <v>3.9754484327814942E-3</v>
      </c>
      <c r="J2472" s="16">
        <f t="shared" si="90"/>
        <v>4.4613161776255583E-3</v>
      </c>
      <c r="K2472" s="16">
        <f t="shared" si="90"/>
        <v>7.0539861675411571E-3</v>
      </c>
      <c r="L2472" s="16">
        <f t="shared" si="91"/>
        <v>6.263521063802369E-3</v>
      </c>
    </row>
    <row r="2473" spans="1:12" x14ac:dyDescent="0.35">
      <c r="A2473" s="18">
        <v>45847</v>
      </c>
      <c r="B2473" s="15">
        <v>624.05999755859375</v>
      </c>
      <c r="C2473" s="15">
        <v>72.608489990234375</v>
      </c>
      <c r="D2473" s="15">
        <v>305.51998901367188</v>
      </c>
      <c r="E2473" s="15">
        <v>556.25</v>
      </c>
      <c r="F2473" s="15">
        <v>307.5</v>
      </c>
      <c r="H2473" s="16">
        <f t="shared" si="90"/>
        <v>2.8162878388947469E-3</v>
      </c>
      <c r="I2473" s="16">
        <f t="shared" si="90"/>
        <v>1.3690438405933433E-4</v>
      </c>
      <c r="J2473" s="16">
        <f t="shared" si="90"/>
        <v>2.2233161319648864E-3</v>
      </c>
      <c r="K2473" s="16">
        <f t="shared" si="90"/>
        <v>-1.4392154758869817E-3</v>
      </c>
      <c r="L2473" s="16">
        <f t="shared" si="91"/>
        <v>2.6631411747337725E-3</v>
      </c>
    </row>
    <row r="2474" spans="1:12" x14ac:dyDescent="0.35">
      <c r="A2474" s="18">
        <v>45848</v>
      </c>
      <c r="B2474" s="15">
        <v>625.82000732421875</v>
      </c>
      <c r="C2474" s="15">
        <v>72.618431091308594</v>
      </c>
      <c r="D2474" s="15">
        <v>306.20001220703119</v>
      </c>
      <c r="E2474" s="15">
        <v>555.45001220703125</v>
      </c>
      <c r="F2474" s="15">
        <v>308.32000732421881</v>
      </c>
      <c r="H2474" s="16">
        <f t="shared" si="90"/>
        <v>-3.5216008393912802E-3</v>
      </c>
      <c r="I2474" s="16">
        <f t="shared" si="90"/>
        <v>-4.1123528168407128E-3</v>
      </c>
      <c r="J2474" s="16">
        <f t="shared" si="90"/>
        <v>9.5557730188642002E-3</v>
      </c>
      <c r="K2474" s="16">
        <f t="shared" si="90"/>
        <v>-2.2529635492845308E-3</v>
      </c>
      <c r="L2474" s="16">
        <f t="shared" si="91"/>
        <v>-4.2253721600055312E-3</v>
      </c>
    </row>
    <row r="2475" spans="1:12" x14ac:dyDescent="0.35">
      <c r="A2475" s="18">
        <v>45849</v>
      </c>
      <c r="B2475" s="15">
        <v>623.6199951171875</v>
      </c>
      <c r="C2475" s="15">
        <v>72.320411682128906</v>
      </c>
      <c r="D2475" s="15">
        <v>309.1400146484375</v>
      </c>
      <c r="E2475" s="15">
        <v>554.20001220703125</v>
      </c>
      <c r="F2475" s="15">
        <v>307.01998901367188</v>
      </c>
      <c r="H2475" s="16">
        <f t="shared" si="90"/>
        <v>1.9063989311302221E-3</v>
      </c>
      <c r="I2475" s="16">
        <f t="shared" si="90"/>
        <v>-1.3746858118149759E-4</v>
      </c>
      <c r="J2475" s="16">
        <f t="shared" si="90"/>
        <v>-3.6620144241214002E-3</v>
      </c>
      <c r="K2475" s="16">
        <f t="shared" si="90"/>
        <v>3.6203058314002818E-3</v>
      </c>
      <c r="L2475" s="16">
        <f t="shared" si="91"/>
        <v>2.2774262963611703E-3</v>
      </c>
    </row>
    <row r="2476" spans="1:12" x14ac:dyDescent="0.35">
      <c r="A2476" s="18">
        <v>45852</v>
      </c>
      <c r="B2476" s="15">
        <v>624.80999755859375</v>
      </c>
      <c r="C2476" s="15">
        <v>72.310470581054688</v>
      </c>
      <c r="D2476" s="15">
        <v>308.010009765625</v>
      </c>
      <c r="E2476" s="15">
        <v>556.21002197265625</v>
      </c>
      <c r="F2476" s="15">
        <v>307.72000122070313</v>
      </c>
      <c r="H2476" s="16">
        <f t="shared" si="90"/>
        <v>-4.2824282681121675E-3</v>
      </c>
      <c r="I2476" s="16">
        <f t="shared" si="90"/>
        <v>-3.0269831868378382E-3</v>
      </c>
      <c r="J2476" s="16">
        <f t="shared" si="90"/>
        <v>-4.1643640755145419E-3</v>
      </c>
      <c r="K2476" s="16">
        <f t="shared" si="90"/>
        <v>9.1640762583948174E-4</v>
      </c>
      <c r="L2476" s="16">
        <f t="shared" si="91"/>
        <v>-5.2784166666821203E-3</v>
      </c>
    </row>
    <row r="2477" spans="1:12" x14ac:dyDescent="0.35">
      <c r="A2477" s="18">
        <v>45853</v>
      </c>
      <c r="B2477" s="15">
        <v>622.1400146484375</v>
      </c>
      <c r="C2477" s="15">
        <v>72.0919189453125</v>
      </c>
      <c r="D2477" s="15">
        <v>306.73001098632813</v>
      </c>
      <c r="E2477" s="15">
        <v>556.719970703125</v>
      </c>
      <c r="F2477" s="15">
        <v>306.10000610351563</v>
      </c>
      <c r="H2477" s="16">
        <f t="shared" si="90"/>
        <v>3.3376520588141207E-3</v>
      </c>
      <c r="I2477" s="16">
        <f t="shared" si="90"/>
        <v>1.9272930678287082E-3</v>
      </c>
      <c r="J2477" s="16">
        <f t="shared" si="90"/>
        <v>4.975696789391886E-3</v>
      </c>
      <c r="K2477" s="16">
        <f t="shared" si="90"/>
        <v>1.0233434173768986E-3</v>
      </c>
      <c r="L2477" s="16">
        <f t="shared" si="91"/>
        <v>3.7824605944698757E-3</v>
      </c>
    </row>
    <row r="2478" spans="1:12" x14ac:dyDescent="0.35">
      <c r="A2478" s="18">
        <v>45854</v>
      </c>
      <c r="B2478" s="15">
        <v>624.219970703125</v>
      </c>
      <c r="C2478" s="15">
        <v>72.230995178222656</v>
      </c>
      <c r="D2478" s="15">
        <v>308.260009765625</v>
      </c>
      <c r="E2478" s="15">
        <v>557.28997802734375</v>
      </c>
      <c r="F2478" s="15">
        <v>307.260009765625</v>
      </c>
      <c r="H2478" s="16">
        <f t="shared" si="90"/>
        <v>6.1010003189439247E-3</v>
      </c>
      <c r="I2478" s="16">
        <f t="shared" si="90"/>
        <v>2.7511512104298541E-4</v>
      </c>
      <c r="J2478" s="16">
        <f t="shared" si="90"/>
        <v>-2.1758989541098375E-3</v>
      </c>
      <c r="K2478" s="16">
        <f t="shared" si="90"/>
        <v>8.0601816118191331E-3</v>
      </c>
      <c r="L2478" s="16">
        <f t="shared" si="91"/>
        <v>6.4880521392285421E-3</v>
      </c>
    </row>
    <row r="2479" spans="1:12" x14ac:dyDescent="0.35">
      <c r="A2479" s="18">
        <v>45855</v>
      </c>
      <c r="B2479" s="15">
        <v>628.03997802734375</v>
      </c>
      <c r="C2479" s="15">
        <v>72.250869750976563</v>
      </c>
      <c r="D2479" s="15">
        <v>307.58999633789063</v>
      </c>
      <c r="E2479" s="15">
        <v>561.79998779296875</v>
      </c>
      <c r="F2479" s="15">
        <v>309.260009765625</v>
      </c>
      <c r="H2479" s="16">
        <f t="shared" si="90"/>
        <v>-7.3264357028879215E-4</v>
      </c>
      <c r="I2479" s="16">
        <f t="shared" si="90"/>
        <v>1.6485760541038051E-3</v>
      </c>
      <c r="J2479" s="16">
        <f t="shared" si="90"/>
        <v>2.5975477973482998E-3</v>
      </c>
      <c r="K2479" s="16">
        <f t="shared" si="90"/>
        <v>-9.6161927257305802E-4</v>
      </c>
      <c r="L2479" s="16">
        <f t="shared" si="91"/>
        <v>-5.4989384762785102E-4</v>
      </c>
    </row>
    <row r="2480" spans="1:12" x14ac:dyDescent="0.35">
      <c r="A2480" s="18">
        <v>45856</v>
      </c>
      <c r="B2480" s="15">
        <v>627.58001708984375</v>
      </c>
      <c r="C2480" s="15">
        <v>72.370079040527344</v>
      </c>
      <c r="D2480" s="15">
        <v>308.3900146484375</v>
      </c>
      <c r="E2480" s="15">
        <v>561.260009765625</v>
      </c>
      <c r="F2480" s="15">
        <v>309.08999633789063</v>
      </c>
      <c r="H2480" s="16">
        <f t="shared" si="90"/>
        <v>1.8943809648540801E-3</v>
      </c>
      <c r="I2480" s="16">
        <f t="shared" si="90"/>
        <v>2.878405669702652E-3</v>
      </c>
      <c r="J2480" s="16">
        <f t="shared" si="90"/>
        <v>1.5253192127432761E-2</v>
      </c>
      <c r="K2480" s="16">
        <f t="shared" si="90"/>
        <v>5.1713205592108522E-3</v>
      </c>
      <c r="L2480" s="16">
        <f t="shared" si="91"/>
        <v>1.1317353776351615E-3</v>
      </c>
    </row>
    <row r="2481" spans="1:12" x14ac:dyDescent="0.35">
      <c r="A2481" s="18">
        <v>45859</v>
      </c>
      <c r="B2481" s="15">
        <v>628.77001953125</v>
      </c>
      <c r="C2481" s="15">
        <v>72.578689575195313</v>
      </c>
      <c r="D2481" s="15">
        <v>313.1300048828125</v>
      </c>
      <c r="E2481" s="15">
        <v>564.16998291015625</v>
      </c>
      <c r="F2481" s="15">
        <v>309.44000244140619</v>
      </c>
      <c r="H2481" s="16">
        <f t="shared" si="90"/>
        <v>1.4307200069432695E-4</v>
      </c>
      <c r="I2481" s="16">
        <f t="shared" si="90"/>
        <v>1.6411359543435223E-3</v>
      </c>
      <c r="J2481" s="16">
        <f t="shared" si="90"/>
        <v>9.4401831613078E-3</v>
      </c>
      <c r="K2481" s="16">
        <f t="shared" si="90"/>
        <v>-5.189155171888153E-3</v>
      </c>
      <c r="L2481" s="16">
        <f t="shared" si="91"/>
        <v>1.1626684251404415E-3</v>
      </c>
    </row>
    <row r="2482" spans="1:12" x14ac:dyDescent="0.35">
      <c r="A2482" s="18">
        <v>45860</v>
      </c>
      <c r="B2482" s="15">
        <v>628.8599853515625</v>
      </c>
      <c r="C2482" s="15">
        <v>72.697898864746094</v>
      </c>
      <c r="D2482" s="15">
        <v>316.10000610351563</v>
      </c>
      <c r="E2482" s="15">
        <v>561.25</v>
      </c>
      <c r="F2482" s="15">
        <v>309.79998779296881</v>
      </c>
      <c r="H2482" s="16">
        <f t="shared" si="90"/>
        <v>8.4715314057054892E-3</v>
      </c>
      <c r="I2482" s="16">
        <f t="shared" si="90"/>
        <v>-2.0518148303722453E-3</v>
      </c>
      <c r="J2482" s="16">
        <f t="shared" si="90"/>
        <v>-1.2478717461642204E-2</v>
      </c>
      <c r="K2482" s="16">
        <f t="shared" si="90"/>
        <v>4.5508719221542676E-3</v>
      </c>
      <c r="L2482" s="16">
        <f t="shared" si="91"/>
        <v>8.3895508387915804E-3</v>
      </c>
    </row>
    <row r="2483" spans="1:12" x14ac:dyDescent="0.35">
      <c r="A2483" s="18">
        <v>45861</v>
      </c>
      <c r="B2483" s="15">
        <v>634.21002197265625</v>
      </c>
      <c r="C2483" s="15">
        <v>72.54888916015625</v>
      </c>
      <c r="D2483" s="15">
        <v>312.17999267578119</v>
      </c>
      <c r="E2483" s="15">
        <v>563.80999755859375</v>
      </c>
      <c r="F2483" s="15">
        <v>312.41000366210938</v>
      </c>
      <c r="H2483" s="16">
        <f t="shared" si="90"/>
        <v>3.3100421495464624E-4</v>
      </c>
      <c r="I2483" s="16">
        <f t="shared" si="90"/>
        <v>-1.2330495416558074E-3</v>
      </c>
      <c r="J2483" s="16">
        <f t="shared" si="90"/>
        <v>-6.1370703288565641E-3</v>
      </c>
      <c r="K2483" s="16">
        <f t="shared" si="90"/>
        <v>2.1261364102254121E-3</v>
      </c>
      <c r="L2483" s="16">
        <f t="shared" si="91"/>
        <v>-3.522142171014154E-4</v>
      </c>
    </row>
    <row r="2484" spans="1:12" x14ac:dyDescent="0.35">
      <c r="A2484" s="18">
        <v>45862</v>
      </c>
      <c r="B2484" s="15">
        <v>634.41998291015625</v>
      </c>
      <c r="C2484" s="15">
        <v>72.459487915039063</v>
      </c>
      <c r="D2484" s="15">
        <v>310.26998901367188</v>
      </c>
      <c r="E2484" s="15">
        <v>565.010009765625</v>
      </c>
      <c r="F2484" s="15">
        <v>312.29998779296881</v>
      </c>
      <c r="H2484" s="16">
        <f t="shared" si="90"/>
        <v>4.2154220646665472E-3</v>
      </c>
      <c r="I2484" s="16">
        <f t="shared" si="90"/>
        <v>2.4646855770583875E-3</v>
      </c>
      <c r="J2484" s="16">
        <f t="shared" si="90"/>
        <v>-9.293039490678532E-3</v>
      </c>
      <c r="K2484" s="16">
        <f t="shared" si="90"/>
        <v>2.4041188649764045E-3</v>
      </c>
      <c r="L2484" s="16">
        <f t="shared" si="91"/>
        <v>4.4410196798233869E-3</v>
      </c>
    </row>
    <row r="2485" spans="1:12" x14ac:dyDescent="0.35">
      <c r="A2485" s="18">
        <v>45863</v>
      </c>
      <c r="B2485" s="15">
        <v>637.0999755859375</v>
      </c>
      <c r="C2485" s="15">
        <v>72.638298034667969</v>
      </c>
      <c r="D2485" s="15">
        <v>307.39999389648438</v>
      </c>
      <c r="E2485" s="15">
        <v>566.3699951171875</v>
      </c>
      <c r="F2485" s="15">
        <v>313.69000244140619</v>
      </c>
      <c r="H2485" s="16">
        <f t="shared" si="90"/>
        <v>-2.5112735570457557E-4</v>
      </c>
      <c r="I2485" s="16">
        <f t="shared" si="90"/>
        <v>-1.6424836378653438E-3</v>
      </c>
      <c r="J2485" s="16">
        <f t="shared" si="90"/>
        <v>-6.4946630675782819E-3</v>
      </c>
      <c r="K2485" s="16">
        <f t="shared" si="90"/>
        <v>3.1203267527909026E-3</v>
      </c>
      <c r="L2485" s="16">
        <f t="shared" si="91"/>
        <v>-2.8693694234595182E-4</v>
      </c>
    </row>
    <row r="2486" spans="1:12" x14ac:dyDescent="0.35">
      <c r="A2486" s="18">
        <v>45866</v>
      </c>
      <c r="B2486" s="15">
        <v>636.94000244140625</v>
      </c>
      <c r="C2486" s="15">
        <v>72.519088745117188</v>
      </c>
      <c r="D2486" s="15">
        <v>305.41000366210938</v>
      </c>
      <c r="E2486" s="15">
        <v>568.1400146484375</v>
      </c>
      <c r="F2486" s="15">
        <v>313.60000610351563</v>
      </c>
      <c r="H2486" s="16">
        <f t="shared" si="90"/>
        <v>-2.6410841631859436E-3</v>
      </c>
      <c r="I2486" s="16">
        <f t="shared" si="90"/>
        <v>5.1919528896126853E-3</v>
      </c>
      <c r="J2486" s="16">
        <f t="shared" si="90"/>
        <v>2.7466136773079959E-3</v>
      </c>
      <c r="K2486" s="16">
        <f t="shared" si="90"/>
        <v>-1.5501233752025123E-3</v>
      </c>
      <c r="L2486" s="16">
        <f t="shared" si="91"/>
        <v>-3.1619475585102546E-3</v>
      </c>
    </row>
    <row r="2487" spans="1:12" x14ac:dyDescent="0.35">
      <c r="A2487" s="18">
        <v>45867</v>
      </c>
      <c r="B2487" s="15">
        <v>635.260009765625</v>
      </c>
      <c r="C2487" s="15">
        <v>72.896583557128906</v>
      </c>
      <c r="D2487" s="15">
        <v>306.25</v>
      </c>
      <c r="E2487" s="15">
        <v>567.260009765625</v>
      </c>
      <c r="F2487" s="15">
        <v>312.6099853515625</v>
      </c>
      <c r="H2487" s="16">
        <f t="shared" si="90"/>
        <v>-1.2601012488224184E-3</v>
      </c>
      <c r="I2487" s="16">
        <f t="shared" si="90"/>
        <v>-2.592554435632154E-3</v>
      </c>
      <c r="J2487" s="16">
        <f t="shared" si="90"/>
        <v>-1.7424424698434752E-2</v>
      </c>
      <c r="K2487" s="16">
        <f t="shared" si="90"/>
        <v>1.3388941222384923E-3</v>
      </c>
      <c r="L2487" s="16">
        <f t="shared" si="91"/>
        <v>-1.1522113747964493E-3</v>
      </c>
    </row>
    <row r="2488" spans="1:12" x14ac:dyDescent="0.35">
      <c r="A2488" s="18">
        <v>45868</v>
      </c>
      <c r="B2488" s="15">
        <v>634.46002197265625</v>
      </c>
      <c r="C2488" s="15">
        <v>72.707839965820313</v>
      </c>
      <c r="D2488" s="15">
        <v>300.95999145507813</v>
      </c>
      <c r="E2488" s="15">
        <v>568.02001953125</v>
      </c>
      <c r="F2488" s="15">
        <v>312.25</v>
      </c>
      <c r="H2488" s="16">
        <f t="shared" si="90"/>
        <v>-3.7582825821688677E-3</v>
      </c>
      <c r="I2488" s="16">
        <f t="shared" si="90"/>
        <v>1.3650749120480918E-4</v>
      </c>
      <c r="J2488" s="16">
        <f t="shared" si="90"/>
        <v>6.6234182282512754E-3</v>
      </c>
      <c r="K2488" s="16">
        <f t="shared" si="90"/>
        <v>-5.313216364803394E-3</v>
      </c>
      <c r="L2488" s="16">
        <f t="shared" si="91"/>
        <v>-4.3649500237018064E-3</v>
      </c>
    </row>
    <row r="2489" spans="1:12" x14ac:dyDescent="0.35">
      <c r="A2489" s="18">
        <v>45869</v>
      </c>
      <c r="B2489" s="15">
        <v>632.08001708984375</v>
      </c>
      <c r="C2489" s="15">
        <v>72.717765808105469</v>
      </c>
      <c r="D2489" s="15">
        <v>302.95999145507813</v>
      </c>
      <c r="E2489" s="15">
        <v>565.010009765625</v>
      </c>
      <c r="F2489" s="15">
        <v>310.8900146484375</v>
      </c>
      <c r="H2489" s="16">
        <f t="shared" si="90"/>
        <v>-1.6526211959548707E-2</v>
      </c>
      <c r="I2489" s="16">
        <f t="shared" si="90"/>
        <v>8.6252409943066415E-3</v>
      </c>
      <c r="J2489" s="16">
        <f t="shared" si="90"/>
        <v>2.0096397826572604E-2</v>
      </c>
      <c r="K2489" s="16">
        <f t="shared" si="90"/>
        <v>-1.9895381786680062E-2</v>
      </c>
      <c r="L2489" s="16">
        <f t="shared" si="91"/>
        <v>-1.6704163350044227E-2</v>
      </c>
    </row>
    <row r="2490" spans="1:12" x14ac:dyDescent="0.35">
      <c r="A2490" s="18">
        <v>45870</v>
      </c>
      <c r="B2490" s="15">
        <v>621.719970703125</v>
      </c>
      <c r="C2490" s="15">
        <v>73.347686767578125</v>
      </c>
      <c r="D2490" s="15">
        <v>309.1099853515625</v>
      </c>
      <c r="E2490" s="15">
        <v>553.8800048828125</v>
      </c>
      <c r="F2490" s="15">
        <v>305.739990234375</v>
      </c>
      <c r="H2490" s="16">
        <f t="shared" si="90"/>
        <v>1.5085429316188507E-2</v>
      </c>
      <c r="I2490" s="16">
        <f t="shared" si="90"/>
        <v>6.7931122557105894E-4</v>
      </c>
      <c r="J2490" s="16">
        <f t="shared" si="90"/>
        <v>5.8063397939676752E-3</v>
      </c>
      <c r="K2490" s="16">
        <f t="shared" si="90"/>
        <v>1.8283431864094705E-2</v>
      </c>
      <c r="L2490" s="16">
        <f t="shared" si="91"/>
        <v>1.5545475500796177E-2</v>
      </c>
    </row>
    <row r="2491" spans="1:12" x14ac:dyDescent="0.35">
      <c r="A2491" s="18">
        <v>45873</v>
      </c>
      <c r="B2491" s="15">
        <v>631.16998291015625</v>
      </c>
      <c r="C2491" s="15">
        <v>73.397529602050781</v>
      </c>
      <c r="D2491" s="15">
        <v>310.91000366210938</v>
      </c>
      <c r="E2491" s="15">
        <v>564.0999755859375</v>
      </c>
      <c r="F2491" s="15">
        <v>310.52999877929688</v>
      </c>
      <c r="H2491" s="16">
        <f t="shared" si="90"/>
        <v>-5.0828648353859387E-3</v>
      </c>
      <c r="I2491" s="16">
        <f t="shared" si="90"/>
        <v>4.0728221993584972E-4</v>
      </c>
      <c r="J2491" s="16">
        <f t="shared" si="90"/>
        <v>8.0376809849620594E-4</v>
      </c>
      <c r="K2491" s="16">
        <f t="shared" si="90"/>
        <v>-6.8126522130176814E-3</v>
      </c>
      <c r="L2491" s="16">
        <f t="shared" si="91"/>
        <v>-4.4215570487139448E-3</v>
      </c>
    </row>
    <row r="2492" spans="1:12" x14ac:dyDescent="0.35">
      <c r="A2492" s="18">
        <v>45874</v>
      </c>
      <c r="B2492" s="15">
        <v>627.969970703125</v>
      </c>
      <c r="C2492" s="15">
        <v>73.42742919921875</v>
      </c>
      <c r="D2492" s="15">
        <v>311.16000366210938</v>
      </c>
      <c r="E2492" s="15">
        <v>560.27001953125</v>
      </c>
      <c r="F2492" s="15">
        <v>309.16000366210938</v>
      </c>
      <c r="H2492" s="16">
        <f t="shared" si="90"/>
        <v>7.630508716870996E-3</v>
      </c>
      <c r="I2492" s="16">
        <f t="shared" si="90"/>
        <v>-8.1473038626746935E-4</v>
      </c>
      <c r="J2492" s="16">
        <f t="shared" si="90"/>
        <v>-2.1233597342562006E-3</v>
      </c>
      <c r="K2492" s="16">
        <f t="shared" si="90"/>
        <v>1.2504686083373323E-2</v>
      </c>
      <c r="L2492" s="16">
        <f t="shared" si="91"/>
        <v>6.7374936948939963E-3</v>
      </c>
    </row>
    <row r="2493" spans="1:12" x14ac:dyDescent="0.35">
      <c r="A2493" s="18">
        <v>45875</v>
      </c>
      <c r="B2493" s="15">
        <v>632.780029296875</v>
      </c>
      <c r="C2493" s="15">
        <v>73.367630004882813</v>
      </c>
      <c r="D2493" s="15">
        <v>310.5</v>
      </c>
      <c r="E2493" s="15">
        <v>567.32000732421875</v>
      </c>
      <c r="F2493" s="15">
        <v>311.25</v>
      </c>
      <c r="H2493" s="16">
        <f t="shared" si="90"/>
        <v>-8.3797113999725139E-4</v>
      </c>
      <c r="I2493" s="16">
        <f t="shared" si="90"/>
        <v>-4.0771827897786241E-4</v>
      </c>
      <c r="J2493" s="16">
        <f t="shared" si="90"/>
        <v>8.4025866801711712E-3</v>
      </c>
      <c r="K2493" s="16">
        <f t="shared" si="90"/>
        <v>3.378589323295635E-3</v>
      </c>
      <c r="L2493" s="16">
        <f t="shared" si="91"/>
        <v>-5.7845699537799789E-4</v>
      </c>
    </row>
    <row r="2494" spans="1:12" x14ac:dyDescent="0.35">
      <c r="A2494" s="18">
        <v>45876</v>
      </c>
      <c r="B2494" s="15">
        <v>632.25</v>
      </c>
      <c r="C2494" s="15">
        <v>73.337722778320313</v>
      </c>
      <c r="D2494" s="15">
        <v>313.1199951171875</v>
      </c>
      <c r="E2494" s="15">
        <v>569.239990234375</v>
      </c>
      <c r="F2494" s="15">
        <v>311.07000732421881</v>
      </c>
      <c r="H2494" s="16">
        <f t="shared" si="90"/>
        <v>7.7672931789633153E-3</v>
      </c>
      <c r="I2494" s="16">
        <f t="shared" si="90"/>
        <v>-2.1768229222401628E-3</v>
      </c>
      <c r="J2494" s="16">
        <f t="shared" si="90"/>
        <v>-2.2360485625655741E-4</v>
      </c>
      <c r="K2494" s="16">
        <f t="shared" si="90"/>
        <v>9.2849837974859645E-3</v>
      </c>
      <c r="L2494" s="16">
        <f t="shared" si="91"/>
        <v>6.2810379093487349E-3</v>
      </c>
    </row>
    <row r="2495" spans="1:12" x14ac:dyDescent="0.35">
      <c r="A2495" s="18">
        <v>45877</v>
      </c>
      <c r="B2495" s="15">
        <v>637.17999267578125</v>
      </c>
      <c r="C2495" s="15">
        <v>73.178253173828125</v>
      </c>
      <c r="D2495" s="15">
        <v>313.04998779296881</v>
      </c>
      <c r="E2495" s="15">
        <v>574.54998779296875</v>
      </c>
      <c r="F2495" s="15">
        <v>313.02999877929688</v>
      </c>
      <c r="H2495" s="16">
        <f t="shared" si="90"/>
        <v>-1.9794363383848048E-3</v>
      </c>
      <c r="I2495" s="16">
        <f t="shared" si="90"/>
        <v>6.8077934977830469E-4</v>
      </c>
      <c r="J2495" s="16">
        <f t="shared" si="90"/>
        <v>-1.4479017992943764E-2</v>
      </c>
      <c r="K2495" s="16">
        <f t="shared" si="90"/>
        <v>-2.9632447363570785E-3</v>
      </c>
      <c r="L2495" s="16">
        <f t="shared" si="91"/>
        <v>-2.3027522406375207E-3</v>
      </c>
    </row>
    <row r="2496" spans="1:12" x14ac:dyDescent="0.35">
      <c r="A2496" s="18">
        <v>45880</v>
      </c>
      <c r="B2496" s="15">
        <v>635.91998291015625</v>
      </c>
      <c r="C2496" s="15">
        <v>73.22808837890625</v>
      </c>
      <c r="D2496" s="15">
        <v>308.54998779296881</v>
      </c>
      <c r="E2496" s="15">
        <v>572.8499755859375</v>
      </c>
      <c r="F2496" s="15">
        <v>312.30999755859381</v>
      </c>
      <c r="H2496" s="16">
        <f t="shared" si="90"/>
        <v>1.0589754305315703E-2</v>
      </c>
      <c r="I2496" s="16">
        <f t="shared" si="90"/>
        <v>1.3616277588080001E-4</v>
      </c>
      <c r="J2496" s="16">
        <f t="shared" si="90"/>
        <v>-9.0787850282928926E-4</v>
      </c>
      <c r="K2496" s="16">
        <f t="shared" si="90"/>
        <v>1.2490425955585884E-2</v>
      </c>
      <c r="L2496" s="16">
        <f t="shared" si="91"/>
        <v>1.215726038665468E-2</v>
      </c>
    </row>
    <row r="2497" spans="1:12" x14ac:dyDescent="0.35">
      <c r="A2497" s="18">
        <v>45881</v>
      </c>
      <c r="B2497" s="15">
        <v>642.69000244140625</v>
      </c>
      <c r="C2497" s="15">
        <v>73.238059997558594</v>
      </c>
      <c r="D2497" s="15">
        <v>308.26998901367188</v>
      </c>
      <c r="E2497" s="15">
        <v>580.04998779296875</v>
      </c>
      <c r="F2497" s="15">
        <v>316.1300048828125</v>
      </c>
      <c r="H2497" s="16">
        <f t="shared" si="90"/>
        <v>3.4172856347253642E-3</v>
      </c>
      <c r="I2497" s="16">
        <f t="shared" si="90"/>
        <v>3.6676397122697648E-3</v>
      </c>
      <c r="J2497" s="16">
        <f t="shared" si="90"/>
        <v>3.0446433804474891E-3</v>
      </c>
      <c r="K2497" s="16">
        <f t="shared" si="90"/>
        <v>4.9989928365240847E-4</v>
      </c>
      <c r="L2497" s="16">
        <f t="shared" si="91"/>
        <v>4.8281030964969123E-3</v>
      </c>
    </row>
    <row r="2498" spans="1:12" x14ac:dyDescent="0.35">
      <c r="A2498" s="18">
        <v>45882</v>
      </c>
      <c r="B2498" s="15">
        <v>644.8900146484375</v>
      </c>
      <c r="C2498" s="15">
        <v>73.507164001464844</v>
      </c>
      <c r="D2498" s="15">
        <v>309.20999145507813</v>
      </c>
      <c r="E2498" s="15">
        <v>580.34002685546875</v>
      </c>
      <c r="F2498" s="15">
        <v>317.66000366210938</v>
      </c>
      <c r="H2498" s="16">
        <f t="shared" si="90"/>
        <v>9.3031007547947657E-5</v>
      </c>
      <c r="I2498" s="16">
        <f t="shared" si="90"/>
        <v>-2.8514685238507798E-3</v>
      </c>
      <c r="J2498" s="16">
        <f t="shared" si="90"/>
        <v>-6.3588816359785036E-3</v>
      </c>
      <c r="K2498" s="16">
        <f t="shared" si="90"/>
        <v>-7.7572931832451558E-4</v>
      </c>
      <c r="L2498" s="16">
        <f t="shared" si="91"/>
        <v>-1.4806688258737386E-3</v>
      </c>
    </row>
    <row r="2499" spans="1:12" x14ac:dyDescent="0.35">
      <c r="A2499" s="18">
        <v>45883</v>
      </c>
      <c r="B2499" s="15">
        <v>644.95001220703125</v>
      </c>
      <c r="C2499" s="15">
        <v>73.297859191894531</v>
      </c>
      <c r="D2499" s="15">
        <v>307.25</v>
      </c>
      <c r="E2499" s="15">
        <v>579.8900146484375</v>
      </c>
      <c r="F2499" s="15">
        <v>317.19000244140619</v>
      </c>
      <c r="H2499" s="16">
        <f t="shared" si="90"/>
        <v>-2.3440269481255801E-3</v>
      </c>
      <c r="I2499" s="16">
        <f t="shared" si="90"/>
        <v>-1.360725110524636E-3</v>
      </c>
      <c r="J2499" s="16">
        <f t="shared" si="90"/>
        <v>5.8564678554838469E-4</v>
      </c>
      <c r="K2499" s="16">
        <f t="shared" si="90"/>
        <v>-4.4070613943778848E-3</v>
      </c>
      <c r="L2499" s="16">
        <f t="shared" si="91"/>
        <v>-2.2725168904536904E-3</v>
      </c>
    </row>
    <row r="2500" spans="1:12" x14ac:dyDescent="0.35">
      <c r="A2500" s="18">
        <v>45884</v>
      </c>
      <c r="B2500" s="15">
        <v>643.44000244140625</v>
      </c>
      <c r="C2500" s="15">
        <v>73.198188781738281</v>
      </c>
      <c r="D2500" s="15">
        <v>307.42999267578119</v>
      </c>
      <c r="E2500" s="15">
        <v>577.34002685546875</v>
      </c>
      <c r="F2500" s="15">
        <v>316.47000122070313</v>
      </c>
      <c r="H2500" s="16">
        <f t="shared" si="90"/>
        <v>-2.1762694880514852E-4</v>
      </c>
      <c r="I2500" s="16">
        <f t="shared" si="90"/>
        <v>-1.0899982693549212E-3</v>
      </c>
      <c r="J2500" s="16">
        <f t="shared" si="90"/>
        <v>-1.5624875893944005E-3</v>
      </c>
      <c r="K2500" s="16">
        <f t="shared" si="90"/>
        <v>-3.9853004377590068E-4</v>
      </c>
      <c r="L2500" s="16">
        <f t="shared" si="91"/>
        <v>3.7909556467742442E-4</v>
      </c>
    </row>
    <row r="2501" spans="1:12" x14ac:dyDescent="0.35">
      <c r="A2501" s="18">
        <v>45887</v>
      </c>
      <c r="B2501" s="15">
        <v>643.29998779296875</v>
      </c>
      <c r="C2501" s="15">
        <v>73.118446350097656</v>
      </c>
      <c r="D2501" s="15">
        <v>306.95001220703119</v>
      </c>
      <c r="E2501" s="15">
        <v>577.1099853515625</v>
      </c>
      <c r="F2501" s="15">
        <v>316.58999633789063</v>
      </c>
      <c r="H2501" s="16">
        <f t="shared" si="90"/>
        <v>-5.4399059795302816E-3</v>
      </c>
      <c r="I2501" s="16">
        <f t="shared" si="90"/>
        <v>1.9066138465589145E-3</v>
      </c>
      <c r="J2501" s="16">
        <f t="shared" si="90"/>
        <v>-5.4883127211994009E-3</v>
      </c>
      <c r="K2501" s="16">
        <f t="shared" si="90"/>
        <v>-1.3660408263297091E-2</v>
      </c>
      <c r="L2501" s="16">
        <f t="shared" si="91"/>
        <v>-6.0830364696980756E-3</v>
      </c>
    </row>
    <row r="2502" spans="1:12" x14ac:dyDescent="0.35">
      <c r="A2502" s="18">
        <v>45888</v>
      </c>
      <c r="B2502" s="15">
        <v>639.80999755859375</v>
      </c>
      <c r="C2502" s="15">
        <v>73.257987976074219</v>
      </c>
      <c r="D2502" s="15">
        <v>305.26998901367188</v>
      </c>
      <c r="E2502" s="15">
        <v>569.280029296875</v>
      </c>
      <c r="F2502" s="15">
        <v>314.67001342773438</v>
      </c>
      <c r="H2502" s="16">
        <f t="shared" si="90"/>
        <v>-2.6605941414132189E-3</v>
      </c>
      <c r="I2502" s="16">
        <f t="shared" si="90"/>
        <v>6.8003863391040778E-4</v>
      </c>
      <c r="J2502" s="16">
        <f t="shared" si="90"/>
        <v>1.0071289165624142E-2</v>
      </c>
      <c r="K2502" s="16">
        <f t="shared" si="90"/>
        <v>-5.955028650015735E-3</v>
      </c>
      <c r="L2502" s="16">
        <f t="shared" si="91"/>
        <v>-2.6412230814714692E-3</v>
      </c>
    </row>
    <row r="2503" spans="1:12" x14ac:dyDescent="0.35">
      <c r="A2503" s="18">
        <v>45889</v>
      </c>
      <c r="B2503" s="15">
        <v>638.1099853515625</v>
      </c>
      <c r="C2503" s="15">
        <v>73.307823181152344</v>
      </c>
      <c r="D2503" s="15">
        <v>308.3599853515625</v>
      </c>
      <c r="E2503" s="15">
        <v>565.9000244140625</v>
      </c>
      <c r="F2503" s="15">
        <v>313.83999633789063</v>
      </c>
      <c r="H2503" s="16">
        <f t="shared" si="90"/>
        <v>-4.0199127867253303E-3</v>
      </c>
      <c r="I2503" s="16">
        <f t="shared" si="90"/>
        <v>-2.4502855407164165E-3</v>
      </c>
      <c r="J2503" s="16">
        <f t="shared" si="90"/>
        <v>-3.4759291628160701E-3</v>
      </c>
      <c r="K2503" s="16">
        <f t="shared" si="90"/>
        <v>-4.6405350683980219E-3</v>
      </c>
      <c r="L2503" s="16">
        <f t="shared" si="91"/>
        <v>-3.4471357522481549E-3</v>
      </c>
    </row>
    <row r="2504" spans="1:12" x14ac:dyDescent="0.35">
      <c r="A2504" s="18">
        <v>45890</v>
      </c>
      <c r="B2504" s="15">
        <v>635.54998779296875</v>
      </c>
      <c r="C2504" s="15">
        <v>73.12841796875</v>
      </c>
      <c r="D2504" s="15">
        <v>307.29000854492188</v>
      </c>
      <c r="E2504" s="15">
        <v>563.280029296875</v>
      </c>
      <c r="F2504" s="15">
        <v>312.760009765625</v>
      </c>
      <c r="H2504" s="16">
        <f t="shared" si="90"/>
        <v>1.5240071172988175E-2</v>
      </c>
      <c r="I2504" s="16">
        <f t="shared" si="90"/>
        <v>5.0301607032317555E-3</v>
      </c>
      <c r="J2504" s="16">
        <f t="shared" si="90"/>
        <v>1.0649518982753443E-2</v>
      </c>
      <c r="K2504" s="16">
        <f t="shared" si="90"/>
        <v>1.5309599008841272E-2</v>
      </c>
      <c r="L2504" s="16">
        <f t="shared" si="91"/>
        <v>1.7181082877654148E-2</v>
      </c>
    </row>
    <row r="2505" spans="1:12" x14ac:dyDescent="0.35">
      <c r="A2505" s="18">
        <v>45891</v>
      </c>
      <c r="B2505" s="15">
        <v>645.30999755859375</v>
      </c>
      <c r="C2505" s="15">
        <v>73.4971923828125</v>
      </c>
      <c r="D2505" s="15">
        <v>310.57998657226563</v>
      </c>
      <c r="E2505" s="15">
        <v>571.969970703125</v>
      </c>
      <c r="F2505" s="15">
        <v>318.17999267578119</v>
      </c>
      <c r="H2505" s="16">
        <f t="shared" si="90"/>
        <v>-4.4107402347726265E-3</v>
      </c>
      <c r="I2505" s="16">
        <f t="shared" si="90"/>
        <v>-1.3569282096333936E-3</v>
      </c>
      <c r="J2505" s="16">
        <f t="shared" si="90"/>
        <v>-2.4177572824804561E-3</v>
      </c>
      <c r="K2505" s="16">
        <f t="shared" si="90"/>
        <v>-2.8888715792588803E-3</v>
      </c>
      <c r="L2505" s="16">
        <f t="shared" si="91"/>
        <v>-4.8201936708236826E-3</v>
      </c>
    </row>
    <row r="2506" spans="1:12" x14ac:dyDescent="0.35">
      <c r="A2506" s="18">
        <v>45894</v>
      </c>
      <c r="B2506" s="15">
        <v>642.469970703125</v>
      </c>
      <c r="C2506" s="15">
        <v>73.397529602050781</v>
      </c>
      <c r="D2506" s="15">
        <v>309.82998657226563</v>
      </c>
      <c r="E2506" s="15">
        <v>570.32000732421875</v>
      </c>
      <c r="F2506" s="15">
        <v>316.64999389648438</v>
      </c>
      <c r="H2506" s="16">
        <f t="shared" si="90"/>
        <v>4.1782289510630902E-3</v>
      </c>
      <c r="I2506" s="16">
        <f t="shared" si="90"/>
        <v>1.221453180251105E-3</v>
      </c>
      <c r="J2506" s="16">
        <f t="shared" si="90"/>
        <v>7.2358055476428994E-3</v>
      </c>
      <c r="K2506" s="16">
        <f t="shared" si="90"/>
        <v>4.0072114763654246E-3</v>
      </c>
      <c r="L2506" s="16">
        <f t="shared" si="91"/>
        <v>4.5373064058428269E-3</v>
      </c>
    </row>
    <row r="2507" spans="1:12" x14ac:dyDescent="0.35">
      <c r="A2507" s="18">
        <v>45895</v>
      </c>
      <c r="B2507" s="15">
        <v>645.15997314453125</v>
      </c>
      <c r="C2507" s="15">
        <v>73.487236022949219</v>
      </c>
      <c r="D2507" s="15">
        <v>312.07998657226563</v>
      </c>
      <c r="E2507" s="15">
        <v>572.6099853515625</v>
      </c>
      <c r="F2507" s="15">
        <v>318.08999633789063</v>
      </c>
      <c r="H2507" s="16">
        <f t="shared" si="90"/>
        <v>2.2759618790200126E-3</v>
      </c>
      <c r="I2507" s="16">
        <f t="shared" si="90"/>
        <v>9.4897721757513634E-4</v>
      </c>
      <c r="J2507" s="16">
        <f t="shared" si="90"/>
        <v>2.0166939883499383E-3</v>
      </c>
      <c r="K2507" s="16">
        <f t="shared" si="90"/>
        <v>1.5356514693233374E-3</v>
      </c>
      <c r="L2507" s="16">
        <f t="shared" si="91"/>
        <v>2.6686548815692871E-3</v>
      </c>
    </row>
    <row r="2508" spans="1:12" x14ac:dyDescent="0.35">
      <c r="A2508" s="18">
        <v>45896</v>
      </c>
      <c r="B2508" s="15">
        <v>646.6300048828125</v>
      </c>
      <c r="C2508" s="15">
        <v>73.5570068359375</v>
      </c>
      <c r="D2508" s="15">
        <v>312.70999145507813</v>
      </c>
      <c r="E2508" s="15">
        <v>573.489990234375</v>
      </c>
      <c r="F2508" s="15">
        <v>318.94000244140619</v>
      </c>
      <c r="H2508" s="16">
        <f t="shared" si="90"/>
        <v>3.535147904431349E-3</v>
      </c>
      <c r="I2508" s="16">
        <f t="shared" si="90"/>
        <v>1.2187029947117465E-3</v>
      </c>
      <c r="J2508" s="16">
        <f t="shared" si="90"/>
        <v>7.3916523509603808E-3</v>
      </c>
      <c r="K2508" s="16">
        <f t="shared" si="90"/>
        <v>6.240452094553337E-3</v>
      </c>
      <c r="L2508" s="16">
        <f t="shared" si="91"/>
        <v>3.6304610687681528E-3</v>
      </c>
    </row>
    <row r="2509" spans="1:12" x14ac:dyDescent="0.35">
      <c r="A2509" s="18">
        <v>45897</v>
      </c>
      <c r="B2509" s="15">
        <v>648.91998291015625</v>
      </c>
      <c r="C2509" s="15">
        <v>73.646705627441406</v>
      </c>
      <c r="D2509" s="15">
        <v>315.02999877929688</v>
      </c>
      <c r="E2509" s="15">
        <v>577.08001708984375</v>
      </c>
      <c r="F2509" s="15">
        <v>320.10000610351563</v>
      </c>
      <c r="H2509" s="16">
        <f t="shared" si="90"/>
        <v>-5.9816019593900045E-3</v>
      </c>
      <c r="I2509" s="16">
        <f t="shared" si="90"/>
        <v>-1.2187029947117553E-3</v>
      </c>
      <c r="J2509" s="16">
        <f t="shared" si="90"/>
        <v>9.6036388581472211E-3</v>
      </c>
      <c r="K2509" s="16">
        <f t="shared" si="90"/>
        <v>-1.1643022790174255E-2</v>
      </c>
      <c r="L2509" s="16">
        <f t="shared" si="91"/>
        <v>-5.9533117768961422E-3</v>
      </c>
    </row>
    <row r="2510" spans="1:12" x14ac:dyDescent="0.35">
      <c r="A2510" s="18">
        <v>45898</v>
      </c>
      <c r="B2510" s="15">
        <v>645.04998779296875</v>
      </c>
      <c r="C2510" s="15">
        <v>73.5570068359375</v>
      </c>
      <c r="D2510" s="15">
        <v>318.07000732421881</v>
      </c>
      <c r="E2510" s="15">
        <v>570.4000244140625</v>
      </c>
      <c r="F2510" s="15">
        <v>318.20001220703119</v>
      </c>
      <c r="H2510" s="16">
        <f t="shared" si="90"/>
        <v>-7.4378213527939926E-3</v>
      </c>
      <c r="I2510" s="16">
        <f t="shared" si="90"/>
        <v>-2.1367523950782752E-3</v>
      </c>
      <c r="J2510" s="16">
        <f t="shared" si="90"/>
        <v>2.3367402509143223E-2</v>
      </c>
      <c r="K2510" s="16">
        <f t="shared" si="90"/>
        <v>-8.4154458982967154E-3</v>
      </c>
      <c r="L2510" s="16">
        <f t="shared" si="91"/>
        <v>-6.9696176547435719E-3</v>
      </c>
    </row>
    <row r="2511" spans="1:12" x14ac:dyDescent="0.35">
      <c r="A2511" s="18">
        <v>45902</v>
      </c>
      <c r="B2511" s="15">
        <v>640.27001953125</v>
      </c>
      <c r="C2511" s="15">
        <v>73.400001525878906</v>
      </c>
      <c r="D2511" s="15">
        <v>325.58999633789063</v>
      </c>
      <c r="E2511" s="15">
        <v>565.6199951171875</v>
      </c>
      <c r="F2511" s="15">
        <v>315.989990234375</v>
      </c>
      <c r="H2511" s="16">
        <f t="shared" si="90"/>
        <v>5.404909812382553E-3</v>
      </c>
      <c r="I2511" s="16">
        <f t="shared" si="90"/>
        <v>3.264391667550819E-3</v>
      </c>
      <c r="J2511" s="16">
        <f t="shared" si="90"/>
        <v>7.8014813491287293E-3</v>
      </c>
      <c r="K2511" s="16">
        <f t="shared" si="90"/>
        <v>7.8367071504628991E-3</v>
      </c>
      <c r="L2511" s="16">
        <f t="shared" si="91"/>
        <v>4.2316629399659234E-3</v>
      </c>
    </row>
    <row r="2512" spans="1:12" x14ac:dyDescent="0.35">
      <c r="A2512" s="18">
        <v>45903</v>
      </c>
      <c r="B2512" s="15">
        <v>643.739990234375</v>
      </c>
      <c r="C2512" s="15">
        <v>73.639999389648438</v>
      </c>
      <c r="D2512" s="15">
        <v>328.1400146484375</v>
      </c>
      <c r="E2512" s="15">
        <v>570.07000732421875</v>
      </c>
      <c r="F2512" s="15">
        <v>317.32998657226563</v>
      </c>
      <c r="H2512" s="16">
        <f t="shared" si="90"/>
        <v>8.3226892293628563E-3</v>
      </c>
      <c r="I2512" s="16">
        <f t="shared" si="90"/>
        <v>3.7950544861054636E-3</v>
      </c>
      <c r="J2512" s="16">
        <f t="shared" si="90"/>
        <v>-4.4286747373556224E-3</v>
      </c>
      <c r="K2512" s="16">
        <f t="shared" si="90"/>
        <v>9.0107537109631684E-3</v>
      </c>
      <c r="L2512" s="16">
        <f t="shared" si="91"/>
        <v>8.8162463232281611E-3</v>
      </c>
    </row>
    <row r="2513" spans="1:12" x14ac:dyDescent="0.35">
      <c r="A2513" s="18">
        <v>45904</v>
      </c>
      <c r="B2513" s="15">
        <v>649.1199951171875</v>
      </c>
      <c r="C2513" s="15">
        <v>73.919998168945313</v>
      </c>
      <c r="D2513" s="15">
        <v>326.69000244140619</v>
      </c>
      <c r="E2513" s="15">
        <v>575.22998046875</v>
      </c>
      <c r="F2513" s="15">
        <v>320.1400146484375</v>
      </c>
      <c r="H2513" s="16">
        <f t="shared" si="90"/>
        <v>-2.9004384924315968E-3</v>
      </c>
      <c r="I2513" s="16">
        <f t="shared" si="90"/>
        <v>4.7236539194850102E-3</v>
      </c>
      <c r="J2513" s="16">
        <f t="shared" si="90"/>
        <v>1.3257668006979962E-2</v>
      </c>
      <c r="K2513" s="16">
        <f t="shared" si="90"/>
        <v>1.4418908346094301E-3</v>
      </c>
      <c r="L2513" s="16">
        <f t="shared" si="91"/>
        <v>-1.8447279793013724E-3</v>
      </c>
    </row>
    <row r="2514" spans="1:12" x14ac:dyDescent="0.35">
      <c r="A2514" s="18">
        <v>45905</v>
      </c>
      <c r="B2514" s="15">
        <v>647.239990234375</v>
      </c>
      <c r="C2514" s="15">
        <v>74.269996643066406</v>
      </c>
      <c r="D2514" s="15">
        <v>331.04998779296881</v>
      </c>
      <c r="E2514" s="15">
        <v>576.05999755859375</v>
      </c>
      <c r="F2514" s="15">
        <v>319.54998779296881</v>
      </c>
    </row>
  </sheetData>
  <mergeCells count="2">
    <mergeCell ref="B1:F1"/>
    <mergeCell ref="H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</vt:lpstr>
      <vt:lpstr>close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Peng</dc:creator>
  <cp:lastModifiedBy>Emma Peng</cp:lastModifiedBy>
  <dcterms:created xsi:type="dcterms:W3CDTF">2025-09-05T02:39:14Z</dcterms:created>
  <dcterms:modified xsi:type="dcterms:W3CDTF">2025-10-01T04:32:12Z</dcterms:modified>
</cp:coreProperties>
</file>